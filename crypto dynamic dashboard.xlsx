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5edab7a452194b/Documents/"/>
    </mc:Choice>
  </mc:AlternateContent>
  <xr:revisionPtr revIDLastSave="14" documentId="8_{C6DA1DBD-C1B7-496B-83DB-9DBDD80639C6}" xr6:coauthVersionLast="47" xr6:coauthVersionMax="47" xr10:uidLastSave="{51645717-35FC-4C93-89D3-BFE8848F339F}"/>
  <bookViews>
    <workbookView xWindow="-120" yWindow="-120" windowWidth="20730" windowHeight="11160" activeTab="2" xr2:uid="{2EC210B5-3355-41ED-B12C-1104053BC2DF}"/>
  </bookViews>
  <sheets>
    <sheet name="original data" sheetId="3" r:id="rId1"/>
    <sheet name="worksheet" sheetId="1" r:id="rId2"/>
    <sheet name="dashboard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P1" i="1" l="1"/>
  <c r="AP2" i="1" s="1"/>
  <c r="AP3" i="1" s="1"/>
  <c r="AP4" i="1" s="1"/>
  <c r="AP5" i="1" s="1"/>
  <c r="AP6" i="1" s="1"/>
  <c r="AP7" i="1" s="1"/>
  <c r="AP8" i="1" s="1"/>
  <c r="AP9" i="1" s="1"/>
  <c r="AP10" i="1" s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P36" i="1" s="1"/>
  <c r="AP37" i="1" s="1"/>
  <c r="AP38" i="1" s="1"/>
  <c r="AP39" i="1" s="1"/>
  <c r="AP40" i="1" s="1"/>
  <c r="AP41" i="1" s="1"/>
  <c r="AP42" i="1" s="1"/>
  <c r="AP43" i="1" s="1"/>
  <c r="AP44" i="1" s="1"/>
  <c r="AP45" i="1" s="1"/>
  <c r="AP46" i="1" s="1"/>
  <c r="AP47" i="1" s="1"/>
  <c r="AP48" i="1" s="1"/>
  <c r="AP49" i="1" s="1"/>
  <c r="AP50" i="1" s="1"/>
  <c r="AP51" i="1" s="1"/>
  <c r="AP52" i="1" s="1"/>
  <c r="AP53" i="1" s="1"/>
  <c r="AP54" i="1" s="1"/>
  <c r="AP55" i="1" s="1"/>
  <c r="AP56" i="1" s="1"/>
  <c r="AP57" i="1" s="1"/>
  <c r="AP58" i="1" s="1"/>
  <c r="AP59" i="1" s="1"/>
  <c r="AP60" i="1" s="1"/>
  <c r="AP61" i="1" s="1"/>
  <c r="AP62" i="1" s="1"/>
  <c r="AP63" i="1" s="1"/>
  <c r="AP64" i="1" s="1"/>
  <c r="AP65" i="1" s="1"/>
  <c r="AP66" i="1" s="1"/>
  <c r="AP67" i="1" s="1"/>
  <c r="AP68" i="1" s="1"/>
  <c r="AP69" i="1" s="1"/>
  <c r="AP70" i="1" s="1"/>
  <c r="AP71" i="1" s="1"/>
  <c r="AP72" i="1" s="1"/>
  <c r="AP73" i="1" s="1"/>
  <c r="AP74" i="1" s="1"/>
  <c r="AP75" i="1" s="1"/>
  <c r="AP76" i="1" s="1"/>
  <c r="AP77" i="1" s="1"/>
  <c r="AP78" i="1" s="1"/>
  <c r="AP79" i="1" s="1"/>
  <c r="AP80" i="1" s="1"/>
  <c r="AP81" i="1" s="1"/>
  <c r="AP82" i="1" s="1"/>
  <c r="AP83" i="1" s="1"/>
  <c r="AP84" i="1" s="1"/>
  <c r="AP85" i="1" s="1"/>
  <c r="AP86" i="1" s="1"/>
  <c r="AP87" i="1" s="1"/>
  <c r="AP88" i="1" s="1"/>
  <c r="AP89" i="1" s="1"/>
  <c r="AP90" i="1" s="1"/>
  <c r="AP91" i="1" s="1"/>
  <c r="AP92" i="1" s="1"/>
  <c r="AP93" i="1" s="1"/>
  <c r="AP94" i="1" s="1"/>
  <c r="AP95" i="1" s="1"/>
  <c r="AP96" i="1" s="1"/>
  <c r="AP97" i="1" s="1"/>
  <c r="AP98" i="1" s="1"/>
  <c r="AP99" i="1" s="1"/>
  <c r="AP100" i="1" s="1"/>
  <c r="AP101" i="1" s="1"/>
  <c r="AP102" i="1" s="1"/>
  <c r="AP103" i="1" s="1"/>
  <c r="AP104" i="1" s="1"/>
  <c r="AP105" i="1" s="1"/>
  <c r="AP106" i="1" s="1"/>
  <c r="AP107" i="1" s="1"/>
  <c r="AP108" i="1" s="1"/>
  <c r="AP109" i="1" s="1"/>
  <c r="AP110" i="1" s="1"/>
  <c r="AP111" i="1" s="1"/>
  <c r="AP112" i="1" s="1"/>
  <c r="AP113" i="1" s="1"/>
  <c r="AP114" i="1" s="1"/>
  <c r="AP115" i="1" s="1"/>
  <c r="AP116" i="1" s="1"/>
  <c r="AP117" i="1" s="1"/>
  <c r="AP118" i="1" s="1"/>
  <c r="AP119" i="1" s="1"/>
  <c r="AP120" i="1" s="1"/>
  <c r="AP121" i="1" s="1"/>
  <c r="AP122" i="1" s="1"/>
  <c r="AP123" i="1" s="1"/>
  <c r="AP124" i="1" s="1"/>
  <c r="AP125" i="1" s="1"/>
  <c r="AP126" i="1" s="1"/>
  <c r="AP127" i="1" s="1"/>
  <c r="AP128" i="1" s="1"/>
  <c r="AP129" i="1" s="1"/>
  <c r="AP130" i="1" s="1"/>
  <c r="AP131" i="1" s="1"/>
  <c r="AP132" i="1" s="1"/>
  <c r="AP133" i="1" s="1"/>
  <c r="AP134" i="1" s="1"/>
  <c r="AP135" i="1" s="1"/>
  <c r="AP136" i="1" s="1"/>
  <c r="AP137" i="1" s="1"/>
  <c r="AP138" i="1" s="1"/>
  <c r="AP139" i="1" s="1"/>
  <c r="AP140" i="1" s="1"/>
  <c r="AP141" i="1" s="1"/>
  <c r="AP142" i="1" s="1"/>
  <c r="AP143" i="1" s="1"/>
  <c r="AP144" i="1" s="1"/>
  <c r="AP145" i="1" s="1"/>
  <c r="AP146" i="1" s="1"/>
  <c r="AP147" i="1" s="1"/>
  <c r="AP148" i="1" s="1"/>
  <c r="AP149" i="1" s="1"/>
  <c r="AP150" i="1" s="1"/>
  <c r="AP151" i="1" s="1"/>
  <c r="AP152" i="1" s="1"/>
  <c r="AP153" i="1" s="1"/>
  <c r="AP154" i="1" s="1"/>
  <c r="AP155" i="1" s="1"/>
  <c r="AP156" i="1" s="1"/>
  <c r="AP157" i="1" s="1"/>
  <c r="AP158" i="1" s="1"/>
  <c r="AP159" i="1" s="1"/>
  <c r="AP160" i="1" s="1"/>
  <c r="AP161" i="1" s="1"/>
  <c r="AP162" i="1" s="1"/>
  <c r="AP163" i="1" s="1"/>
  <c r="AP164" i="1" s="1"/>
  <c r="AP165" i="1" s="1"/>
  <c r="AP166" i="1" s="1"/>
  <c r="AP167" i="1" s="1"/>
  <c r="AP168" i="1" s="1"/>
  <c r="AP169" i="1" s="1"/>
  <c r="AP170" i="1" s="1"/>
  <c r="AP171" i="1" s="1"/>
  <c r="AP172" i="1" s="1"/>
  <c r="AP173" i="1" s="1"/>
  <c r="AP174" i="1" s="1"/>
  <c r="AP175" i="1" s="1"/>
  <c r="AP176" i="1" s="1"/>
  <c r="AP177" i="1" s="1"/>
  <c r="AP178" i="1" s="1"/>
  <c r="AP179" i="1" s="1"/>
  <c r="AP180" i="1" s="1"/>
  <c r="AP181" i="1" s="1"/>
  <c r="AP182" i="1" s="1"/>
  <c r="AP183" i="1" s="1"/>
  <c r="AP184" i="1" s="1"/>
  <c r="AP185" i="1" s="1"/>
  <c r="AP186" i="1" s="1"/>
  <c r="AP187" i="1" s="1"/>
  <c r="AP188" i="1" s="1"/>
  <c r="AP189" i="1" s="1"/>
  <c r="AP190" i="1" s="1"/>
  <c r="AP191" i="1" s="1"/>
  <c r="AP192" i="1" s="1"/>
  <c r="AP193" i="1" s="1"/>
  <c r="AP194" i="1" s="1"/>
  <c r="AP195" i="1" s="1"/>
  <c r="AP196" i="1" s="1"/>
  <c r="AP197" i="1" s="1"/>
  <c r="AP198" i="1" s="1"/>
  <c r="AP199" i="1" s="1"/>
  <c r="AP200" i="1" s="1"/>
  <c r="AP201" i="1" s="1"/>
  <c r="AP202" i="1" s="1"/>
  <c r="AP203" i="1" s="1"/>
  <c r="AP204" i="1" s="1"/>
  <c r="AP205" i="1" s="1"/>
  <c r="AP206" i="1" s="1"/>
  <c r="AP207" i="1" s="1"/>
  <c r="AP208" i="1" s="1"/>
  <c r="AP209" i="1" s="1"/>
  <c r="AP210" i="1" s="1"/>
  <c r="AP211" i="1" s="1"/>
  <c r="AP212" i="1" s="1"/>
  <c r="AP213" i="1" s="1"/>
  <c r="AP214" i="1" s="1"/>
  <c r="AP215" i="1" s="1"/>
  <c r="AP216" i="1" s="1"/>
  <c r="AP217" i="1" s="1"/>
  <c r="AP218" i="1" s="1"/>
  <c r="AP219" i="1" s="1"/>
  <c r="AP220" i="1" s="1"/>
  <c r="AP221" i="1" s="1"/>
  <c r="AP222" i="1" s="1"/>
  <c r="AP223" i="1" s="1"/>
  <c r="AP224" i="1" s="1"/>
  <c r="AP225" i="1" s="1"/>
  <c r="AP226" i="1" s="1"/>
  <c r="AP227" i="1" s="1"/>
  <c r="AP228" i="1" s="1"/>
  <c r="AP229" i="1" s="1"/>
  <c r="AP230" i="1" s="1"/>
  <c r="AP231" i="1" s="1"/>
  <c r="AP232" i="1" s="1"/>
  <c r="AP233" i="1" s="1"/>
  <c r="AP234" i="1" s="1"/>
  <c r="AP235" i="1" s="1"/>
  <c r="AP236" i="1" s="1"/>
  <c r="AP237" i="1" s="1"/>
  <c r="AP238" i="1" s="1"/>
  <c r="AP239" i="1" s="1"/>
  <c r="AP240" i="1" s="1"/>
  <c r="AP241" i="1" s="1"/>
  <c r="AP242" i="1" s="1"/>
  <c r="AP243" i="1" s="1"/>
  <c r="AP244" i="1" s="1"/>
  <c r="AP245" i="1" s="1"/>
  <c r="AP246" i="1" s="1"/>
  <c r="AP247" i="1" s="1"/>
  <c r="AP248" i="1" s="1"/>
  <c r="AP249" i="1" s="1"/>
  <c r="AP250" i="1" s="1"/>
  <c r="AP251" i="1" s="1"/>
  <c r="AP252" i="1" s="1"/>
  <c r="AP253" i="1" s="1"/>
  <c r="AP254" i="1" s="1"/>
  <c r="AP255" i="1" s="1"/>
  <c r="AP256" i="1" s="1"/>
  <c r="AP257" i="1" s="1"/>
  <c r="AP258" i="1" s="1"/>
  <c r="AP259" i="1" s="1"/>
  <c r="AP260" i="1" s="1"/>
  <c r="AP261" i="1" s="1"/>
  <c r="AP262" i="1" s="1"/>
  <c r="AP263" i="1" s="1"/>
  <c r="AP264" i="1" s="1"/>
  <c r="AP265" i="1" s="1"/>
  <c r="AP266" i="1" s="1"/>
  <c r="AP267" i="1" s="1"/>
  <c r="AP268" i="1" s="1"/>
  <c r="AP269" i="1" s="1"/>
  <c r="AP270" i="1" s="1"/>
  <c r="AP271" i="1" s="1"/>
  <c r="AP272" i="1" s="1"/>
  <c r="AP273" i="1" s="1"/>
  <c r="AP274" i="1" s="1"/>
  <c r="AP275" i="1" s="1"/>
  <c r="AP276" i="1" s="1"/>
  <c r="AP277" i="1" s="1"/>
  <c r="AP278" i="1" s="1"/>
  <c r="AP279" i="1" s="1"/>
  <c r="AP280" i="1" s="1"/>
  <c r="AP281" i="1" s="1"/>
  <c r="AP282" i="1" s="1"/>
  <c r="AP283" i="1" s="1"/>
  <c r="AP284" i="1" s="1"/>
  <c r="AP285" i="1" s="1"/>
  <c r="AP286" i="1" s="1"/>
  <c r="AP287" i="1" s="1"/>
  <c r="AP288" i="1" s="1"/>
  <c r="AP289" i="1" s="1"/>
  <c r="AP290" i="1" s="1"/>
  <c r="AP291" i="1" s="1"/>
  <c r="AP292" i="1" s="1"/>
  <c r="AP293" i="1" s="1"/>
  <c r="AP294" i="1" s="1"/>
  <c r="AP295" i="1" s="1"/>
  <c r="AP296" i="1" s="1"/>
  <c r="AP297" i="1" s="1"/>
  <c r="AP298" i="1" s="1"/>
  <c r="AP299" i="1" s="1"/>
  <c r="AP300" i="1" s="1"/>
  <c r="AP301" i="1" s="1"/>
  <c r="AP302" i="1" s="1"/>
  <c r="AP303" i="1" s="1"/>
  <c r="AP304" i="1" s="1"/>
  <c r="AP305" i="1" s="1"/>
  <c r="AP306" i="1" s="1"/>
  <c r="AP307" i="1" s="1"/>
  <c r="AP308" i="1" s="1"/>
  <c r="AP309" i="1" s="1"/>
  <c r="AP310" i="1" s="1"/>
  <c r="AP311" i="1" s="1"/>
  <c r="AP312" i="1" s="1"/>
  <c r="AP313" i="1" s="1"/>
  <c r="AP314" i="1" s="1"/>
  <c r="AP315" i="1" s="1"/>
  <c r="AP316" i="1" s="1"/>
  <c r="AP317" i="1" s="1"/>
  <c r="AP318" i="1" s="1"/>
  <c r="AP319" i="1" s="1"/>
  <c r="AP320" i="1" s="1"/>
  <c r="AP321" i="1" s="1"/>
  <c r="AP322" i="1" s="1"/>
  <c r="AP323" i="1" s="1"/>
  <c r="AP324" i="1" s="1"/>
  <c r="AP325" i="1" s="1"/>
  <c r="AP326" i="1" s="1"/>
  <c r="AP327" i="1" s="1"/>
  <c r="AP328" i="1" s="1"/>
  <c r="AP329" i="1" s="1"/>
  <c r="AP330" i="1" s="1"/>
  <c r="AP331" i="1" s="1"/>
  <c r="AP332" i="1" s="1"/>
  <c r="AP333" i="1" s="1"/>
  <c r="AP334" i="1" s="1"/>
  <c r="AP335" i="1" s="1"/>
  <c r="AP336" i="1" s="1"/>
  <c r="AP337" i="1" s="1"/>
  <c r="AP338" i="1" s="1"/>
  <c r="AP339" i="1" s="1"/>
  <c r="AP340" i="1" s="1"/>
  <c r="AP341" i="1" s="1"/>
  <c r="AP342" i="1" s="1"/>
  <c r="AP343" i="1" s="1"/>
  <c r="AP344" i="1" s="1"/>
  <c r="AP345" i="1" s="1"/>
  <c r="AP346" i="1" s="1"/>
  <c r="AP347" i="1" s="1"/>
  <c r="AP348" i="1" s="1"/>
  <c r="AP349" i="1" s="1"/>
  <c r="AP350" i="1" s="1"/>
  <c r="AP351" i="1" s="1"/>
  <c r="AP352" i="1" s="1"/>
  <c r="AP353" i="1" s="1"/>
  <c r="AP354" i="1" s="1"/>
  <c r="AP355" i="1" s="1"/>
  <c r="AP356" i="1" s="1"/>
  <c r="AP357" i="1" s="1"/>
  <c r="AP358" i="1" s="1"/>
  <c r="AP359" i="1" s="1"/>
  <c r="AP360" i="1" s="1"/>
  <c r="AP361" i="1" s="1"/>
  <c r="AP362" i="1" s="1"/>
  <c r="AP363" i="1" s="1"/>
  <c r="AP364" i="1" s="1"/>
  <c r="AP365" i="1" s="1"/>
  <c r="AP366" i="1" s="1"/>
  <c r="AP367" i="1" s="1"/>
  <c r="AO1" i="1"/>
  <c r="AO2" i="1" s="1"/>
  <c r="AO3" i="1" s="1"/>
  <c r="AO4" i="1" s="1"/>
  <c r="AO5" i="1" s="1"/>
  <c r="AO6" i="1" s="1"/>
  <c r="AO7" i="1" s="1"/>
  <c r="AO8" i="1" s="1"/>
  <c r="AO9" i="1" s="1"/>
  <c r="AO10" i="1" s="1"/>
  <c r="AO11" i="1" s="1"/>
  <c r="AO12" i="1" s="1"/>
  <c r="AO13" i="1" s="1"/>
  <c r="AO14" i="1" s="1"/>
  <c r="AO15" i="1" s="1"/>
  <c r="AO16" i="1" s="1"/>
  <c r="AO17" i="1" s="1"/>
  <c r="AO18" i="1" s="1"/>
  <c r="AO19" i="1" s="1"/>
  <c r="AO20" i="1" s="1"/>
  <c r="AO21" i="1" s="1"/>
  <c r="AO22" i="1" s="1"/>
  <c r="AO23" i="1" s="1"/>
  <c r="AO24" i="1" s="1"/>
  <c r="AO25" i="1" s="1"/>
  <c r="AO26" i="1" s="1"/>
  <c r="AO27" i="1" s="1"/>
  <c r="AO28" i="1" s="1"/>
  <c r="AO29" i="1" s="1"/>
  <c r="AO30" i="1" s="1"/>
  <c r="AO31" i="1" s="1"/>
  <c r="AO32" i="1" s="1"/>
  <c r="AO33" i="1" s="1"/>
  <c r="AO34" i="1" s="1"/>
  <c r="AO35" i="1" s="1"/>
  <c r="AO36" i="1" s="1"/>
  <c r="AO37" i="1" s="1"/>
  <c r="AO38" i="1" s="1"/>
  <c r="AO39" i="1" s="1"/>
  <c r="AO40" i="1" s="1"/>
  <c r="AO41" i="1" s="1"/>
  <c r="AO42" i="1" s="1"/>
  <c r="AO43" i="1" s="1"/>
  <c r="AO44" i="1" s="1"/>
  <c r="AO45" i="1" s="1"/>
  <c r="AO46" i="1" s="1"/>
  <c r="AO47" i="1" s="1"/>
  <c r="AO48" i="1" s="1"/>
  <c r="AO49" i="1" s="1"/>
  <c r="AO50" i="1" s="1"/>
  <c r="AO51" i="1" s="1"/>
  <c r="AO52" i="1" s="1"/>
  <c r="AO53" i="1" s="1"/>
  <c r="AO54" i="1" s="1"/>
  <c r="AO55" i="1" s="1"/>
  <c r="AO56" i="1" s="1"/>
  <c r="AO57" i="1" s="1"/>
  <c r="AO58" i="1" s="1"/>
  <c r="AO59" i="1" s="1"/>
  <c r="AO60" i="1" s="1"/>
  <c r="AO61" i="1" s="1"/>
  <c r="AO62" i="1" s="1"/>
  <c r="AO63" i="1" s="1"/>
  <c r="AO64" i="1" s="1"/>
  <c r="AO65" i="1" s="1"/>
  <c r="AO66" i="1" s="1"/>
  <c r="AO67" i="1" s="1"/>
  <c r="AO68" i="1" s="1"/>
  <c r="AO69" i="1" s="1"/>
  <c r="AO70" i="1" s="1"/>
  <c r="AO71" i="1" s="1"/>
  <c r="AO72" i="1" s="1"/>
  <c r="AO73" i="1" s="1"/>
  <c r="AO74" i="1" s="1"/>
  <c r="AO75" i="1" s="1"/>
  <c r="AO76" i="1" s="1"/>
  <c r="AO77" i="1" s="1"/>
  <c r="AO78" i="1" s="1"/>
  <c r="AO79" i="1" s="1"/>
  <c r="AO80" i="1" s="1"/>
  <c r="AO81" i="1" s="1"/>
  <c r="AO82" i="1" s="1"/>
  <c r="AO83" i="1" s="1"/>
  <c r="AO84" i="1" s="1"/>
  <c r="AO85" i="1" s="1"/>
  <c r="AO86" i="1" s="1"/>
  <c r="AO87" i="1" s="1"/>
  <c r="AO88" i="1" s="1"/>
  <c r="AO89" i="1" s="1"/>
  <c r="AO90" i="1" s="1"/>
  <c r="AO91" i="1" s="1"/>
  <c r="AO92" i="1" s="1"/>
  <c r="AO93" i="1" s="1"/>
  <c r="AO94" i="1" s="1"/>
  <c r="AO95" i="1" s="1"/>
  <c r="AO96" i="1" s="1"/>
  <c r="AO97" i="1" s="1"/>
  <c r="AO98" i="1" s="1"/>
  <c r="AO99" i="1" s="1"/>
  <c r="AO100" i="1" s="1"/>
  <c r="AO101" i="1" s="1"/>
  <c r="AO102" i="1" s="1"/>
  <c r="AO103" i="1" s="1"/>
  <c r="AO104" i="1" s="1"/>
  <c r="AO105" i="1" s="1"/>
  <c r="AO106" i="1" s="1"/>
  <c r="AO107" i="1" s="1"/>
  <c r="AO108" i="1" s="1"/>
  <c r="AO109" i="1" s="1"/>
  <c r="AO110" i="1" s="1"/>
  <c r="AO111" i="1" s="1"/>
  <c r="AO112" i="1" s="1"/>
  <c r="AO113" i="1" s="1"/>
  <c r="AO114" i="1" s="1"/>
  <c r="AO115" i="1" s="1"/>
  <c r="AO116" i="1" s="1"/>
  <c r="AO117" i="1" s="1"/>
  <c r="AO118" i="1" s="1"/>
  <c r="AO119" i="1" s="1"/>
  <c r="AO120" i="1" s="1"/>
  <c r="AO121" i="1" s="1"/>
  <c r="AO122" i="1" s="1"/>
  <c r="AO123" i="1" s="1"/>
  <c r="AO124" i="1" s="1"/>
  <c r="AO125" i="1" s="1"/>
  <c r="AO126" i="1" s="1"/>
  <c r="AO127" i="1" s="1"/>
  <c r="AO128" i="1" s="1"/>
  <c r="AO129" i="1" s="1"/>
  <c r="AO130" i="1" s="1"/>
  <c r="AO131" i="1" s="1"/>
  <c r="AO132" i="1" s="1"/>
  <c r="AO133" i="1" s="1"/>
  <c r="AO134" i="1" s="1"/>
  <c r="AO135" i="1" s="1"/>
  <c r="AO136" i="1" s="1"/>
  <c r="AO137" i="1" s="1"/>
  <c r="AO138" i="1" s="1"/>
  <c r="AO139" i="1" s="1"/>
  <c r="AO140" i="1" s="1"/>
  <c r="AO141" i="1" s="1"/>
  <c r="AO142" i="1" s="1"/>
  <c r="AO143" i="1" s="1"/>
  <c r="AO144" i="1" s="1"/>
  <c r="AO145" i="1" s="1"/>
  <c r="AO146" i="1" s="1"/>
  <c r="AO147" i="1" s="1"/>
  <c r="AO148" i="1" s="1"/>
  <c r="AO149" i="1" s="1"/>
  <c r="AO150" i="1" s="1"/>
  <c r="AO151" i="1" s="1"/>
  <c r="AO152" i="1" s="1"/>
  <c r="AO153" i="1" s="1"/>
  <c r="AO154" i="1" s="1"/>
  <c r="AO155" i="1" s="1"/>
  <c r="AO156" i="1" s="1"/>
  <c r="AO157" i="1" s="1"/>
  <c r="AO158" i="1" s="1"/>
  <c r="AO159" i="1" s="1"/>
  <c r="AO160" i="1" s="1"/>
  <c r="AO161" i="1" s="1"/>
  <c r="AO162" i="1" s="1"/>
  <c r="AO163" i="1" s="1"/>
  <c r="AO164" i="1" s="1"/>
  <c r="AO165" i="1" s="1"/>
  <c r="AO166" i="1" s="1"/>
  <c r="AO167" i="1" s="1"/>
  <c r="AO168" i="1" s="1"/>
  <c r="AO169" i="1" s="1"/>
  <c r="AO170" i="1" s="1"/>
  <c r="AO171" i="1" s="1"/>
  <c r="AO172" i="1" s="1"/>
  <c r="AO173" i="1" s="1"/>
  <c r="AO174" i="1" s="1"/>
  <c r="AO175" i="1" s="1"/>
  <c r="AO176" i="1" s="1"/>
  <c r="AO177" i="1" s="1"/>
  <c r="AO178" i="1" s="1"/>
  <c r="AO179" i="1" s="1"/>
  <c r="AO180" i="1" s="1"/>
  <c r="AO181" i="1" s="1"/>
  <c r="AO182" i="1" s="1"/>
  <c r="AO183" i="1" s="1"/>
  <c r="AO184" i="1" s="1"/>
  <c r="AO185" i="1" s="1"/>
  <c r="AO186" i="1" s="1"/>
  <c r="AO187" i="1" s="1"/>
  <c r="AO188" i="1" s="1"/>
  <c r="AO189" i="1" s="1"/>
  <c r="AO190" i="1" s="1"/>
  <c r="AO191" i="1" s="1"/>
  <c r="AO192" i="1" s="1"/>
  <c r="AO193" i="1" s="1"/>
  <c r="AO194" i="1" s="1"/>
  <c r="AO195" i="1" s="1"/>
  <c r="AO196" i="1" s="1"/>
  <c r="AO197" i="1" s="1"/>
  <c r="AO198" i="1" s="1"/>
  <c r="AO199" i="1" s="1"/>
  <c r="AO200" i="1" s="1"/>
  <c r="AO201" i="1" s="1"/>
  <c r="AO202" i="1" s="1"/>
  <c r="AO203" i="1" s="1"/>
  <c r="AO204" i="1" s="1"/>
  <c r="AO205" i="1" s="1"/>
  <c r="AO206" i="1" s="1"/>
  <c r="AO207" i="1" s="1"/>
  <c r="AO208" i="1" s="1"/>
  <c r="AO209" i="1" s="1"/>
  <c r="AO210" i="1" s="1"/>
  <c r="AO211" i="1" s="1"/>
  <c r="AO212" i="1" s="1"/>
  <c r="AO213" i="1" s="1"/>
  <c r="AO214" i="1" s="1"/>
  <c r="AO215" i="1" s="1"/>
  <c r="AO216" i="1" s="1"/>
  <c r="AO217" i="1" s="1"/>
  <c r="AO218" i="1" s="1"/>
  <c r="AO219" i="1" s="1"/>
  <c r="AO220" i="1" s="1"/>
  <c r="AO221" i="1" s="1"/>
  <c r="AO222" i="1" s="1"/>
  <c r="AO223" i="1" s="1"/>
  <c r="AO224" i="1" s="1"/>
  <c r="AO225" i="1" s="1"/>
  <c r="AO226" i="1" s="1"/>
  <c r="AO227" i="1" s="1"/>
  <c r="AO228" i="1" s="1"/>
  <c r="AO229" i="1" s="1"/>
  <c r="AO230" i="1" s="1"/>
  <c r="AO231" i="1" s="1"/>
  <c r="AO232" i="1" s="1"/>
  <c r="AO233" i="1" s="1"/>
  <c r="AO234" i="1" s="1"/>
  <c r="AO235" i="1" s="1"/>
  <c r="AO236" i="1" s="1"/>
  <c r="AO237" i="1" s="1"/>
  <c r="AO238" i="1" s="1"/>
  <c r="AO239" i="1" s="1"/>
  <c r="AO240" i="1" s="1"/>
  <c r="AO241" i="1" s="1"/>
  <c r="AO242" i="1" s="1"/>
  <c r="AO243" i="1" s="1"/>
  <c r="AO244" i="1" s="1"/>
  <c r="AO245" i="1" s="1"/>
  <c r="AO246" i="1" s="1"/>
  <c r="AO247" i="1" s="1"/>
  <c r="AO248" i="1" s="1"/>
  <c r="AO249" i="1" s="1"/>
  <c r="AO250" i="1" s="1"/>
  <c r="AO251" i="1" s="1"/>
  <c r="AO252" i="1" s="1"/>
  <c r="AO253" i="1" s="1"/>
  <c r="AO254" i="1" s="1"/>
  <c r="AO255" i="1" s="1"/>
  <c r="AO256" i="1" s="1"/>
  <c r="AO257" i="1" s="1"/>
  <c r="AO258" i="1" s="1"/>
  <c r="AO259" i="1" s="1"/>
  <c r="AO260" i="1" s="1"/>
  <c r="AO261" i="1" s="1"/>
  <c r="AO262" i="1" s="1"/>
  <c r="AO263" i="1" s="1"/>
  <c r="AO264" i="1" s="1"/>
  <c r="AO265" i="1" s="1"/>
  <c r="AO266" i="1" s="1"/>
  <c r="AO267" i="1" s="1"/>
  <c r="AO268" i="1" s="1"/>
  <c r="AO269" i="1" s="1"/>
  <c r="AO270" i="1" s="1"/>
  <c r="AO271" i="1" s="1"/>
  <c r="AO272" i="1" s="1"/>
  <c r="AO273" i="1" s="1"/>
  <c r="AO274" i="1" s="1"/>
  <c r="AO275" i="1" s="1"/>
  <c r="AO276" i="1" s="1"/>
  <c r="AO277" i="1" s="1"/>
  <c r="AO278" i="1" s="1"/>
  <c r="AO279" i="1" s="1"/>
  <c r="AO280" i="1" s="1"/>
  <c r="AO281" i="1" s="1"/>
  <c r="AO282" i="1" s="1"/>
  <c r="AO283" i="1" s="1"/>
  <c r="AO284" i="1" s="1"/>
  <c r="AO285" i="1" s="1"/>
  <c r="AO286" i="1" s="1"/>
  <c r="AO287" i="1" s="1"/>
  <c r="AO288" i="1" s="1"/>
  <c r="AO289" i="1" s="1"/>
  <c r="AO290" i="1" s="1"/>
  <c r="AO291" i="1" s="1"/>
  <c r="AO292" i="1" s="1"/>
  <c r="AO293" i="1" s="1"/>
  <c r="AO294" i="1" s="1"/>
  <c r="AO295" i="1" s="1"/>
  <c r="AO296" i="1" s="1"/>
  <c r="AO297" i="1" s="1"/>
  <c r="AO298" i="1" s="1"/>
  <c r="AO299" i="1" s="1"/>
  <c r="AO300" i="1" s="1"/>
  <c r="AO301" i="1" s="1"/>
  <c r="AO302" i="1" s="1"/>
  <c r="AO303" i="1" s="1"/>
  <c r="AO304" i="1" s="1"/>
  <c r="AO305" i="1" s="1"/>
  <c r="AO306" i="1" s="1"/>
  <c r="AO307" i="1" s="1"/>
  <c r="AO308" i="1" s="1"/>
  <c r="AO309" i="1" s="1"/>
  <c r="AO310" i="1" s="1"/>
  <c r="AO311" i="1" s="1"/>
  <c r="AO312" i="1" s="1"/>
  <c r="AO313" i="1" s="1"/>
  <c r="AO314" i="1" s="1"/>
  <c r="AO315" i="1" s="1"/>
  <c r="AO316" i="1" s="1"/>
  <c r="AO317" i="1" s="1"/>
  <c r="AO318" i="1" s="1"/>
  <c r="AO319" i="1" s="1"/>
  <c r="AO320" i="1" s="1"/>
  <c r="AO321" i="1" s="1"/>
  <c r="AO322" i="1" s="1"/>
  <c r="AO323" i="1" s="1"/>
  <c r="AO324" i="1" s="1"/>
  <c r="AO325" i="1" s="1"/>
  <c r="AO326" i="1" s="1"/>
  <c r="AO327" i="1" s="1"/>
  <c r="AO328" i="1" s="1"/>
  <c r="AO329" i="1" s="1"/>
  <c r="AO330" i="1" s="1"/>
  <c r="AO331" i="1" s="1"/>
  <c r="AO332" i="1" s="1"/>
  <c r="AO333" i="1" s="1"/>
  <c r="AO334" i="1" s="1"/>
  <c r="AO335" i="1" s="1"/>
  <c r="AO336" i="1" s="1"/>
  <c r="AO337" i="1" s="1"/>
  <c r="AO338" i="1" s="1"/>
  <c r="AO339" i="1" s="1"/>
  <c r="AO340" i="1" s="1"/>
  <c r="AO341" i="1" s="1"/>
  <c r="AO342" i="1" s="1"/>
  <c r="AO343" i="1" s="1"/>
  <c r="AO344" i="1" s="1"/>
  <c r="AO345" i="1" s="1"/>
  <c r="AO346" i="1" s="1"/>
  <c r="AO347" i="1" s="1"/>
  <c r="AO348" i="1" s="1"/>
  <c r="AO349" i="1" s="1"/>
  <c r="AO350" i="1" s="1"/>
  <c r="AO351" i="1" s="1"/>
  <c r="AO352" i="1" s="1"/>
  <c r="AO353" i="1" s="1"/>
  <c r="AO354" i="1" s="1"/>
  <c r="AO355" i="1" s="1"/>
  <c r="AO356" i="1" s="1"/>
  <c r="AO357" i="1" s="1"/>
  <c r="AO358" i="1" s="1"/>
  <c r="AO359" i="1" s="1"/>
  <c r="AO360" i="1" s="1"/>
  <c r="AO361" i="1" s="1"/>
  <c r="AO362" i="1" s="1"/>
  <c r="AO363" i="1" s="1"/>
  <c r="AO364" i="1" s="1"/>
  <c r="AO365" i="1" s="1"/>
  <c r="AO366" i="1" s="1"/>
  <c r="AO367" i="1" s="1"/>
  <c r="AN1" i="1"/>
  <c r="AN2" i="1" s="1"/>
  <c r="AN3" i="1" s="1"/>
  <c r="AN4" i="1" s="1"/>
  <c r="AN5" i="1" s="1"/>
  <c r="AN6" i="1" s="1"/>
  <c r="AN7" i="1" s="1"/>
  <c r="AN8" i="1" s="1"/>
  <c r="AN9" i="1" s="1"/>
  <c r="AN10" i="1" s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N36" i="1" s="1"/>
  <c r="AN37" i="1" s="1"/>
  <c r="AN38" i="1" s="1"/>
  <c r="AN39" i="1" s="1"/>
  <c r="AN40" i="1" s="1"/>
  <c r="AN41" i="1" s="1"/>
  <c r="AN42" i="1" s="1"/>
  <c r="AN43" i="1" s="1"/>
  <c r="AN44" i="1" s="1"/>
  <c r="AN45" i="1" s="1"/>
  <c r="AN46" i="1" s="1"/>
  <c r="AN47" i="1" s="1"/>
  <c r="AN48" i="1" s="1"/>
  <c r="AN49" i="1" s="1"/>
  <c r="AN50" i="1" s="1"/>
  <c r="AN51" i="1" s="1"/>
  <c r="AN52" i="1" s="1"/>
  <c r="AN53" i="1" s="1"/>
  <c r="AN54" i="1" s="1"/>
  <c r="AN55" i="1" s="1"/>
  <c r="AN56" i="1" s="1"/>
  <c r="AN57" i="1" s="1"/>
  <c r="AN58" i="1" s="1"/>
  <c r="AN59" i="1" s="1"/>
  <c r="AN60" i="1" s="1"/>
  <c r="AN61" i="1" s="1"/>
  <c r="AN62" i="1" s="1"/>
  <c r="AN63" i="1" s="1"/>
  <c r="AN64" i="1" s="1"/>
  <c r="AN65" i="1" s="1"/>
  <c r="AN66" i="1" s="1"/>
  <c r="AN67" i="1" s="1"/>
  <c r="AN68" i="1" s="1"/>
  <c r="AN69" i="1" s="1"/>
  <c r="AN70" i="1" s="1"/>
  <c r="AN71" i="1" s="1"/>
  <c r="AN72" i="1" s="1"/>
  <c r="AN73" i="1" s="1"/>
  <c r="AN74" i="1" s="1"/>
  <c r="AN75" i="1" s="1"/>
  <c r="AN76" i="1" s="1"/>
  <c r="AN77" i="1" s="1"/>
  <c r="AN78" i="1" s="1"/>
  <c r="AN79" i="1" s="1"/>
  <c r="AN80" i="1" s="1"/>
  <c r="AN81" i="1" s="1"/>
  <c r="AN82" i="1" s="1"/>
  <c r="AN83" i="1" s="1"/>
  <c r="AN84" i="1" s="1"/>
  <c r="AN85" i="1" s="1"/>
  <c r="AN86" i="1" s="1"/>
  <c r="AN87" i="1" s="1"/>
  <c r="AN88" i="1" s="1"/>
  <c r="AN89" i="1" s="1"/>
  <c r="AN90" i="1" s="1"/>
  <c r="AN91" i="1" s="1"/>
  <c r="AN92" i="1" s="1"/>
  <c r="AN93" i="1" s="1"/>
  <c r="AN94" i="1" s="1"/>
  <c r="AN95" i="1" s="1"/>
  <c r="AN96" i="1" s="1"/>
  <c r="AN97" i="1" s="1"/>
  <c r="AN98" i="1" s="1"/>
  <c r="AN99" i="1" s="1"/>
  <c r="AN100" i="1" s="1"/>
  <c r="AN101" i="1" s="1"/>
  <c r="AN102" i="1" s="1"/>
  <c r="AN103" i="1" s="1"/>
  <c r="AN104" i="1" s="1"/>
  <c r="AN105" i="1" s="1"/>
  <c r="AN106" i="1" s="1"/>
  <c r="AN107" i="1" s="1"/>
  <c r="AN108" i="1" s="1"/>
  <c r="AN109" i="1" s="1"/>
  <c r="AN110" i="1" s="1"/>
  <c r="AN111" i="1" s="1"/>
  <c r="AN112" i="1" s="1"/>
  <c r="AN113" i="1" s="1"/>
  <c r="AN114" i="1" s="1"/>
  <c r="AN115" i="1" s="1"/>
  <c r="AN116" i="1" s="1"/>
  <c r="AN117" i="1" s="1"/>
  <c r="AN118" i="1" s="1"/>
  <c r="AN119" i="1" s="1"/>
  <c r="AN120" i="1" s="1"/>
  <c r="AN121" i="1" s="1"/>
  <c r="AN122" i="1" s="1"/>
  <c r="AN123" i="1" s="1"/>
  <c r="AN124" i="1" s="1"/>
  <c r="AN125" i="1" s="1"/>
  <c r="AN126" i="1" s="1"/>
  <c r="AN127" i="1" s="1"/>
  <c r="AN128" i="1" s="1"/>
  <c r="AN129" i="1" s="1"/>
  <c r="AN130" i="1" s="1"/>
  <c r="AN131" i="1" s="1"/>
  <c r="AN132" i="1" s="1"/>
  <c r="AN133" i="1" s="1"/>
  <c r="AN134" i="1" s="1"/>
  <c r="AN135" i="1" s="1"/>
  <c r="AN136" i="1" s="1"/>
  <c r="AN137" i="1" s="1"/>
  <c r="AN138" i="1" s="1"/>
  <c r="AN139" i="1" s="1"/>
  <c r="AN140" i="1" s="1"/>
  <c r="AN141" i="1" s="1"/>
  <c r="AN142" i="1" s="1"/>
  <c r="AN143" i="1" s="1"/>
  <c r="AN144" i="1" s="1"/>
  <c r="AN145" i="1" s="1"/>
  <c r="AN146" i="1" s="1"/>
  <c r="AN147" i="1" s="1"/>
  <c r="AN148" i="1" s="1"/>
  <c r="AN149" i="1" s="1"/>
  <c r="AN150" i="1" s="1"/>
  <c r="AN151" i="1" s="1"/>
  <c r="AN152" i="1" s="1"/>
  <c r="AN153" i="1" s="1"/>
  <c r="AN154" i="1" s="1"/>
  <c r="AN155" i="1" s="1"/>
  <c r="AN156" i="1" s="1"/>
  <c r="AN157" i="1" s="1"/>
  <c r="AN158" i="1" s="1"/>
  <c r="AN159" i="1" s="1"/>
  <c r="AN160" i="1" s="1"/>
  <c r="AN161" i="1" s="1"/>
  <c r="AN162" i="1" s="1"/>
  <c r="AN163" i="1" s="1"/>
  <c r="AN164" i="1" s="1"/>
  <c r="AN165" i="1" s="1"/>
  <c r="AN166" i="1" s="1"/>
  <c r="AN167" i="1" s="1"/>
  <c r="AN168" i="1" s="1"/>
  <c r="AN169" i="1" s="1"/>
  <c r="AN170" i="1" s="1"/>
  <c r="AN171" i="1" s="1"/>
  <c r="AN172" i="1" s="1"/>
  <c r="AN173" i="1" s="1"/>
  <c r="AN174" i="1" s="1"/>
  <c r="AN175" i="1" s="1"/>
  <c r="AN176" i="1" s="1"/>
  <c r="AN177" i="1" s="1"/>
  <c r="AN178" i="1" s="1"/>
  <c r="AN179" i="1" s="1"/>
  <c r="AN180" i="1" s="1"/>
  <c r="AN181" i="1" s="1"/>
  <c r="AN182" i="1" s="1"/>
  <c r="AN183" i="1" s="1"/>
  <c r="AN184" i="1" s="1"/>
  <c r="AN185" i="1" s="1"/>
  <c r="AN186" i="1" s="1"/>
  <c r="AN187" i="1" s="1"/>
  <c r="AN188" i="1" s="1"/>
  <c r="AN189" i="1" s="1"/>
  <c r="AN190" i="1" s="1"/>
  <c r="AN191" i="1" s="1"/>
  <c r="AN192" i="1" s="1"/>
  <c r="AN193" i="1" s="1"/>
  <c r="AN194" i="1" s="1"/>
  <c r="AN195" i="1" s="1"/>
  <c r="AN196" i="1" s="1"/>
  <c r="AN197" i="1" s="1"/>
  <c r="AN198" i="1" s="1"/>
  <c r="AN199" i="1" s="1"/>
  <c r="AN200" i="1" s="1"/>
  <c r="AN201" i="1" s="1"/>
  <c r="AN202" i="1" s="1"/>
  <c r="AN203" i="1" s="1"/>
  <c r="AN204" i="1" s="1"/>
  <c r="AN205" i="1" s="1"/>
  <c r="AN206" i="1" s="1"/>
  <c r="AN207" i="1" s="1"/>
  <c r="AN208" i="1" s="1"/>
  <c r="AN209" i="1" s="1"/>
  <c r="AN210" i="1" s="1"/>
  <c r="AN211" i="1" s="1"/>
  <c r="AN212" i="1" s="1"/>
  <c r="AN213" i="1" s="1"/>
  <c r="AN214" i="1" s="1"/>
  <c r="AN215" i="1" s="1"/>
  <c r="AN216" i="1" s="1"/>
  <c r="AN217" i="1" s="1"/>
  <c r="AN218" i="1" s="1"/>
  <c r="AN219" i="1" s="1"/>
  <c r="AN220" i="1" s="1"/>
  <c r="AN221" i="1" s="1"/>
  <c r="AN222" i="1" s="1"/>
  <c r="AN223" i="1" s="1"/>
  <c r="AN224" i="1" s="1"/>
  <c r="AN225" i="1" s="1"/>
  <c r="AN226" i="1" s="1"/>
  <c r="AN227" i="1" s="1"/>
  <c r="AN228" i="1" s="1"/>
  <c r="AN229" i="1" s="1"/>
  <c r="AN230" i="1" s="1"/>
  <c r="AN231" i="1" s="1"/>
  <c r="AN232" i="1" s="1"/>
  <c r="AN233" i="1" s="1"/>
  <c r="AN234" i="1" s="1"/>
  <c r="AN235" i="1" s="1"/>
  <c r="AN236" i="1" s="1"/>
  <c r="AN237" i="1" s="1"/>
  <c r="AN238" i="1" s="1"/>
  <c r="AN239" i="1" s="1"/>
  <c r="AN240" i="1" s="1"/>
  <c r="AN241" i="1" s="1"/>
  <c r="AN242" i="1" s="1"/>
  <c r="AN243" i="1" s="1"/>
  <c r="AN244" i="1" s="1"/>
  <c r="AN245" i="1" s="1"/>
  <c r="AN246" i="1" s="1"/>
  <c r="AN247" i="1" s="1"/>
  <c r="AN248" i="1" s="1"/>
  <c r="AN249" i="1" s="1"/>
  <c r="AN250" i="1" s="1"/>
  <c r="AN251" i="1" s="1"/>
  <c r="AN252" i="1" s="1"/>
  <c r="AN253" i="1" s="1"/>
  <c r="AN254" i="1" s="1"/>
  <c r="AN255" i="1" s="1"/>
  <c r="AN256" i="1" s="1"/>
  <c r="AN257" i="1" s="1"/>
  <c r="AN258" i="1" s="1"/>
  <c r="AN259" i="1" s="1"/>
  <c r="AN260" i="1" s="1"/>
  <c r="AN261" i="1" s="1"/>
  <c r="AN262" i="1" s="1"/>
  <c r="AN263" i="1" s="1"/>
  <c r="AN264" i="1" s="1"/>
  <c r="AN265" i="1" s="1"/>
  <c r="AN266" i="1" s="1"/>
  <c r="AN267" i="1" s="1"/>
  <c r="AN268" i="1" s="1"/>
  <c r="AN269" i="1" s="1"/>
  <c r="AN270" i="1" s="1"/>
  <c r="AN271" i="1" s="1"/>
  <c r="AN272" i="1" s="1"/>
  <c r="AN273" i="1" s="1"/>
  <c r="AN274" i="1" s="1"/>
  <c r="AN275" i="1" s="1"/>
  <c r="AN276" i="1" s="1"/>
  <c r="AN277" i="1" s="1"/>
  <c r="AN278" i="1" s="1"/>
  <c r="AN279" i="1" s="1"/>
  <c r="AN280" i="1" s="1"/>
  <c r="AN281" i="1" s="1"/>
  <c r="AN282" i="1" s="1"/>
  <c r="AN283" i="1" s="1"/>
  <c r="AN284" i="1" s="1"/>
  <c r="AN285" i="1" s="1"/>
  <c r="AN286" i="1" s="1"/>
  <c r="AN287" i="1" s="1"/>
  <c r="AN288" i="1" s="1"/>
  <c r="AN289" i="1" s="1"/>
  <c r="AN290" i="1" s="1"/>
  <c r="AN291" i="1" s="1"/>
  <c r="AN292" i="1" s="1"/>
  <c r="AN293" i="1" s="1"/>
  <c r="AN294" i="1" s="1"/>
  <c r="AN295" i="1" s="1"/>
  <c r="AN296" i="1" s="1"/>
  <c r="AN297" i="1" s="1"/>
  <c r="AN298" i="1" s="1"/>
  <c r="AN299" i="1" s="1"/>
  <c r="AN300" i="1" s="1"/>
  <c r="AN301" i="1" s="1"/>
  <c r="AN302" i="1" s="1"/>
  <c r="AN303" i="1" s="1"/>
  <c r="AN304" i="1" s="1"/>
  <c r="AN305" i="1" s="1"/>
  <c r="AN306" i="1" s="1"/>
  <c r="AN307" i="1" s="1"/>
  <c r="AN308" i="1" s="1"/>
  <c r="AN309" i="1" s="1"/>
  <c r="AN310" i="1" s="1"/>
  <c r="AN311" i="1" s="1"/>
  <c r="AN312" i="1" s="1"/>
  <c r="AN313" i="1" s="1"/>
  <c r="AN314" i="1" s="1"/>
  <c r="AN315" i="1" s="1"/>
  <c r="AN316" i="1" s="1"/>
  <c r="AN317" i="1" s="1"/>
  <c r="AN318" i="1" s="1"/>
  <c r="AN319" i="1" s="1"/>
  <c r="AN320" i="1" s="1"/>
  <c r="AN321" i="1" s="1"/>
  <c r="AN322" i="1" s="1"/>
  <c r="AN323" i="1" s="1"/>
  <c r="AN324" i="1" s="1"/>
  <c r="AN325" i="1" s="1"/>
  <c r="AN326" i="1" s="1"/>
  <c r="AN327" i="1" s="1"/>
  <c r="AN328" i="1" s="1"/>
  <c r="AN329" i="1" s="1"/>
  <c r="AN330" i="1" s="1"/>
  <c r="AN331" i="1" s="1"/>
  <c r="AN332" i="1" s="1"/>
  <c r="AN333" i="1" s="1"/>
  <c r="AN334" i="1" s="1"/>
  <c r="AN335" i="1" s="1"/>
  <c r="AN336" i="1" s="1"/>
  <c r="AN337" i="1" s="1"/>
  <c r="AN338" i="1" s="1"/>
  <c r="AN339" i="1" s="1"/>
  <c r="AN340" i="1" s="1"/>
  <c r="AN341" i="1" s="1"/>
  <c r="AN342" i="1" s="1"/>
  <c r="AN343" i="1" s="1"/>
  <c r="AN344" i="1" s="1"/>
  <c r="AN345" i="1" s="1"/>
  <c r="AN346" i="1" s="1"/>
  <c r="AN347" i="1" s="1"/>
  <c r="AN348" i="1" s="1"/>
  <c r="AN349" i="1" s="1"/>
  <c r="AN350" i="1" s="1"/>
  <c r="AN351" i="1" s="1"/>
  <c r="AN352" i="1" s="1"/>
  <c r="AN353" i="1" s="1"/>
  <c r="AN354" i="1" s="1"/>
  <c r="AN355" i="1" s="1"/>
  <c r="AN356" i="1" s="1"/>
  <c r="AN357" i="1" s="1"/>
  <c r="AN358" i="1" s="1"/>
  <c r="AN359" i="1" s="1"/>
  <c r="AN360" i="1" s="1"/>
  <c r="AN361" i="1" s="1"/>
  <c r="AN362" i="1" s="1"/>
  <c r="AN363" i="1" s="1"/>
  <c r="AN364" i="1" s="1"/>
  <c r="AN365" i="1" s="1"/>
  <c r="AN366" i="1" s="1"/>
  <c r="AN367" i="1" s="1"/>
  <c r="AM1" i="1"/>
  <c r="AM2" i="1" s="1"/>
  <c r="AM3" i="1" s="1"/>
  <c r="AM4" i="1" s="1"/>
  <c r="AM5" i="1" s="1"/>
  <c r="AM6" i="1" s="1"/>
  <c r="AM7" i="1" s="1"/>
  <c r="AM8" i="1" s="1"/>
  <c r="AM9" i="1" s="1"/>
  <c r="AM10" i="1" s="1"/>
  <c r="AM11" i="1" s="1"/>
  <c r="AM12" i="1" s="1"/>
  <c r="AM13" i="1" s="1"/>
  <c r="AM14" i="1" s="1"/>
  <c r="AM15" i="1" s="1"/>
  <c r="AM16" i="1" s="1"/>
  <c r="AM17" i="1" s="1"/>
  <c r="AM18" i="1" s="1"/>
  <c r="AM19" i="1" s="1"/>
  <c r="AM20" i="1" s="1"/>
  <c r="AM21" i="1" s="1"/>
  <c r="AM22" i="1" s="1"/>
  <c r="AM23" i="1" s="1"/>
  <c r="AM24" i="1" s="1"/>
  <c r="AM25" i="1" s="1"/>
  <c r="AM26" i="1" s="1"/>
  <c r="AM27" i="1" s="1"/>
  <c r="AM28" i="1" s="1"/>
  <c r="AM29" i="1" s="1"/>
  <c r="AM30" i="1" s="1"/>
  <c r="AM31" i="1" s="1"/>
  <c r="AM32" i="1" s="1"/>
  <c r="AM33" i="1" s="1"/>
  <c r="AM34" i="1" s="1"/>
  <c r="AM35" i="1" s="1"/>
  <c r="AM36" i="1" s="1"/>
  <c r="AM37" i="1" s="1"/>
  <c r="AM38" i="1" s="1"/>
  <c r="AM39" i="1" s="1"/>
  <c r="AM40" i="1" s="1"/>
  <c r="AM41" i="1" s="1"/>
  <c r="AM42" i="1" s="1"/>
  <c r="AM43" i="1" s="1"/>
  <c r="AM44" i="1" s="1"/>
  <c r="AM45" i="1" s="1"/>
  <c r="AM46" i="1" s="1"/>
  <c r="AM47" i="1" s="1"/>
  <c r="AM48" i="1" s="1"/>
  <c r="AM49" i="1" s="1"/>
  <c r="AM50" i="1" s="1"/>
  <c r="AM51" i="1" s="1"/>
  <c r="AM52" i="1" s="1"/>
  <c r="AM53" i="1" s="1"/>
  <c r="AM54" i="1" s="1"/>
  <c r="AM55" i="1" s="1"/>
  <c r="AM56" i="1" s="1"/>
  <c r="AM57" i="1" s="1"/>
  <c r="AM58" i="1" s="1"/>
  <c r="AM59" i="1" s="1"/>
  <c r="AM60" i="1" s="1"/>
  <c r="AM61" i="1" s="1"/>
  <c r="AM62" i="1" s="1"/>
  <c r="AM63" i="1" s="1"/>
  <c r="AM64" i="1" s="1"/>
  <c r="AM65" i="1" s="1"/>
  <c r="AM66" i="1" s="1"/>
  <c r="AM67" i="1" s="1"/>
  <c r="AM68" i="1" s="1"/>
  <c r="AM69" i="1" s="1"/>
  <c r="AM70" i="1" s="1"/>
  <c r="AM71" i="1" s="1"/>
  <c r="AM72" i="1" s="1"/>
  <c r="AM73" i="1" s="1"/>
  <c r="AM74" i="1" s="1"/>
  <c r="AM75" i="1" s="1"/>
  <c r="AM76" i="1" s="1"/>
  <c r="AM77" i="1" s="1"/>
  <c r="AM78" i="1" s="1"/>
  <c r="AM79" i="1" s="1"/>
  <c r="AM80" i="1" s="1"/>
  <c r="AM81" i="1" s="1"/>
  <c r="AM82" i="1" s="1"/>
  <c r="AM83" i="1" s="1"/>
  <c r="AM84" i="1" s="1"/>
  <c r="AM85" i="1" s="1"/>
  <c r="AM86" i="1" s="1"/>
  <c r="AM87" i="1" s="1"/>
  <c r="AM88" i="1" s="1"/>
  <c r="AM89" i="1" s="1"/>
  <c r="AM90" i="1" s="1"/>
  <c r="AM91" i="1" s="1"/>
  <c r="AM92" i="1" s="1"/>
  <c r="AM93" i="1" s="1"/>
  <c r="AM94" i="1" s="1"/>
  <c r="AM95" i="1" s="1"/>
  <c r="AM96" i="1" s="1"/>
  <c r="AM97" i="1" s="1"/>
  <c r="AM98" i="1" s="1"/>
  <c r="AM99" i="1" s="1"/>
  <c r="AM100" i="1" s="1"/>
  <c r="AM101" i="1" s="1"/>
  <c r="AM102" i="1" s="1"/>
  <c r="AM103" i="1" s="1"/>
  <c r="AM104" i="1" s="1"/>
  <c r="AM105" i="1" s="1"/>
  <c r="AM106" i="1" s="1"/>
  <c r="AM107" i="1" s="1"/>
  <c r="AM108" i="1" s="1"/>
  <c r="AM109" i="1" s="1"/>
  <c r="AM110" i="1" s="1"/>
  <c r="AM111" i="1" s="1"/>
  <c r="AM112" i="1" s="1"/>
  <c r="AM113" i="1" s="1"/>
  <c r="AM114" i="1" s="1"/>
  <c r="AM115" i="1" s="1"/>
  <c r="AM116" i="1" s="1"/>
  <c r="AM117" i="1" s="1"/>
  <c r="AM118" i="1" s="1"/>
  <c r="AM119" i="1" s="1"/>
  <c r="AM120" i="1" s="1"/>
  <c r="AM121" i="1" s="1"/>
  <c r="AM122" i="1" s="1"/>
  <c r="AM123" i="1" s="1"/>
  <c r="AM124" i="1" s="1"/>
  <c r="AM125" i="1" s="1"/>
  <c r="AM126" i="1" s="1"/>
  <c r="AM127" i="1" s="1"/>
  <c r="AM128" i="1" s="1"/>
  <c r="AM129" i="1" s="1"/>
  <c r="AM130" i="1" s="1"/>
  <c r="AM131" i="1" s="1"/>
  <c r="AM132" i="1" s="1"/>
  <c r="AM133" i="1" s="1"/>
  <c r="AM134" i="1" s="1"/>
  <c r="AM135" i="1" s="1"/>
  <c r="AM136" i="1" s="1"/>
  <c r="AM137" i="1" s="1"/>
  <c r="AM138" i="1" s="1"/>
  <c r="AM139" i="1" s="1"/>
  <c r="AM140" i="1" s="1"/>
  <c r="AM141" i="1" s="1"/>
  <c r="AM142" i="1" s="1"/>
  <c r="AM143" i="1" s="1"/>
  <c r="AM144" i="1" s="1"/>
  <c r="AM145" i="1" s="1"/>
  <c r="AM146" i="1" s="1"/>
  <c r="AM147" i="1" s="1"/>
  <c r="AM148" i="1" s="1"/>
  <c r="AM149" i="1" s="1"/>
  <c r="AM150" i="1" s="1"/>
  <c r="AM151" i="1" s="1"/>
  <c r="AM152" i="1" s="1"/>
  <c r="AM153" i="1" s="1"/>
  <c r="AM154" i="1" s="1"/>
  <c r="AM155" i="1" s="1"/>
  <c r="AM156" i="1" s="1"/>
  <c r="AM157" i="1" s="1"/>
  <c r="AM158" i="1" s="1"/>
  <c r="AM159" i="1" s="1"/>
  <c r="AM160" i="1" s="1"/>
  <c r="AM161" i="1" s="1"/>
  <c r="AM162" i="1" s="1"/>
  <c r="AM163" i="1" s="1"/>
  <c r="AM164" i="1" s="1"/>
  <c r="AM165" i="1" s="1"/>
  <c r="AM166" i="1" s="1"/>
  <c r="AM167" i="1" s="1"/>
  <c r="AM168" i="1" s="1"/>
  <c r="AM169" i="1" s="1"/>
  <c r="AM170" i="1" s="1"/>
  <c r="AM171" i="1" s="1"/>
  <c r="AM172" i="1" s="1"/>
  <c r="AM173" i="1" s="1"/>
  <c r="AM174" i="1" s="1"/>
  <c r="AM175" i="1" s="1"/>
  <c r="AM176" i="1" s="1"/>
  <c r="AM177" i="1" s="1"/>
  <c r="AM178" i="1" s="1"/>
  <c r="AM179" i="1" s="1"/>
  <c r="AM180" i="1" s="1"/>
  <c r="AM181" i="1" s="1"/>
  <c r="AM182" i="1" s="1"/>
  <c r="AM183" i="1" s="1"/>
  <c r="AM184" i="1" s="1"/>
  <c r="AM185" i="1" s="1"/>
  <c r="AM186" i="1" s="1"/>
  <c r="AM187" i="1" s="1"/>
  <c r="AM188" i="1" s="1"/>
  <c r="AM189" i="1" s="1"/>
  <c r="AM190" i="1" s="1"/>
  <c r="AM191" i="1" s="1"/>
  <c r="AM192" i="1" s="1"/>
  <c r="AM193" i="1" s="1"/>
  <c r="AM194" i="1" s="1"/>
  <c r="AM195" i="1" s="1"/>
  <c r="AM196" i="1" s="1"/>
  <c r="AM197" i="1" s="1"/>
  <c r="AM198" i="1" s="1"/>
  <c r="AM199" i="1" s="1"/>
  <c r="AM200" i="1" s="1"/>
  <c r="AM201" i="1" s="1"/>
  <c r="AM202" i="1" s="1"/>
  <c r="AM203" i="1" s="1"/>
  <c r="AM204" i="1" s="1"/>
  <c r="AM205" i="1" s="1"/>
  <c r="AM206" i="1" s="1"/>
  <c r="AM207" i="1" s="1"/>
  <c r="AM208" i="1" s="1"/>
  <c r="AM209" i="1" s="1"/>
  <c r="AM210" i="1" s="1"/>
  <c r="AM211" i="1" s="1"/>
  <c r="AM212" i="1" s="1"/>
  <c r="AM213" i="1" s="1"/>
  <c r="AM214" i="1" s="1"/>
  <c r="AM215" i="1" s="1"/>
  <c r="AM216" i="1" s="1"/>
  <c r="AM217" i="1" s="1"/>
  <c r="AM218" i="1" s="1"/>
  <c r="AM219" i="1" s="1"/>
  <c r="AM220" i="1" s="1"/>
  <c r="AM221" i="1" s="1"/>
  <c r="AM222" i="1" s="1"/>
  <c r="AM223" i="1" s="1"/>
  <c r="AM224" i="1" s="1"/>
  <c r="AM225" i="1" s="1"/>
  <c r="AM226" i="1" s="1"/>
  <c r="AM227" i="1" s="1"/>
  <c r="AM228" i="1" s="1"/>
  <c r="AM229" i="1" s="1"/>
  <c r="AM230" i="1" s="1"/>
  <c r="AM231" i="1" s="1"/>
  <c r="AM232" i="1" s="1"/>
  <c r="AM233" i="1" s="1"/>
  <c r="AM234" i="1" s="1"/>
  <c r="AM235" i="1" s="1"/>
  <c r="AM236" i="1" s="1"/>
  <c r="AM237" i="1" s="1"/>
  <c r="AM238" i="1" s="1"/>
  <c r="AM239" i="1" s="1"/>
  <c r="AM240" i="1" s="1"/>
  <c r="AM241" i="1" s="1"/>
  <c r="AM242" i="1" s="1"/>
  <c r="AM243" i="1" s="1"/>
  <c r="AM244" i="1" s="1"/>
  <c r="AM245" i="1" s="1"/>
  <c r="AM246" i="1" s="1"/>
  <c r="AM247" i="1" s="1"/>
  <c r="AM248" i="1" s="1"/>
  <c r="AM249" i="1" s="1"/>
  <c r="AM250" i="1" s="1"/>
  <c r="AM251" i="1" s="1"/>
  <c r="AM252" i="1" s="1"/>
  <c r="AM253" i="1" s="1"/>
  <c r="AM254" i="1" s="1"/>
  <c r="AM255" i="1" s="1"/>
  <c r="AM256" i="1" s="1"/>
  <c r="AM257" i="1" s="1"/>
  <c r="AM258" i="1" s="1"/>
  <c r="AM259" i="1" s="1"/>
  <c r="AM260" i="1" s="1"/>
  <c r="AM261" i="1" s="1"/>
  <c r="AM262" i="1" s="1"/>
  <c r="AM263" i="1" s="1"/>
  <c r="AM264" i="1" s="1"/>
  <c r="AM265" i="1" s="1"/>
  <c r="AM266" i="1" s="1"/>
  <c r="AM267" i="1" s="1"/>
  <c r="AM268" i="1" s="1"/>
  <c r="AM269" i="1" s="1"/>
  <c r="AM270" i="1" s="1"/>
  <c r="AM271" i="1" s="1"/>
  <c r="AM272" i="1" s="1"/>
  <c r="AM273" i="1" s="1"/>
  <c r="AM274" i="1" s="1"/>
  <c r="AM275" i="1" s="1"/>
  <c r="AM276" i="1" s="1"/>
  <c r="AM277" i="1" s="1"/>
  <c r="AM278" i="1" s="1"/>
  <c r="AM279" i="1" s="1"/>
  <c r="AM280" i="1" s="1"/>
  <c r="AM281" i="1" s="1"/>
  <c r="AM282" i="1" s="1"/>
  <c r="AM283" i="1" s="1"/>
  <c r="AM284" i="1" s="1"/>
  <c r="AM285" i="1" s="1"/>
  <c r="AM286" i="1" s="1"/>
  <c r="AM287" i="1" s="1"/>
  <c r="AM288" i="1" s="1"/>
  <c r="AM289" i="1" s="1"/>
  <c r="AM290" i="1" s="1"/>
  <c r="AM291" i="1" s="1"/>
  <c r="AM292" i="1" s="1"/>
  <c r="AM293" i="1" s="1"/>
  <c r="AM294" i="1" s="1"/>
  <c r="AM295" i="1" s="1"/>
  <c r="AM296" i="1" s="1"/>
  <c r="AM297" i="1" s="1"/>
  <c r="AM298" i="1" s="1"/>
  <c r="AM299" i="1" s="1"/>
  <c r="AM300" i="1" s="1"/>
  <c r="AM301" i="1" s="1"/>
  <c r="AM302" i="1" s="1"/>
  <c r="AM303" i="1" s="1"/>
  <c r="AM304" i="1" s="1"/>
  <c r="AM305" i="1" s="1"/>
  <c r="AM306" i="1" s="1"/>
  <c r="AM307" i="1" s="1"/>
  <c r="AM308" i="1" s="1"/>
  <c r="AM309" i="1" s="1"/>
  <c r="AM310" i="1" s="1"/>
  <c r="AM311" i="1" s="1"/>
  <c r="AM312" i="1" s="1"/>
  <c r="AM313" i="1" s="1"/>
  <c r="AM314" i="1" s="1"/>
  <c r="AM315" i="1" s="1"/>
  <c r="AM316" i="1" s="1"/>
  <c r="AM317" i="1" s="1"/>
  <c r="AM318" i="1" s="1"/>
  <c r="AM319" i="1" s="1"/>
  <c r="AM320" i="1" s="1"/>
  <c r="AM321" i="1" s="1"/>
  <c r="AM322" i="1" s="1"/>
  <c r="AM323" i="1" s="1"/>
  <c r="AM324" i="1" s="1"/>
  <c r="AM325" i="1" s="1"/>
  <c r="AM326" i="1" s="1"/>
  <c r="AM327" i="1" s="1"/>
  <c r="AM328" i="1" s="1"/>
  <c r="AM329" i="1" s="1"/>
  <c r="AM330" i="1" s="1"/>
  <c r="AM331" i="1" s="1"/>
  <c r="AM332" i="1" s="1"/>
  <c r="AM333" i="1" s="1"/>
  <c r="AM334" i="1" s="1"/>
  <c r="AM335" i="1" s="1"/>
  <c r="AM336" i="1" s="1"/>
  <c r="AM337" i="1" s="1"/>
  <c r="AM338" i="1" s="1"/>
  <c r="AM339" i="1" s="1"/>
  <c r="AM340" i="1" s="1"/>
  <c r="AM341" i="1" s="1"/>
  <c r="AM342" i="1" s="1"/>
  <c r="AM343" i="1" s="1"/>
  <c r="AM344" i="1" s="1"/>
  <c r="AM345" i="1" s="1"/>
  <c r="AM346" i="1" s="1"/>
  <c r="AM347" i="1" s="1"/>
  <c r="AM348" i="1" s="1"/>
  <c r="AM349" i="1" s="1"/>
  <c r="AM350" i="1" s="1"/>
  <c r="AM351" i="1" s="1"/>
  <c r="AM352" i="1" s="1"/>
  <c r="AM353" i="1" s="1"/>
  <c r="AM354" i="1" s="1"/>
  <c r="AM355" i="1" s="1"/>
  <c r="AM356" i="1" s="1"/>
  <c r="AM357" i="1" s="1"/>
  <c r="AM358" i="1" s="1"/>
  <c r="AM359" i="1" s="1"/>
  <c r="AM360" i="1" s="1"/>
  <c r="AM361" i="1" s="1"/>
  <c r="AM362" i="1" s="1"/>
  <c r="AM363" i="1" s="1"/>
  <c r="AM364" i="1" s="1"/>
  <c r="AM365" i="1" s="1"/>
  <c r="AM366" i="1" s="1"/>
  <c r="AM367" i="1" s="1"/>
  <c r="B8" i="2"/>
  <c r="S10" i="2" s="1"/>
  <c r="AW3" i="1"/>
  <c r="AL1" i="1"/>
  <c r="AL2" i="1" l="1"/>
  <c r="AL3" i="1" s="1"/>
  <c r="AL4" i="1" s="1"/>
  <c r="AL5" i="1" s="1"/>
  <c r="AL6" i="1" s="1"/>
  <c r="AL7" i="1" s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L38" i="1" s="1"/>
  <c r="AL39" i="1" s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54" i="1" s="1"/>
  <c r="AL55" i="1" s="1"/>
  <c r="AL56" i="1" s="1"/>
  <c r="AL57" i="1" s="1"/>
  <c r="AL58" i="1" s="1"/>
  <c r="AL59" i="1" s="1"/>
  <c r="AL60" i="1" s="1"/>
  <c r="AL61" i="1" s="1"/>
  <c r="AL62" i="1" s="1"/>
  <c r="AL63" i="1" s="1"/>
  <c r="AL64" i="1" s="1"/>
  <c r="AL65" i="1" s="1"/>
  <c r="AL66" i="1" s="1"/>
  <c r="AL67" i="1" s="1"/>
  <c r="AL68" i="1" s="1"/>
  <c r="AL69" i="1" s="1"/>
  <c r="AL70" i="1" s="1"/>
  <c r="AL71" i="1" s="1"/>
  <c r="AL72" i="1" s="1"/>
  <c r="AL73" i="1" s="1"/>
  <c r="AL74" i="1" s="1"/>
  <c r="AL75" i="1" s="1"/>
  <c r="AL76" i="1" s="1"/>
  <c r="AL77" i="1" s="1"/>
  <c r="AL78" i="1" s="1"/>
  <c r="AL79" i="1" s="1"/>
  <c r="AL80" i="1" s="1"/>
  <c r="AL81" i="1" s="1"/>
  <c r="AL82" i="1" s="1"/>
  <c r="AL83" i="1" s="1"/>
  <c r="AL84" i="1" s="1"/>
  <c r="AL85" i="1" s="1"/>
  <c r="AL86" i="1" s="1"/>
  <c r="AL87" i="1" s="1"/>
  <c r="AL88" i="1" s="1"/>
  <c r="AL89" i="1" s="1"/>
  <c r="AL90" i="1" s="1"/>
  <c r="AL91" i="1" s="1"/>
  <c r="AL92" i="1" s="1"/>
  <c r="AL93" i="1" s="1"/>
  <c r="AL94" i="1" s="1"/>
  <c r="AL95" i="1" s="1"/>
  <c r="AL96" i="1" s="1"/>
  <c r="AL97" i="1" s="1"/>
  <c r="AL98" i="1" s="1"/>
  <c r="AL99" i="1" s="1"/>
  <c r="AL100" i="1" s="1"/>
  <c r="AL101" i="1" s="1"/>
  <c r="AL102" i="1" s="1"/>
  <c r="AL103" i="1" s="1"/>
  <c r="AL104" i="1" s="1"/>
  <c r="AL105" i="1" s="1"/>
  <c r="AL106" i="1" s="1"/>
  <c r="AL107" i="1" s="1"/>
  <c r="AL108" i="1" s="1"/>
  <c r="AL109" i="1" s="1"/>
  <c r="AL110" i="1" s="1"/>
  <c r="AL111" i="1" s="1"/>
  <c r="AL112" i="1" s="1"/>
  <c r="AL113" i="1" s="1"/>
  <c r="AL114" i="1" s="1"/>
  <c r="AL115" i="1" s="1"/>
  <c r="AL116" i="1" s="1"/>
  <c r="AL117" i="1" s="1"/>
  <c r="AL118" i="1" s="1"/>
  <c r="AL119" i="1" s="1"/>
  <c r="AL120" i="1" s="1"/>
  <c r="AL121" i="1" s="1"/>
  <c r="AL122" i="1" s="1"/>
  <c r="AL123" i="1" s="1"/>
  <c r="AL124" i="1" s="1"/>
  <c r="AL125" i="1" s="1"/>
  <c r="AL126" i="1" s="1"/>
  <c r="AL127" i="1" s="1"/>
  <c r="AL128" i="1" s="1"/>
  <c r="AL129" i="1" s="1"/>
  <c r="AL130" i="1" s="1"/>
  <c r="AL131" i="1" s="1"/>
  <c r="AL132" i="1" s="1"/>
  <c r="AL133" i="1" s="1"/>
  <c r="AL134" i="1" s="1"/>
  <c r="AL135" i="1" s="1"/>
  <c r="AL136" i="1" s="1"/>
  <c r="AL137" i="1" s="1"/>
  <c r="AL138" i="1" s="1"/>
  <c r="AL139" i="1" s="1"/>
  <c r="AL140" i="1" s="1"/>
  <c r="AL141" i="1" s="1"/>
  <c r="AL142" i="1" s="1"/>
  <c r="AL143" i="1" s="1"/>
  <c r="AL144" i="1" s="1"/>
  <c r="AL145" i="1" s="1"/>
  <c r="AL146" i="1" s="1"/>
  <c r="AL147" i="1" s="1"/>
  <c r="AL148" i="1" s="1"/>
  <c r="AL149" i="1" s="1"/>
  <c r="AL150" i="1" s="1"/>
  <c r="AL151" i="1" s="1"/>
  <c r="AL152" i="1" s="1"/>
  <c r="AL153" i="1" s="1"/>
  <c r="AL154" i="1" s="1"/>
  <c r="AL155" i="1" s="1"/>
  <c r="AL156" i="1" s="1"/>
  <c r="AL157" i="1" s="1"/>
  <c r="AL158" i="1" s="1"/>
  <c r="AL159" i="1" s="1"/>
  <c r="AL160" i="1" s="1"/>
  <c r="AL161" i="1" s="1"/>
  <c r="AL162" i="1" s="1"/>
  <c r="AL163" i="1" s="1"/>
  <c r="AL164" i="1" s="1"/>
  <c r="AL165" i="1" s="1"/>
  <c r="AL166" i="1" s="1"/>
  <c r="AL167" i="1" s="1"/>
  <c r="AL168" i="1" s="1"/>
  <c r="AL169" i="1" s="1"/>
  <c r="AL170" i="1" s="1"/>
  <c r="AL171" i="1" s="1"/>
  <c r="AL172" i="1" s="1"/>
  <c r="AL173" i="1" s="1"/>
  <c r="AL174" i="1" s="1"/>
  <c r="AL175" i="1" s="1"/>
  <c r="AL176" i="1" s="1"/>
  <c r="AL177" i="1" s="1"/>
  <c r="AL178" i="1" s="1"/>
  <c r="AL179" i="1" s="1"/>
  <c r="AL180" i="1" s="1"/>
  <c r="AL181" i="1" s="1"/>
  <c r="AL182" i="1" s="1"/>
  <c r="AL183" i="1" s="1"/>
  <c r="AL184" i="1" s="1"/>
  <c r="AL185" i="1" s="1"/>
  <c r="AL186" i="1" s="1"/>
  <c r="AL187" i="1" s="1"/>
  <c r="AL188" i="1" s="1"/>
  <c r="AL189" i="1" s="1"/>
  <c r="AL190" i="1" s="1"/>
  <c r="AL191" i="1" s="1"/>
  <c r="AL192" i="1" s="1"/>
  <c r="AL193" i="1" s="1"/>
  <c r="AL194" i="1" s="1"/>
  <c r="AL195" i="1" s="1"/>
  <c r="AL196" i="1" s="1"/>
  <c r="AL197" i="1" s="1"/>
  <c r="AL198" i="1" s="1"/>
  <c r="AL199" i="1" s="1"/>
  <c r="AL200" i="1" s="1"/>
  <c r="AL201" i="1" s="1"/>
  <c r="AL202" i="1" s="1"/>
  <c r="AL203" i="1" s="1"/>
  <c r="AL204" i="1" s="1"/>
  <c r="AL205" i="1" s="1"/>
  <c r="AL206" i="1" s="1"/>
  <c r="AL207" i="1" s="1"/>
  <c r="AL208" i="1" s="1"/>
  <c r="AL209" i="1" s="1"/>
  <c r="AL210" i="1" s="1"/>
  <c r="AL211" i="1" s="1"/>
  <c r="AL212" i="1" s="1"/>
  <c r="AL213" i="1" s="1"/>
  <c r="AL214" i="1" s="1"/>
  <c r="AL215" i="1" s="1"/>
  <c r="AL216" i="1" s="1"/>
  <c r="AL217" i="1" s="1"/>
  <c r="AL218" i="1" s="1"/>
  <c r="AL219" i="1" s="1"/>
  <c r="AL220" i="1" s="1"/>
  <c r="AL221" i="1" s="1"/>
  <c r="AL222" i="1" s="1"/>
  <c r="AL223" i="1" s="1"/>
  <c r="AL224" i="1" s="1"/>
  <c r="AL225" i="1" s="1"/>
  <c r="AL226" i="1" s="1"/>
  <c r="AL227" i="1" s="1"/>
  <c r="AL228" i="1" s="1"/>
  <c r="AL229" i="1" s="1"/>
  <c r="AL230" i="1" s="1"/>
  <c r="AL231" i="1" s="1"/>
  <c r="AL232" i="1" s="1"/>
  <c r="AL233" i="1" s="1"/>
  <c r="AL234" i="1" s="1"/>
  <c r="AL235" i="1" s="1"/>
  <c r="AL236" i="1" s="1"/>
  <c r="AL237" i="1" s="1"/>
  <c r="AL238" i="1" s="1"/>
  <c r="AL239" i="1" s="1"/>
  <c r="AL240" i="1" s="1"/>
  <c r="AL241" i="1" s="1"/>
  <c r="AL242" i="1" s="1"/>
  <c r="AL243" i="1" s="1"/>
  <c r="AL244" i="1" s="1"/>
  <c r="AL245" i="1" s="1"/>
  <c r="AL246" i="1" s="1"/>
  <c r="AL247" i="1" s="1"/>
  <c r="AL248" i="1" s="1"/>
  <c r="AL249" i="1" s="1"/>
  <c r="AL250" i="1" s="1"/>
  <c r="AL251" i="1" s="1"/>
  <c r="AL252" i="1" s="1"/>
  <c r="AL253" i="1" s="1"/>
  <c r="AL254" i="1" s="1"/>
  <c r="AL255" i="1" s="1"/>
  <c r="AL256" i="1" s="1"/>
  <c r="AL257" i="1" s="1"/>
  <c r="AL258" i="1" s="1"/>
  <c r="AL259" i="1" s="1"/>
  <c r="AL260" i="1" s="1"/>
  <c r="AL261" i="1" s="1"/>
  <c r="AL262" i="1" s="1"/>
  <c r="AL263" i="1" s="1"/>
  <c r="AL264" i="1" s="1"/>
  <c r="AL265" i="1" s="1"/>
  <c r="AL266" i="1" s="1"/>
  <c r="AL267" i="1" s="1"/>
  <c r="AL268" i="1" s="1"/>
  <c r="AL269" i="1" s="1"/>
  <c r="AL270" i="1" s="1"/>
  <c r="AL271" i="1" s="1"/>
  <c r="AL272" i="1" s="1"/>
  <c r="AL273" i="1" s="1"/>
  <c r="AL274" i="1" s="1"/>
  <c r="AL275" i="1" s="1"/>
  <c r="AL276" i="1" s="1"/>
  <c r="AL277" i="1" s="1"/>
  <c r="AL278" i="1" s="1"/>
  <c r="AL279" i="1" s="1"/>
  <c r="AL280" i="1" s="1"/>
  <c r="AL281" i="1" s="1"/>
  <c r="AL282" i="1" s="1"/>
  <c r="AL283" i="1" s="1"/>
  <c r="AL284" i="1" s="1"/>
  <c r="AL285" i="1" s="1"/>
  <c r="AL286" i="1" s="1"/>
  <c r="AL287" i="1" s="1"/>
  <c r="AL288" i="1" s="1"/>
  <c r="AL289" i="1" s="1"/>
  <c r="AL290" i="1" s="1"/>
  <c r="AL291" i="1" s="1"/>
  <c r="AL292" i="1" s="1"/>
  <c r="AL293" i="1" s="1"/>
  <c r="AL294" i="1" s="1"/>
  <c r="AL295" i="1" s="1"/>
  <c r="AL296" i="1" s="1"/>
  <c r="AL297" i="1" s="1"/>
  <c r="AL298" i="1" s="1"/>
  <c r="AL299" i="1" s="1"/>
  <c r="AL300" i="1" s="1"/>
  <c r="AL301" i="1" s="1"/>
  <c r="AL302" i="1" s="1"/>
  <c r="AL303" i="1" s="1"/>
  <c r="AL304" i="1" s="1"/>
  <c r="AL305" i="1" s="1"/>
  <c r="AL306" i="1" s="1"/>
  <c r="AL307" i="1" s="1"/>
  <c r="AL308" i="1" s="1"/>
  <c r="AL309" i="1" s="1"/>
  <c r="AL310" i="1" s="1"/>
  <c r="AL311" i="1" s="1"/>
  <c r="AL312" i="1" s="1"/>
  <c r="AL313" i="1" s="1"/>
  <c r="AL314" i="1" s="1"/>
  <c r="AL315" i="1" s="1"/>
  <c r="AL316" i="1" s="1"/>
  <c r="AL317" i="1" s="1"/>
  <c r="AL318" i="1" s="1"/>
  <c r="AL319" i="1" s="1"/>
  <c r="AL320" i="1" s="1"/>
  <c r="AL321" i="1" s="1"/>
  <c r="AL322" i="1" s="1"/>
  <c r="AL323" i="1" s="1"/>
  <c r="AL324" i="1" s="1"/>
  <c r="AL325" i="1" s="1"/>
  <c r="AL326" i="1" s="1"/>
  <c r="AL327" i="1" s="1"/>
  <c r="AL328" i="1" s="1"/>
  <c r="AL329" i="1" s="1"/>
  <c r="AL330" i="1" s="1"/>
  <c r="AL331" i="1" s="1"/>
  <c r="AL332" i="1" s="1"/>
  <c r="AL333" i="1" s="1"/>
  <c r="AL334" i="1" s="1"/>
  <c r="AL335" i="1" s="1"/>
  <c r="AL336" i="1" s="1"/>
  <c r="AL337" i="1" s="1"/>
  <c r="AL338" i="1" s="1"/>
  <c r="AL339" i="1" s="1"/>
  <c r="AL340" i="1" s="1"/>
  <c r="AL341" i="1" s="1"/>
  <c r="AL342" i="1" s="1"/>
  <c r="AL343" i="1" s="1"/>
  <c r="AL344" i="1" s="1"/>
  <c r="AL345" i="1" s="1"/>
  <c r="AL346" i="1" s="1"/>
  <c r="AL347" i="1" s="1"/>
  <c r="AL348" i="1" s="1"/>
  <c r="AL349" i="1" s="1"/>
  <c r="AL350" i="1" s="1"/>
  <c r="AL351" i="1" s="1"/>
  <c r="AL352" i="1" s="1"/>
  <c r="AL353" i="1" s="1"/>
  <c r="AL354" i="1" s="1"/>
  <c r="AL355" i="1" s="1"/>
  <c r="AL356" i="1" s="1"/>
  <c r="AL357" i="1" s="1"/>
  <c r="AL358" i="1" s="1"/>
  <c r="AL359" i="1" s="1"/>
  <c r="AL360" i="1" s="1"/>
  <c r="AL361" i="1" s="1"/>
  <c r="AL362" i="1" s="1"/>
  <c r="AL363" i="1" s="1"/>
  <c r="AL364" i="1" s="1"/>
  <c r="AL365" i="1" s="1"/>
  <c r="AL366" i="1" s="1"/>
  <c r="AL367" i="1" s="1"/>
  <c r="S8" i="2"/>
  <c r="S9" i="2"/>
  <c r="S6" i="2"/>
  <c r="S11" i="2"/>
  <c r="S7" i="2"/>
</calcChain>
</file>

<file path=xl/sharedStrings.xml><?xml version="1.0" encoding="utf-8"?>
<sst xmlns="http://schemas.openxmlformats.org/spreadsheetml/2006/main" count="82" uniqueCount="45">
  <si>
    <t>Date</t>
  </si>
  <si>
    <t>etherum Open</t>
  </si>
  <si>
    <t>etherum High</t>
  </si>
  <si>
    <t>etherum Low</t>
  </si>
  <si>
    <t>etherum Close</t>
  </si>
  <si>
    <t>etherum Adj Close</t>
  </si>
  <si>
    <t>etherum Volume</t>
  </si>
  <si>
    <t>bitcoin Open</t>
  </si>
  <si>
    <t>bitcoin High</t>
  </si>
  <si>
    <t>bitcoin Low</t>
  </si>
  <si>
    <t>bitcoin Close</t>
  </si>
  <si>
    <t>bitcoin Adj Close</t>
  </si>
  <si>
    <t>bitcoin Volume</t>
  </si>
  <si>
    <t>Tether Open</t>
  </si>
  <si>
    <t>Tether High</t>
  </si>
  <si>
    <t>Tether Low</t>
  </si>
  <si>
    <t>Tether Close</t>
  </si>
  <si>
    <t>Tether Adj Close</t>
  </si>
  <si>
    <t>Tether Volume</t>
  </si>
  <si>
    <t>Usd coin Open</t>
  </si>
  <si>
    <t>Usd coin High</t>
  </si>
  <si>
    <t>Usd coin Low</t>
  </si>
  <si>
    <t>Usd coin Close</t>
  </si>
  <si>
    <t>Usd coin Adj Close</t>
  </si>
  <si>
    <t>Usd coin Volume</t>
  </si>
  <si>
    <t>Cardona Open</t>
  </si>
  <si>
    <t>Cardona High</t>
  </si>
  <si>
    <t>Cardona Low</t>
  </si>
  <si>
    <t>Cardona Close</t>
  </si>
  <si>
    <t>Cardona Adj Close</t>
  </si>
  <si>
    <t>Cardona Volume</t>
  </si>
  <si>
    <t>crypto dropdown</t>
  </si>
  <si>
    <t>open</t>
  </si>
  <si>
    <t>close</t>
  </si>
  <si>
    <t>high</t>
  </si>
  <si>
    <t>low</t>
  </si>
  <si>
    <t>52 weeks high</t>
  </si>
  <si>
    <t>52 weeks low</t>
  </si>
  <si>
    <t>finding space</t>
  </si>
  <si>
    <t>all crypto dropdown</t>
  </si>
  <si>
    <t>CRYPTO CURRENCY DASHBOARD</t>
  </si>
  <si>
    <t>heading</t>
  </si>
  <si>
    <t>dropdown</t>
  </si>
  <si>
    <t>formula</t>
  </si>
  <si>
    <t>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</si>
</sst>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1" fillId="4" borderId="1" xfId="0" applyFont="1" applyFill="1" applyBorder="1"/>
    <xf numFmtId="14" fontId="0" fillId="3" borderId="1" xfId="0" applyNumberFormat="1" applyFill="1" applyBorder="1"/>
    <xf numFmtId="0" fontId="2" fillId="4" borderId="0" xfId="0" applyFont="1" applyFill="1"/>
    <xf numFmtId="0" fontId="1" fillId="5" borderId="1" xfId="0" applyFont="1" applyFill="1" applyBorder="1"/>
    <xf numFmtId="0" fontId="0" fillId="5" borderId="1" xfId="0" applyFill="1" applyBorder="1"/>
    <xf numFmtId="0" fontId="0" fillId="6" borderId="0" xfId="0" applyFill="1"/>
    <xf numFmtId="0" fontId="2" fillId="6" borderId="0" xfId="0" applyFont="1" applyFill="1"/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worksheet!$AL$1</c:f>
              <c:strCache>
                <c:ptCount val="1"/>
                <c:pt idx="0">
                  <c:v>etherum Open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worksheet!$AK$2:$AK$367</c:f>
              <c:numCache>
                <c:formatCode>m/d/yyyy</c:formatCode>
                <c:ptCount val="366"/>
                <c:pt idx="0">
                  <c:v>44522</c:v>
                </c:pt>
                <c:pt idx="1">
                  <c:v>44523</c:v>
                </c:pt>
                <c:pt idx="2">
                  <c:v>44524</c:v>
                </c:pt>
                <c:pt idx="3">
                  <c:v>44525</c:v>
                </c:pt>
                <c:pt idx="4">
                  <c:v>44526</c:v>
                </c:pt>
                <c:pt idx="5">
                  <c:v>44527</c:v>
                </c:pt>
                <c:pt idx="6">
                  <c:v>44528</c:v>
                </c:pt>
                <c:pt idx="7">
                  <c:v>44529</c:v>
                </c:pt>
                <c:pt idx="8">
                  <c:v>44530</c:v>
                </c:pt>
                <c:pt idx="9">
                  <c:v>44531</c:v>
                </c:pt>
                <c:pt idx="10">
                  <c:v>44532</c:v>
                </c:pt>
                <c:pt idx="11">
                  <c:v>44533</c:v>
                </c:pt>
                <c:pt idx="12">
                  <c:v>44534</c:v>
                </c:pt>
                <c:pt idx="13">
                  <c:v>44535</c:v>
                </c:pt>
                <c:pt idx="14">
                  <c:v>44536</c:v>
                </c:pt>
                <c:pt idx="15">
                  <c:v>44537</c:v>
                </c:pt>
                <c:pt idx="16">
                  <c:v>44538</c:v>
                </c:pt>
                <c:pt idx="17">
                  <c:v>44539</c:v>
                </c:pt>
                <c:pt idx="18">
                  <c:v>44540</c:v>
                </c:pt>
                <c:pt idx="19">
                  <c:v>44541</c:v>
                </c:pt>
                <c:pt idx="20">
                  <c:v>44542</c:v>
                </c:pt>
                <c:pt idx="21">
                  <c:v>44543</c:v>
                </c:pt>
                <c:pt idx="22">
                  <c:v>44544</c:v>
                </c:pt>
                <c:pt idx="23">
                  <c:v>44545</c:v>
                </c:pt>
                <c:pt idx="24">
                  <c:v>44546</c:v>
                </c:pt>
                <c:pt idx="25">
                  <c:v>44547</c:v>
                </c:pt>
                <c:pt idx="26">
                  <c:v>44548</c:v>
                </c:pt>
                <c:pt idx="27">
                  <c:v>44549</c:v>
                </c:pt>
                <c:pt idx="28">
                  <c:v>44550</c:v>
                </c:pt>
                <c:pt idx="29">
                  <c:v>44551</c:v>
                </c:pt>
                <c:pt idx="30">
                  <c:v>44552</c:v>
                </c:pt>
                <c:pt idx="31">
                  <c:v>44553</c:v>
                </c:pt>
                <c:pt idx="32">
                  <c:v>44554</c:v>
                </c:pt>
                <c:pt idx="33">
                  <c:v>44555</c:v>
                </c:pt>
                <c:pt idx="34">
                  <c:v>44556</c:v>
                </c:pt>
                <c:pt idx="35">
                  <c:v>44557</c:v>
                </c:pt>
                <c:pt idx="36">
                  <c:v>44558</c:v>
                </c:pt>
                <c:pt idx="37">
                  <c:v>44559</c:v>
                </c:pt>
                <c:pt idx="38">
                  <c:v>44560</c:v>
                </c:pt>
                <c:pt idx="39">
                  <c:v>44561</c:v>
                </c:pt>
                <c:pt idx="40">
                  <c:v>44562</c:v>
                </c:pt>
                <c:pt idx="41">
                  <c:v>44563</c:v>
                </c:pt>
                <c:pt idx="42">
                  <c:v>44564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44569</c:v>
                </c:pt>
                <c:pt idx="48">
                  <c:v>44570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44576</c:v>
                </c:pt>
                <c:pt idx="55">
                  <c:v>44577</c:v>
                </c:pt>
                <c:pt idx="56">
                  <c:v>44578</c:v>
                </c:pt>
                <c:pt idx="57">
                  <c:v>44579</c:v>
                </c:pt>
                <c:pt idx="58">
                  <c:v>44580</c:v>
                </c:pt>
                <c:pt idx="59">
                  <c:v>44581</c:v>
                </c:pt>
                <c:pt idx="60">
                  <c:v>44582</c:v>
                </c:pt>
                <c:pt idx="61">
                  <c:v>44583</c:v>
                </c:pt>
                <c:pt idx="62">
                  <c:v>44584</c:v>
                </c:pt>
                <c:pt idx="63">
                  <c:v>44585</c:v>
                </c:pt>
                <c:pt idx="64">
                  <c:v>44586</c:v>
                </c:pt>
                <c:pt idx="65">
                  <c:v>44587</c:v>
                </c:pt>
                <c:pt idx="66">
                  <c:v>44588</c:v>
                </c:pt>
                <c:pt idx="67">
                  <c:v>44589</c:v>
                </c:pt>
                <c:pt idx="68">
                  <c:v>44590</c:v>
                </c:pt>
                <c:pt idx="69">
                  <c:v>44591</c:v>
                </c:pt>
                <c:pt idx="70">
                  <c:v>44592</c:v>
                </c:pt>
                <c:pt idx="71">
                  <c:v>44593</c:v>
                </c:pt>
                <c:pt idx="72">
                  <c:v>44594</c:v>
                </c:pt>
                <c:pt idx="73">
                  <c:v>44595</c:v>
                </c:pt>
                <c:pt idx="74">
                  <c:v>44596</c:v>
                </c:pt>
                <c:pt idx="75">
                  <c:v>44597</c:v>
                </c:pt>
                <c:pt idx="76">
                  <c:v>44598</c:v>
                </c:pt>
                <c:pt idx="77">
                  <c:v>44599</c:v>
                </c:pt>
                <c:pt idx="78">
                  <c:v>44600</c:v>
                </c:pt>
                <c:pt idx="79">
                  <c:v>44601</c:v>
                </c:pt>
                <c:pt idx="80">
                  <c:v>44602</c:v>
                </c:pt>
                <c:pt idx="81">
                  <c:v>44603</c:v>
                </c:pt>
                <c:pt idx="82">
                  <c:v>44604</c:v>
                </c:pt>
                <c:pt idx="83">
                  <c:v>44605</c:v>
                </c:pt>
                <c:pt idx="84">
                  <c:v>44606</c:v>
                </c:pt>
                <c:pt idx="85">
                  <c:v>44607</c:v>
                </c:pt>
                <c:pt idx="86">
                  <c:v>44608</c:v>
                </c:pt>
                <c:pt idx="87">
                  <c:v>44609</c:v>
                </c:pt>
                <c:pt idx="88">
                  <c:v>44610</c:v>
                </c:pt>
                <c:pt idx="89">
                  <c:v>44611</c:v>
                </c:pt>
                <c:pt idx="90">
                  <c:v>44612</c:v>
                </c:pt>
                <c:pt idx="91">
                  <c:v>44613</c:v>
                </c:pt>
                <c:pt idx="92">
                  <c:v>44614</c:v>
                </c:pt>
                <c:pt idx="93">
                  <c:v>44615</c:v>
                </c:pt>
                <c:pt idx="94">
                  <c:v>44616</c:v>
                </c:pt>
                <c:pt idx="95">
                  <c:v>44617</c:v>
                </c:pt>
                <c:pt idx="96">
                  <c:v>44618</c:v>
                </c:pt>
                <c:pt idx="97">
                  <c:v>44619</c:v>
                </c:pt>
                <c:pt idx="98">
                  <c:v>44620</c:v>
                </c:pt>
                <c:pt idx="99">
                  <c:v>44621</c:v>
                </c:pt>
                <c:pt idx="100">
                  <c:v>44622</c:v>
                </c:pt>
                <c:pt idx="101">
                  <c:v>44623</c:v>
                </c:pt>
                <c:pt idx="102">
                  <c:v>44624</c:v>
                </c:pt>
                <c:pt idx="103">
                  <c:v>44625</c:v>
                </c:pt>
                <c:pt idx="104">
                  <c:v>44626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44632</c:v>
                </c:pt>
                <c:pt idx="111">
                  <c:v>44633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44639</c:v>
                </c:pt>
                <c:pt idx="118">
                  <c:v>44640</c:v>
                </c:pt>
                <c:pt idx="119">
                  <c:v>44641</c:v>
                </c:pt>
                <c:pt idx="120">
                  <c:v>44642</c:v>
                </c:pt>
                <c:pt idx="121">
                  <c:v>44643</c:v>
                </c:pt>
                <c:pt idx="122">
                  <c:v>44644</c:v>
                </c:pt>
                <c:pt idx="123">
                  <c:v>44645</c:v>
                </c:pt>
                <c:pt idx="124">
                  <c:v>44646</c:v>
                </c:pt>
                <c:pt idx="125">
                  <c:v>44647</c:v>
                </c:pt>
                <c:pt idx="126">
                  <c:v>44648</c:v>
                </c:pt>
                <c:pt idx="127">
                  <c:v>44649</c:v>
                </c:pt>
                <c:pt idx="128">
                  <c:v>44650</c:v>
                </c:pt>
                <c:pt idx="129">
                  <c:v>44651</c:v>
                </c:pt>
                <c:pt idx="130">
                  <c:v>44652</c:v>
                </c:pt>
                <c:pt idx="131">
                  <c:v>44653</c:v>
                </c:pt>
                <c:pt idx="132">
                  <c:v>44654</c:v>
                </c:pt>
                <c:pt idx="133">
                  <c:v>44655</c:v>
                </c:pt>
                <c:pt idx="134">
                  <c:v>44656</c:v>
                </c:pt>
                <c:pt idx="135">
                  <c:v>44657</c:v>
                </c:pt>
                <c:pt idx="136">
                  <c:v>44658</c:v>
                </c:pt>
                <c:pt idx="137">
                  <c:v>44659</c:v>
                </c:pt>
                <c:pt idx="138">
                  <c:v>44660</c:v>
                </c:pt>
                <c:pt idx="139">
                  <c:v>44661</c:v>
                </c:pt>
                <c:pt idx="140">
                  <c:v>44662</c:v>
                </c:pt>
                <c:pt idx="141">
                  <c:v>44663</c:v>
                </c:pt>
                <c:pt idx="142">
                  <c:v>44664</c:v>
                </c:pt>
                <c:pt idx="143">
                  <c:v>44665</c:v>
                </c:pt>
                <c:pt idx="144">
                  <c:v>44666</c:v>
                </c:pt>
                <c:pt idx="145">
                  <c:v>44667</c:v>
                </c:pt>
                <c:pt idx="146">
                  <c:v>44668</c:v>
                </c:pt>
                <c:pt idx="147">
                  <c:v>44669</c:v>
                </c:pt>
                <c:pt idx="148">
                  <c:v>44670</c:v>
                </c:pt>
                <c:pt idx="149">
                  <c:v>44671</c:v>
                </c:pt>
                <c:pt idx="150">
                  <c:v>44672</c:v>
                </c:pt>
                <c:pt idx="151">
                  <c:v>44673</c:v>
                </c:pt>
                <c:pt idx="152">
                  <c:v>44674</c:v>
                </c:pt>
                <c:pt idx="153">
                  <c:v>44675</c:v>
                </c:pt>
                <c:pt idx="154">
                  <c:v>44676</c:v>
                </c:pt>
                <c:pt idx="155">
                  <c:v>44677</c:v>
                </c:pt>
                <c:pt idx="156">
                  <c:v>44678</c:v>
                </c:pt>
                <c:pt idx="157">
                  <c:v>44679</c:v>
                </c:pt>
                <c:pt idx="158">
                  <c:v>44680</c:v>
                </c:pt>
                <c:pt idx="159">
                  <c:v>44681</c:v>
                </c:pt>
                <c:pt idx="160">
                  <c:v>44682</c:v>
                </c:pt>
                <c:pt idx="161">
                  <c:v>44683</c:v>
                </c:pt>
                <c:pt idx="162">
                  <c:v>44684</c:v>
                </c:pt>
                <c:pt idx="163">
                  <c:v>44685</c:v>
                </c:pt>
                <c:pt idx="164">
                  <c:v>44686</c:v>
                </c:pt>
                <c:pt idx="165">
                  <c:v>44687</c:v>
                </c:pt>
                <c:pt idx="166">
                  <c:v>44688</c:v>
                </c:pt>
                <c:pt idx="167">
                  <c:v>44689</c:v>
                </c:pt>
                <c:pt idx="168">
                  <c:v>44690</c:v>
                </c:pt>
                <c:pt idx="169">
                  <c:v>44691</c:v>
                </c:pt>
                <c:pt idx="170">
                  <c:v>44692</c:v>
                </c:pt>
                <c:pt idx="171">
                  <c:v>44693</c:v>
                </c:pt>
                <c:pt idx="172">
                  <c:v>44694</c:v>
                </c:pt>
                <c:pt idx="173">
                  <c:v>44695</c:v>
                </c:pt>
                <c:pt idx="174">
                  <c:v>44696</c:v>
                </c:pt>
                <c:pt idx="175">
                  <c:v>44697</c:v>
                </c:pt>
                <c:pt idx="176">
                  <c:v>44698</c:v>
                </c:pt>
                <c:pt idx="177">
                  <c:v>44699</c:v>
                </c:pt>
                <c:pt idx="178">
                  <c:v>44700</c:v>
                </c:pt>
                <c:pt idx="179">
                  <c:v>44701</c:v>
                </c:pt>
                <c:pt idx="180">
                  <c:v>44702</c:v>
                </c:pt>
                <c:pt idx="181">
                  <c:v>44703</c:v>
                </c:pt>
                <c:pt idx="182">
                  <c:v>44704</c:v>
                </c:pt>
                <c:pt idx="183">
                  <c:v>44705</c:v>
                </c:pt>
                <c:pt idx="184">
                  <c:v>44706</c:v>
                </c:pt>
                <c:pt idx="185">
                  <c:v>44707</c:v>
                </c:pt>
                <c:pt idx="186">
                  <c:v>44708</c:v>
                </c:pt>
                <c:pt idx="187">
                  <c:v>44709</c:v>
                </c:pt>
                <c:pt idx="188">
                  <c:v>44710</c:v>
                </c:pt>
                <c:pt idx="189">
                  <c:v>44711</c:v>
                </c:pt>
                <c:pt idx="190">
                  <c:v>44712</c:v>
                </c:pt>
                <c:pt idx="191">
                  <c:v>44713</c:v>
                </c:pt>
                <c:pt idx="192">
                  <c:v>44714</c:v>
                </c:pt>
                <c:pt idx="193">
                  <c:v>44715</c:v>
                </c:pt>
                <c:pt idx="194">
                  <c:v>44716</c:v>
                </c:pt>
                <c:pt idx="195">
                  <c:v>44717</c:v>
                </c:pt>
                <c:pt idx="196">
                  <c:v>44718</c:v>
                </c:pt>
                <c:pt idx="197">
                  <c:v>44719</c:v>
                </c:pt>
                <c:pt idx="198">
                  <c:v>44720</c:v>
                </c:pt>
                <c:pt idx="199">
                  <c:v>44721</c:v>
                </c:pt>
                <c:pt idx="200">
                  <c:v>44722</c:v>
                </c:pt>
                <c:pt idx="201">
                  <c:v>44723</c:v>
                </c:pt>
                <c:pt idx="202">
                  <c:v>44724</c:v>
                </c:pt>
                <c:pt idx="203">
                  <c:v>44725</c:v>
                </c:pt>
                <c:pt idx="204">
                  <c:v>44726</c:v>
                </c:pt>
                <c:pt idx="205">
                  <c:v>44727</c:v>
                </c:pt>
                <c:pt idx="206">
                  <c:v>44728</c:v>
                </c:pt>
                <c:pt idx="207">
                  <c:v>44729</c:v>
                </c:pt>
                <c:pt idx="208">
                  <c:v>44730</c:v>
                </c:pt>
                <c:pt idx="209">
                  <c:v>44731</c:v>
                </c:pt>
                <c:pt idx="210">
                  <c:v>44732</c:v>
                </c:pt>
                <c:pt idx="211">
                  <c:v>44733</c:v>
                </c:pt>
                <c:pt idx="212">
                  <c:v>44734</c:v>
                </c:pt>
                <c:pt idx="213">
                  <c:v>44735</c:v>
                </c:pt>
                <c:pt idx="214">
                  <c:v>44736</c:v>
                </c:pt>
                <c:pt idx="215">
                  <c:v>44737</c:v>
                </c:pt>
                <c:pt idx="216">
                  <c:v>44738</c:v>
                </c:pt>
                <c:pt idx="217">
                  <c:v>44739</c:v>
                </c:pt>
                <c:pt idx="218">
                  <c:v>44740</c:v>
                </c:pt>
                <c:pt idx="219">
                  <c:v>44741</c:v>
                </c:pt>
                <c:pt idx="220">
                  <c:v>44742</c:v>
                </c:pt>
                <c:pt idx="221">
                  <c:v>44743</c:v>
                </c:pt>
                <c:pt idx="222">
                  <c:v>44744</c:v>
                </c:pt>
                <c:pt idx="223">
                  <c:v>44745</c:v>
                </c:pt>
                <c:pt idx="224">
                  <c:v>44746</c:v>
                </c:pt>
                <c:pt idx="225">
                  <c:v>44747</c:v>
                </c:pt>
                <c:pt idx="226">
                  <c:v>44748</c:v>
                </c:pt>
                <c:pt idx="227">
                  <c:v>44749</c:v>
                </c:pt>
                <c:pt idx="228">
                  <c:v>44750</c:v>
                </c:pt>
                <c:pt idx="229">
                  <c:v>44751</c:v>
                </c:pt>
                <c:pt idx="230">
                  <c:v>44752</c:v>
                </c:pt>
                <c:pt idx="231">
                  <c:v>44753</c:v>
                </c:pt>
                <c:pt idx="232">
                  <c:v>44754</c:v>
                </c:pt>
                <c:pt idx="233">
                  <c:v>44755</c:v>
                </c:pt>
                <c:pt idx="234">
                  <c:v>44756</c:v>
                </c:pt>
                <c:pt idx="235">
                  <c:v>44757</c:v>
                </c:pt>
                <c:pt idx="236">
                  <c:v>44758</c:v>
                </c:pt>
                <c:pt idx="237">
                  <c:v>44759</c:v>
                </c:pt>
                <c:pt idx="238">
                  <c:v>44760</c:v>
                </c:pt>
                <c:pt idx="239">
                  <c:v>44761</c:v>
                </c:pt>
                <c:pt idx="240">
                  <c:v>44762</c:v>
                </c:pt>
                <c:pt idx="241">
                  <c:v>44763</c:v>
                </c:pt>
                <c:pt idx="242">
                  <c:v>44764</c:v>
                </c:pt>
                <c:pt idx="243">
                  <c:v>44765</c:v>
                </c:pt>
                <c:pt idx="244">
                  <c:v>44766</c:v>
                </c:pt>
                <c:pt idx="245">
                  <c:v>44767</c:v>
                </c:pt>
                <c:pt idx="246">
                  <c:v>44768</c:v>
                </c:pt>
                <c:pt idx="247">
                  <c:v>44769</c:v>
                </c:pt>
                <c:pt idx="248">
                  <c:v>44770</c:v>
                </c:pt>
                <c:pt idx="249">
                  <c:v>44771</c:v>
                </c:pt>
                <c:pt idx="250">
                  <c:v>44772</c:v>
                </c:pt>
                <c:pt idx="251">
                  <c:v>44773</c:v>
                </c:pt>
                <c:pt idx="252">
                  <c:v>44774</c:v>
                </c:pt>
                <c:pt idx="253">
                  <c:v>44775</c:v>
                </c:pt>
                <c:pt idx="254">
                  <c:v>44776</c:v>
                </c:pt>
                <c:pt idx="255">
                  <c:v>44777</c:v>
                </c:pt>
                <c:pt idx="256">
                  <c:v>44778</c:v>
                </c:pt>
                <c:pt idx="257">
                  <c:v>44779</c:v>
                </c:pt>
                <c:pt idx="258">
                  <c:v>44780</c:v>
                </c:pt>
                <c:pt idx="259">
                  <c:v>44781</c:v>
                </c:pt>
                <c:pt idx="260">
                  <c:v>44782</c:v>
                </c:pt>
                <c:pt idx="261">
                  <c:v>44783</c:v>
                </c:pt>
                <c:pt idx="262">
                  <c:v>44784</c:v>
                </c:pt>
                <c:pt idx="263">
                  <c:v>44785</c:v>
                </c:pt>
                <c:pt idx="264">
                  <c:v>44786</c:v>
                </c:pt>
                <c:pt idx="265">
                  <c:v>44787</c:v>
                </c:pt>
                <c:pt idx="266">
                  <c:v>44788</c:v>
                </c:pt>
                <c:pt idx="267">
                  <c:v>44789</c:v>
                </c:pt>
                <c:pt idx="268">
                  <c:v>44790</c:v>
                </c:pt>
                <c:pt idx="269">
                  <c:v>44791</c:v>
                </c:pt>
                <c:pt idx="270">
                  <c:v>44792</c:v>
                </c:pt>
                <c:pt idx="271">
                  <c:v>44793</c:v>
                </c:pt>
                <c:pt idx="272">
                  <c:v>44794</c:v>
                </c:pt>
                <c:pt idx="273">
                  <c:v>44795</c:v>
                </c:pt>
                <c:pt idx="274">
                  <c:v>44796</c:v>
                </c:pt>
                <c:pt idx="275">
                  <c:v>44797</c:v>
                </c:pt>
                <c:pt idx="276">
                  <c:v>44798</c:v>
                </c:pt>
                <c:pt idx="277">
                  <c:v>44799</c:v>
                </c:pt>
                <c:pt idx="278">
                  <c:v>44800</c:v>
                </c:pt>
                <c:pt idx="279">
                  <c:v>44801</c:v>
                </c:pt>
                <c:pt idx="280">
                  <c:v>44802</c:v>
                </c:pt>
                <c:pt idx="281">
                  <c:v>44803</c:v>
                </c:pt>
                <c:pt idx="282">
                  <c:v>44804</c:v>
                </c:pt>
                <c:pt idx="283">
                  <c:v>44805</c:v>
                </c:pt>
                <c:pt idx="284">
                  <c:v>44806</c:v>
                </c:pt>
                <c:pt idx="285">
                  <c:v>44807</c:v>
                </c:pt>
                <c:pt idx="286">
                  <c:v>44808</c:v>
                </c:pt>
                <c:pt idx="287">
                  <c:v>44809</c:v>
                </c:pt>
                <c:pt idx="288">
                  <c:v>44810</c:v>
                </c:pt>
                <c:pt idx="289">
                  <c:v>44811</c:v>
                </c:pt>
                <c:pt idx="290">
                  <c:v>44812</c:v>
                </c:pt>
                <c:pt idx="291">
                  <c:v>44813</c:v>
                </c:pt>
                <c:pt idx="292">
                  <c:v>44814</c:v>
                </c:pt>
                <c:pt idx="293">
                  <c:v>44815</c:v>
                </c:pt>
                <c:pt idx="294">
                  <c:v>44816</c:v>
                </c:pt>
                <c:pt idx="295">
                  <c:v>44817</c:v>
                </c:pt>
                <c:pt idx="296">
                  <c:v>44818</c:v>
                </c:pt>
                <c:pt idx="297">
                  <c:v>44819</c:v>
                </c:pt>
                <c:pt idx="298">
                  <c:v>44820</c:v>
                </c:pt>
                <c:pt idx="299">
                  <c:v>44821</c:v>
                </c:pt>
                <c:pt idx="300">
                  <c:v>44822</c:v>
                </c:pt>
                <c:pt idx="301">
                  <c:v>44823</c:v>
                </c:pt>
                <c:pt idx="302">
                  <c:v>44824</c:v>
                </c:pt>
                <c:pt idx="303">
                  <c:v>44825</c:v>
                </c:pt>
                <c:pt idx="304">
                  <c:v>44826</c:v>
                </c:pt>
                <c:pt idx="305">
                  <c:v>44827</c:v>
                </c:pt>
                <c:pt idx="306">
                  <c:v>44828</c:v>
                </c:pt>
                <c:pt idx="307">
                  <c:v>44829</c:v>
                </c:pt>
                <c:pt idx="308">
                  <c:v>44830</c:v>
                </c:pt>
                <c:pt idx="309">
                  <c:v>44831</c:v>
                </c:pt>
                <c:pt idx="310">
                  <c:v>44832</c:v>
                </c:pt>
                <c:pt idx="311">
                  <c:v>44833</c:v>
                </c:pt>
                <c:pt idx="312">
                  <c:v>44834</c:v>
                </c:pt>
                <c:pt idx="313">
                  <c:v>44835</c:v>
                </c:pt>
                <c:pt idx="314">
                  <c:v>44836</c:v>
                </c:pt>
                <c:pt idx="315">
                  <c:v>44837</c:v>
                </c:pt>
                <c:pt idx="316">
                  <c:v>44838</c:v>
                </c:pt>
                <c:pt idx="317">
                  <c:v>44839</c:v>
                </c:pt>
                <c:pt idx="318">
                  <c:v>44840</c:v>
                </c:pt>
                <c:pt idx="319">
                  <c:v>44841</c:v>
                </c:pt>
                <c:pt idx="320">
                  <c:v>44842</c:v>
                </c:pt>
                <c:pt idx="321">
                  <c:v>44843</c:v>
                </c:pt>
                <c:pt idx="322">
                  <c:v>44844</c:v>
                </c:pt>
                <c:pt idx="323">
                  <c:v>44845</c:v>
                </c:pt>
                <c:pt idx="324">
                  <c:v>44846</c:v>
                </c:pt>
                <c:pt idx="325">
                  <c:v>44847</c:v>
                </c:pt>
                <c:pt idx="326">
                  <c:v>44848</c:v>
                </c:pt>
                <c:pt idx="327">
                  <c:v>44849</c:v>
                </c:pt>
                <c:pt idx="328">
                  <c:v>44850</c:v>
                </c:pt>
                <c:pt idx="329">
                  <c:v>44851</c:v>
                </c:pt>
                <c:pt idx="330">
                  <c:v>44852</c:v>
                </c:pt>
                <c:pt idx="331">
                  <c:v>44853</c:v>
                </c:pt>
                <c:pt idx="332">
                  <c:v>44854</c:v>
                </c:pt>
                <c:pt idx="333">
                  <c:v>44855</c:v>
                </c:pt>
                <c:pt idx="334">
                  <c:v>44856</c:v>
                </c:pt>
                <c:pt idx="335">
                  <c:v>44857</c:v>
                </c:pt>
                <c:pt idx="336">
                  <c:v>44858</c:v>
                </c:pt>
                <c:pt idx="337">
                  <c:v>44859</c:v>
                </c:pt>
                <c:pt idx="338">
                  <c:v>44860</c:v>
                </c:pt>
                <c:pt idx="339">
                  <c:v>44861</c:v>
                </c:pt>
                <c:pt idx="340">
                  <c:v>44862</c:v>
                </c:pt>
                <c:pt idx="341">
                  <c:v>44863</c:v>
                </c:pt>
                <c:pt idx="342">
                  <c:v>44864</c:v>
                </c:pt>
                <c:pt idx="343">
                  <c:v>44865</c:v>
                </c:pt>
                <c:pt idx="344">
                  <c:v>44866</c:v>
                </c:pt>
                <c:pt idx="345">
                  <c:v>44867</c:v>
                </c:pt>
                <c:pt idx="346">
                  <c:v>44868</c:v>
                </c:pt>
                <c:pt idx="347">
                  <c:v>44869</c:v>
                </c:pt>
                <c:pt idx="348">
                  <c:v>44870</c:v>
                </c:pt>
                <c:pt idx="349">
                  <c:v>44871</c:v>
                </c:pt>
                <c:pt idx="350">
                  <c:v>44872</c:v>
                </c:pt>
                <c:pt idx="351">
                  <c:v>44873</c:v>
                </c:pt>
                <c:pt idx="352">
                  <c:v>44874</c:v>
                </c:pt>
                <c:pt idx="353">
                  <c:v>44875</c:v>
                </c:pt>
                <c:pt idx="354">
                  <c:v>44876</c:v>
                </c:pt>
                <c:pt idx="355">
                  <c:v>44877</c:v>
                </c:pt>
                <c:pt idx="356">
                  <c:v>44878</c:v>
                </c:pt>
                <c:pt idx="357">
                  <c:v>44879</c:v>
                </c:pt>
                <c:pt idx="358">
                  <c:v>44880</c:v>
                </c:pt>
                <c:pt idx="359">
                  <c:v>44881</c:v>
                </c:pt>
                <c:pt idx="360">
                  <c:v>44882</c:v>
                </c:pt>
                <c:pt idx="361">
                  <c:v>44883</c:v>
                </c:pt>
                <c:pt idx="362">
                  <c:v>44884</c:v>
                </c:pt>
                <c:pt idx="363">
                  <c:v>44885</c:v>
                </c:pt>
                <c:pt idx="364">
                  <c:v>44886</c:v>
                </c:pt>
                <c:pt idx="365">
                  <c:v>44887</c:v>
                </c:pt>
              </c:numCache>
            </c:numRef>
          </c:cat>
          <c:val>
            <c:numRef>
              <c:f>worksheet!$AL$2:$AL$367</c:f>
              <c:numCache>
                <c:formatCode>General</c:formatCode>
                <c:ptCount val="366"/>
                <c:pt idx="0">
                  <c:v>4266.5092770000001</c:v>
                </c:pt>
                <c:pt idx="1">
                  <c:v>4089.6804200000001</c:v>
                </c:pt>
                <c:pt idx="2">
                  <c:v>4340.0361329999996</c:v>
                </c:pt>
                <c:pt idx="3">
                  <c:v>4271.3945309999999</c:v>
                </c:pt>
                <c:pt idx="4">
                  <c:v>4522.2089839999999</c:v>
                </c:pt>
                <c:pt idx="5">
                  <c:v>4042.9990229999999</c:v>
                </c:pt>
                <c:pt idx="6">
                  <c:v>4101.6489259999998</c:v>
                </c:pt>
                <c:pt idx="7">
                  <c:v>4296.9467770000001</c:v>
                </c:pt>
                <c:pt idx="8">
                  <c:v>4447.7680659999996</c:v>
                </c:pt>
                <c:pt idx="9">
                  <c:v>4623.6796880000002</c:v>
                </c:pt>
                <c:pt idx="10">
                  <c:v>4586.3330079999996</c:v>
                </c:pt>
                <c:pt idx="11">
                  <c:v>4514.3559569999998</c:v>
                </c:pt>
                <c:pt idx="12">
                  <c:v>4227.7622069999998</c:v>
                </c:pt>
                <c:pt idx="13">
                  <c:v>4119.6289059999999</c:v>
                </c:pt>
                <c:pt idx="14">
                  <c:v>4199</c:v>
                </c:pt>
                <c:pt idx="15">
                  <c:v>4358.5869140000004</c:v>
                </c:pt>
                <c:pt idx="16">
                  <c:v>4311.6743159999996</c:v>
                </c:pt>
                <c:pt idx="17">
                  <c:v>4433.0249020000001</c:v>
                </c:pt>
                <c:pt idx="18">
                  <c:v>4113.5883789999998</c:v>
                </c:pt>
                <c:pt idx="19">
                  <c:v>3909.6677249999998</c:v>
                </c:pt>
                <c:pt idx="20">
                  <c:v>4084.811279</c:v>
                </c:pt>
                <c:pt idx="21">
                  <c:v>4136.3598629999997</c:v>
                </c:pt>
                <c:pt idx="22">
                  <c:v>3782.8227539999998</c:v>
                </c:pt>
                <c:pt idx="23">
                  <c:v>3862.2514649999998</c:v>
                </c:pt>
                <c:pt idx="24">
                  <c:v>4020.415039</c:v>
                </c:pt>
                <c:pt idx="25">
                  <c:v>3959.0124510000001</c:v>
                </c:pt>
                <c:pt idx="26">
                  <c:v>3880.2915039999998</c:v>
                </c:pt>
                <c:pt idx="27">
                  <c:v>3960.8723140000002</c:v>
                </c:pt>
                <c:pt idx="28">
                  <c:v>3923.6958009999998</c:v>
                </c:pt>
                <c:pt idx="29">
                  <c:v>3938.4638669999999</c:v>
                </c:pt>
                <c:pt idx="30">
                  <c:v>4018.6958009999998</c:v>
                </c:pt>
                <c:pt idx="31">
                  <c:v>3981.9616700000001</c:v>
                </c:pt>
                <c:pt idx="32">
                  <c:v>4111.3452150000003</c:v>
                </c:pt>
                <c:pt idx="33">
                  <c:v>4049.781982</c:v>
                </c:pt>
                <c:pt idx="34">
                  <c:v>4094.1516109999998</c:v>
                </c:pt>
                <c:pt idx="35">
                  <c:v>4064.7463379999999</c:v>
                </c:pt>
                <c:pt idx="36">
                  <c:v>4037.538086</c:v>
                </c:pt>
                <c:pt idx="37">
                  <c:v>3797.436279</c:v>
                </c:pt>
                <c:pt idx="38">
                  <c:v>3632.2197270000001</c:v>
                </c:pt>
                <c:pt idx="39">
                  <c:v>3713.4301759999998</c:v>
                </c:pt>
                <c:pt idx="40">
                  <c:v>3683.0471189999998</c:v>
                </c:pt>
                <c:pt idx="41">
                  <c:v>3769.2983399999998</c:v>
                </c:pt>
                <c:pt idx="42">
                  <c:v>3829.5356449999999</c:v>
                </c:pt>
                <c:pt idx="43">
                  <c:v>3761.3615719999998</c:v>
                </c:pt>
                <c:pt idx="44">
                  <c:v>3794.2690429999998</c:v>
                </c:pt>
                <c:pt idx="45">
                  <c:v>3549.7089839999999</c:v>
                </c:pt>
                <c:pt idx="46">
                  <c:v>3417.8378910000001</c:v>
                </c:pt>
                <c:pt idx="47">
                  <c:v>3193.5024410000001</c:v>
                </c:pt>
                <c:pt idx="48">
                  <c:v>3091.696289</c:v>
                </c:pt>
                <c:pt idx="49">
                  <c:v>3157.570557</c:v>
                </c:pt>
                <c:pt idx="50">
                  <c:v>3082.9909670000002</c:v>
                </c:pt>
                <c:pt idx="51">
                  <c:v>3238.4499510000001</c:v>
                </c:pt>
                <c:pt idx="52">
                  <c:v>3372.1049800000001</c:v>
                </c:pt>
                <c:pt idx="53">
                  <c:v>3248.648682</c:v>
                </c:pt>
                <c:pt idx="54">
                  <c:v>3309.8442380000001</c:v>
                </c:pt>
                <c:pt idx="55">
                  <c:v>3330.3872070000002</c:v>
                </c:pt>
                <c:pt idx="56">
                  <c:v>3350.9472660000001</c:v>
                </c:pt>
                <c:pt idx="57">
                  <c:v>3212.2875979999999</c:v>
                </c:pt>
                <c:pt idx="58">
                  <c:v>3163.8503420000002</c:v>
                </c:pt>
                <c:pt idx="59">
                  <c:v>3095.2717290000001</c:v>
                </c:pt>
                <c:pt idx="60">
                  <c:v>3002.9567870000001</c:v>
                </c:pt>
                <c:pt idx="61">
                  <c:v>2561.1452640000002</c:v>
                </c:pt>
                <c:pt idx="62">
                  <c:v>2406.9243160000001</c:v>
                </c:pt>
                <c:pt idx="63">
                  <c:v>2535.8911130000001</c:v>
                </c:pt>
                <c:pt idx="64">
                  <c:v>2440.3935550000001</c:v>
                </c:pt>
                <c:pt idx="65">
                  <c:v>2455.5791020000001</c:v>
                </c:pt>
                <c:pt idx="66">
                  <c:v>2467.1884770000001</c:v>
                </c:pt>
                <c:pt idx="67">
                  <c:v>2421.6469729999999</c:v>
                </c:pt>
                <c:pt idx="68">
                  <c:v>2546.5905760000001</c:v>
                </c:pt>
                <c:pt idx="69">
                  <c:v>2598.5649410000001</c:v>
                </c:pt>
                <c:pt idx="70">
                  <c:v>2603.2634280000002</c:v>
                </c:pt>
                <c:pt idx="71">
                  <c:v>2687.8989259999998</c:v>
                </c:pt>
                <c:pt idx="72">
                  <c:v>2791.9589839999999</c:v>
                </c:pt>
                <c:pt idx="73">
                  <c:v>2682.2260740000002</c:v>
                </c:pt>
                <c:pt idx="74">
                  <c:v>2681.0576169999999</c:v>
                </c:pt>
                <c:pt idx="75">
                  <c:v>2984.4460450000001</c:v>
                </c:pt>
                <c:pt idx="76">
                  <c:v>3014.9597170000002</c:v>
                </c:pt>
                <c:pt idx="77">
                  <c:v>3057.4221189999998</c:v>
                </c:pt>
                <c:pt idx="78">
                  <c:v>3143.0085450000001</c:v>
                </c:pt>
                <c:pt idx="79">
                  <c:v>3121.1826169999999</c:v>
                </c:pt>
                <c:pt idx="80">
                  <c:v>3240.1130370000001</c:v>
                </c:pt>
                <c:pt idx="81">
                  <c:v>3077.413086</c:v>
                </c:pt>
                <c:pt idx="82">
                  <c:v>2927.3864749999998</c:v>
                </c:pt>
                <c:pt idx="83">
                  <c:v>2916.7895509999998</c:v>
                </c:pt>
                <c:pt idx="84">
                  <c:v>2880.1877439999998</c:v>
                </c:pt>
                <c:pt idx="85">
                  <c:v>2933.7290039999998</c:v>
                </c:pt>
                <c:pt idx="86">
                  <c:v>3180.4467770000001</c:v>
                </c:pt>
                <c:pt idx="87">
                  <c:v>3126.8583979999999</c:v>
                </c:pt>
                <c:pt idx="88">
                  <c:v>2884.3405760000001</c:v>
                </c:pt>
                <c:pt idx="89">
                  <c:v>2784.8728030000002</c:v>
                </c:pt>
                <c:pt idx="90">
                  <c:v>2763.7565920000002</c:v>
                </c:pt>
                <c:pt idx="91">
                  <c:v>2627.6655270000001</c:v>
                </c:pt>
                <c:pt idx="92">
                  <c:v>2572.898682</c:v>
                </c:pt>
                <c:pt idx="93">
                  <c:v>2639.4470209999999</c:v>
                </c:pt>
                <c:pt idx="94">
                  <c:v>2588.16626</c:v>
                </c:pt>
                <c:pt idx="95">
                  <c:v>2598.436279</c:v>
                </c:pt>
                <c:pt idx="96">
                  <c:v>2764.9895019999999</c:v>
                </c:pt>
                <c:pt idx="97">
                  <c:v>2780.5043949999999</c:v>
                </c:pt>
                <c:pt idx="98">
                  <c:v>2621.1721189999998</c:v>
                </c:pt>
                <c:pt idx="99">
                  <c:v>2919.7758789999998</c:v>
                </c:pt>
                <c:pt idx="100">
                  <c:v>2972.4719239999999</c:v>
                </c:pt>
                <c:pt idx="101">
                  <c:v>2950.1567380000001</c:v>
                </c:pt>
                <c:pt idx="102">
                  <c:v>2834.9873050000001</c:v>
                </c:pt>
                <c:pt idx="103">
                  <c:v>2618.4736330000001</c:v>
                </c:pt>
                <c:pt idx="104">
                  <c:v>2664.9436040000001</c:v>
                </c:pt>
                <c:pt idx="105">
                  <c:v>2555.297607</c:v>
                </c:pt>
                <c:pt idx="106">
                  <c:v>2497.7214359999998</c:v>
                </c:pt>
                <c:pt idx="107">
                  <c:v>2577.1652829999998</c:v>
                </c:pt>
                <c:pt idx="108">
                  <c:v>2729.1164549999999</c:v>
                </c:pt>
                <c:pt idx="109">
                  <c:v>2608.27124</c:v>
                </c:pt>
                <c:pt idx="110">
                  <c:v>2559.6606449999999</c:v>
                </c:pt>
                <c:pt idx="111">
                  <c:v>2573.4880370000001</c:v>
                </c:pt>
                <c:pt idx="112">
                  <c:v>2518.486328</c:v>
                </c:pt>
                <c:pt idx="113">
                  <c:v>2590.6689449999999</c:v>
                </c:pt>
                <c:pt idx="114">
                  <c:v>2620.0285640000002</c:v>
                </c:pt>
                <c:pt idx="115">
                  <c:v>2771.9641109999998</c:v>
                </c:pt>
                <c:pt idx="116">
                  <c:v>2814.4345699999999</c:v>
                </c:pt>
                <c:pt idx="117">
                  <c:v>2944.7216800000001</c:v>
                </c:pt>
                <c:pt idx="118">
                  <c:v>2946.547607</c:v>
                </c:pt>
                <c:pt idx="119">
                  <c:v>2860.1032709999999</c:v>
                </c:pt>
                <c:pt idx="120">
                  <c:v>2897.7741700000001</c:v>
                </c:pt>
                <c:pt idx="121">
                  <c:v>2973.1450199999999</c:v>
                </c:pt>
                <c:pt idx="122">
                  <c:v>3031.0607909999999</c:v>
                </c:pt>
                <c:pt idx="123">
                  <c:v>3108.4489749999998</c:v>
                </c:pt>
                <c:pt idx="124">
                  <c:v>3106.4052729999999</c:v>
                </c:pt>
                <c:pt idx="125">
                  <c:v>3143.795654</c:v>
                </c:pt>
                <c:pt idx="126">
                  <c:v>3292.32251</c:v>
                </c:pt>
                <c:pt idx="127">
                  <c:v>3335.02124</c:v>
                </c:pt>
                <c:pt idx="128">
                  <c:v>3401.5261230000001</c:v>
                </c:pt>
                <c:pt idx="129">
                  <c:v>3385.289307</c:v>
                </c:pt>
                <c:pt idx="130">
                  <c:v>3282.576172</c:v>
                </c:pt>
                <c:pt idx="131">
                  <c:v>3449.7885740000002</c:v>
                </c:pt>
                <c:pt idx="132">
                  <c:v>3444.810547</c:v>
                </c:pt>
                <c:pt idx="133">
                  <c:v>3522.36499</c:v>
                </c:pt>
                <c:pt idx="134">
                  <c:v>3521.2397460000002</c:v>
                </c:pt>
                <c:pt idx="135">
                  <c:v>3411.6721189999998</c:v>
                </c:pt>
                <c:pt idx="136">
                  <c:v>3172.1972660000001</c:v>
                </c:pt>
                <c:pt idx="137">
                  <c:v>3233.272461</c:v>
                </c:pt>
                <c:pt idx="138">
                  <c:v>3191.9760740000002</c:v>
                </c:pt>
                <c:pt idx="139">
                  <c:v>3261.2915039999998</c:v>
                </c:pt>
                <c:pt idx="140">
                  <c:v>3209.576904</c:v>
                </c:pt>
                <c:pt idx="141">
                  <c:v>2981.420654</c:v>
                </c:pt>
                <c:pt idx="142">
                  <c:v>3029.8779300000001</c:v>
                </c:pt>
                <c:pt idx="143">
                  <c:v>3117.8217770000001</c:v>
                </c:pt>
                <c:pt idx="144">
                  <c:v>3020.1345209999999</c:v>
                </c:pt>
                <c:pt idx="145">
                  <c:v>3041.1232909999999</c:v>
                </c:pt>
                <c:pt idx="146">
                  <c:v>3061.881836</c:v>
                </c:pt>
                <c:pt idx="147">
                  <c:v>2993.4838869999999</c:v>
                </c:pt>
                <c:pt idx="148">
                  <c:v>3057.5703130000002</c:v>
                </c:pt>
                <c:pt idx="149">
                  <c:v>3103.9350589999999</c:v>
                </c:pt>
                <c:pt idx="150">
                  <c:v>3077.829346</c:v>
                </c:pt>
                <c:pt idx="151">
                  <c:v>2986.938721</c:v>
                </c:pt>
                <c:pt idx="152">
                  <c:v>2964.8022460000002</c:v>
                </c:pt>
                <c:pt idx="153">
                  <c:v>2937.3471679999998</c:v>
                </c:pt>
                <c:pt idx="154">
                  <c:v>2922.9902339999999</c:v>
                </c:pt>
                <c:pt idx="155">
                  <c:v>3008.946289</c:v>
                </c:pt>
                <c:pt idx="156">
                  <c:v>2808.6459960000002</c:v>
                </c:pt>
                <c:pt idx="157">
                  <c:v>2888.8498540000001</c:v>
                </c:pt>
                <c:pt idx="158">
                  <c:v>2936.7766109999998</c:v>
                </c:pt>
                <c:pt idx="159">
                  <c:v>2815.5334469999998</c:v>
                </c:pt>
                <c:pt idx="160">
                  <c:v>2729.9941410000001</c:v>
                </c:pt>
                <c:pt idx="161">
                  <c:v>2827.6140140000002</c:v>
                </c:pt>
                <c:pt idx="162">
                  <c:v>2857.1523440000001</c:v>
                </c:pt>
                <c:pt idx="163">
                  <c:v>2783.1311040000001</c:v>
                </c:pt>
                <c:pt idx="164">
                  <c:v>2940.2265630000002</c:v>
                </c:pt>
                <c:pt idx="165">
                  <c:v>2748.9316410000001</c:v>
                </c:pt>
                <c:pt idx="166">
                  <c:v>2694.991943</c:v>
                </c:pt>
                <c:pt idx="167">
                  <c:v>2636.1218260000001</c:v>
                </c:pt>
                <c:pt idx="168">
                  <c:v>2518.5083009999998</c:v>
                </c:pt>
                <c:pt idx="169">
                  <c:v>2242.6503910000001</c:v>
                </c:pt>
                <c:pt idx="170">
                  <c:v>2342.7541500000002</c:v>
                </c:pt>
                <c:pt idx="171">
                  <c:v>2072.5046390000002</c:v>
                </c:pt>
                <c:pt idx="172">
                  <c:v>1960.1225589999999</c:v>
                </c:pt>
                <c:pt idx="173">
                  <c:v>2014.2806399999999</c:v>
                </c:pt>
                <c:pt idx="174">
                  <c:v>2056.1831050000001</c:v>
                </c:pt>
                <c:pt idx="175">
                  <c:v>2145.836914</c:v>
                </c:pt>
                <c:pt idx="176">
                  <c:v>2022.8823239999999</c:v>
                </c:pt>
                <c:pt idx="177">
                  <c:v>2090.459961</c:v>
                </c:pt>
                <c:pt idx="178">
                  <c:v>1916.1495359999999</c:v>
                </c:pt>
                <c:pt idx="179">
                  <c:v>2018.0001219999999</c:v>
                </c:pt>
                <c:pt idx="180">
                  <c:v>1961.0179439999999</c:v>
                </c:pt>
                <c:pt idx="181">
                  <c:v>1974.670654</c:v>
                </c:pt>
                <c:pt idx="182">
                  <c:v>2042.3447269999999</c:v>
                </c:pt>
                <c:pt idx="183">
                  <c:v>1972.3908690000001</c:v>
                </c:pt>
                <c:pt idx="184">
                  <c:v>1978.6770019999999</c:v>
                </c:pt>
                <c:pt idx="185">
                  <c:v>1945.0333250000001</c:v>
                </c:pt>
                <c:pt idx="186">
                  <c:v>1802.543823</c:v>
                </c:pt>
                <c:pt idx="187">
                  <c:v>1724.635986</c:v>
                </c:pt>
                <c:pt idx="188">
                  <c:v>1792.184448</c:v>
                </c:pt>
                <c:pt idx="189">
                  <c:v>1811.885986</c:v>
                </c:pt>
                <c:pt idx="190">
                  <c:v>1996.408081</c:v>
                </c:pt>
                <c:pt idx="191">
                  <c:v>1942.050659</c:v>
                </c:pt>
                <c:pt idx="192">
                  <c:v>1822.4121090000001</c:v>
                </c:pt>
                <c:pt idx="193">
                  <c:v>1834.13501</c:v>
                </c:pt>
                <c:pt idx="194">
                  <c:v>1775.2208250000001</c:v>
                </c:pt>
                <c:pt idx="195">
                  <c:v>1801.81897</c:v>
                </c:pt>
                <c:pt idx="196">
                  <c:v>1805.635986</c:v>
                </c:pt>
                <c:pt idx="197">
                  <c:v>1859.33374</c:v>
                </c:pt>
                <c:pt idx="198">
                  <c:v>1814.1007079999999</c:v>
                </c:pt>
                <c:pt idx="199">
                  <c:v>1793.512817</c:v>
                </c:pt>
                <c:pt idx="200">
                  <c:v>1789.6899410000001</c:v>
                </c:pt>
                <c:pt idx="201">
                  <c:v>1665.2178960000001</c:v>
                </c:pt>
                <c:pt idx="202">
                  <c:v>1530.189697</c:v>
                </c:pt>
                <c:pt idx="203">
                  <c:v>1443.8354489999999</c:v>
                </c:pt>
                <c:pt idx="204">
                  <c:v>1204.555298</c:v>
                </c:pt>
                <c:pt idx="205">
                  <c:v>1211.365967</c:v>
                </c:pt>
                <c:pt idx="206">
                  <c:v>1233.6035159999999</c:v>
                </c:pt>
                <c:pt idx="207">
                  <c:v>1067.9876710000001</c:v>
                </c:pt>
                <c:pt idx="208">
                  <c:v>1086.3779300000001</c:v>
                </c:pt>
                <c:pt idx="209">
                  <c:v>993.40063499999997</c:v>
                </c:pt>
                <c:pt idx="210">
                  <c:v>1127.65625</c:v>
                </c:pt>
                <c:pt idx="211">
                  <c:v>1127.511841</c:v>
                </c:pt>
                <c:pt idx="212">
                  <c:v>1125.3729249999999</c:v>
                </c:pt>
                <c:pt idx="213">
                  <c:v>1051.329346</c:v>
                </c:pt>
                <c:pt idx="214">
                  <c:v>1143.204712</c:v>
                </c:pt>
                <c:pt idx="215">
                  <c:v>1226.724731</c:v>
                </c:pt>
                <c:pt idx="216">
                  <c:v>1242.9875489999999</c:v>
                </c:pt>
                <c:pt idx="217">
                  <c:v>1199.713135</c:v>
                </c:pt>
                <c:pt idx="218">
                  <c:v>1193.2540280000001</c:v>
                </c:pt>
                <c:pt idx="219">
                  <c:v>1144.524414</c:v>
                </c:pt>
                <c:pt idx="220">
                  <c:v>1099.353149</c:v>
                </c:pt>
                <c:pt idx="221">
                  <c:v>1068.3167719999999</c:v>
                </c:pt>
                <c:pt idx="222">
                  <c:v>1060.121216</c:v>
                </c:pt>
                <c:pt idx="223">
                  <c:v>1066.4674070000001</c:v>
                </c:pt>
                <c:pt idx="224">
                  <c:v>1073.794312</c:v>
                </c:pt>
                <c:pt idx="225">
                  <c:v>1150.5097659999999</c:v>
                </c:pt>
                <c:pt idx="226">
                  <c:v>1134.8222659999999</c:v>
                </c:pt>
                <c:pt idx="227">
                  <c:v>1186.9609379999999</c:v>
                </c:pt>
                <c:pt idx="228">
                  <c:v>1237.580322</c:v>
                </c:pt>
                <c:pt idx="229">
                  <c:v>1222.306885</c:v>
                </c:pt>
                <c:pt idx="230">
                  <c:v>1216.904419</c:v>
                </c:pt>
                <c:pt idx="231">
                  <c:v>1168.139038</c:v>
                </c:pt>
                <c:pt idx="232">
                  <c:v>1097.259155</c:v>
                </c:pt>
                <c:pt idx="233">
                  <c:v>1038.1866460000001</c:v>
                </c:pt>
                <c:pt idx="234">
                  <c:v>1113.5157469999999</c:v>
                </c:pt>
                <c:pt idx="235">
                  <c:v>1191.6748050000001</c:v>
                </c:pt>
                <c:pt idx="236">
                  <c:v>1232.791626</c:v>
                </c:pt>
                <c:pt idx="237">
                  <c:v>1353.205078</c:v>
                </c:pt>
                <c:pt idx="238">
                  <c:v>1338.80603</c:v>
                </c:pt>
                <c:pt idx="239">
                  <c:v>1578.3839109999999</c:v>
                </c:pt>
                <c:pt idx="240">
                  <c:v>1542.954346</c:v>
                </c:pt>
                <c:pt idx="241">
                  <c:v>1520.3745120000001</c:v>
                </c:pt>
                <c:pt idx="242">
                  <c:v>1576.745361</c:v>
                </c:pt>
                <c:pt idx="243">
                  <c:v>1536.4573969999999</c:v>
                </c:pt>
                <c:pt idx="244">
                  <c:v>1549.222534</c:v>
                </c:pt>
                <c:pt idx="245">
                  <c:v>1599.1572269999999</c:v>
                </c:pt>
                <c:pt idx="246">
                  <c:v>1445.1511230000001</c:v>
                </c:pt>
                <c:pt idx="247">
                  <c:v>1443.726807</c:v>
                </c:pt>
                <c:pt idx="248">
                  <c:v>1636.2319339999999</c:v>
                </c:pt>
                <c:pt idx="249">
                  <c:v>1725.6239009999999</c:v>
                </c:pt>
                <c:pt idx="250">
                  <c:v>1727.0618899999999</c:v>
                </c:pt>
                <c:pt idx="251">
                  <c:v>1695.8847659999999</c:v>
                </c:pt>
                <c:pt idx="252">
                  <c:v>1681.445557</c:v>
                </c:pt>
                <c:pt idx="253">
                  <c:v>1634.645874</c:v>
                </c:pt>
                <c:pt idx="254">
                  <c:v>1633.0512699999999</c:v>
                </c:pt>
                <c:pt idx="255">
                  <c:v>1618.8867190000001</c:v>
                </c:pt>
                <c:pt idx="256">
                  <c:v>1607.5239260000001</c:v>
                </c:pt>
                <c:pt idx="257">
                  <c:v>1732.6611330000001</c:v>
                </c:pt>
                <c:pt idx="258">
                  <c:v>1691.7779539999999</c:v>
                </c:pt>
                <c:pt idx="259">
                  <c:v>1699.693481</c:v>
                </c:pt>
                <c:pt idx="260">
                  <c:v>1776.071289</c:v>
                </c:pt>
                <c:pt idx="261">
                  <c:v>1702.9064940000001</c:v>
                </c:pt>
                <c:pt idx="262">
                  <c:v>1851.8283690000001</c:v>
                </c:pt>
                <c:pt idx="263">
                  <c:v>1880.8991699999999</c:v>
                </c:pt>
                <c:pt idx="264">
                  <c:v>1957.3339840000001</c:v>
                </c:pt>
                <c:pt idx="265">
                  <c:v>1981.782471</c:v>
                </c:pt>
                <c:pt idx="266">
                  <c:v>1936.7604980000001</c:v>
                </c:pt>
                <c:pt idx="267">
                  <c:v>1902.83313</c:v>
                </c:pt>
                <c:pt idx="268">
                  <c:v>1877.9343260000001</c:v>
                </c:pt>
                <c:pt idx="269">
                  <c:v>1833.7155760000001</c:v>
                </c:pt>
                <c:pt idx="270">
                  <c:v>1847.095337</c:v>
                </c:pt>
                <c:pt idx="271">
                  <c:v>1612.650635</c:v>
                </c:pt>
                <c:pt idx="272">
                  <c:v>1576.5435789999999</c:v>
                </c:pt>
                <c:pt idx="273">
                  <c:v>1619.16687</c:v>
                </c:pt>
                <c:pt idx="274">
                  <c:v>1622.939331</c:v>
                </c:pt>
                <c:pt idx="275">
                  <c:v>1662.6954350000001</c:v>
                </c:pt>
                <c:pt idx="276">
                  <c:v>1657.336548</c:v>
                </c:pt>
                <c:pt idx="277">
                  <c:v>1696.3245850000001</c:v>
                </c:pt>
                <c:pt idx="278">
                  <c:v>1508.156982</c:v>
                </c:pt>
                <c:pt idx="279">
                  <c:v>1491.2067870000001</c:v>
                </c:pt>
                <c:pt idx="280">
                  <c:v>1430.439453</c:v>
                </c:pt>
                <c:pt idx="281">
                  <c:v>1553.1889650000001</c:v>
                </c:pt>
                <c:pt idx="282">
                  <c:v>1524.286499</c:v>
                </c:pt>
                <c:pt idx="283">
                  <c:v>1553.7563479999999</c:v>
                </c:pt>
                <c:pt idx="284">
                  <c:v>1586.0179439999999</c:v>
                </c:pt>
                <c:pt idx="285">
                  <c:v>1577.213745</c:v>
                </c:pt>
                <c:pt idx="286">
                  <c:v>1556.895874</c:v>
                </c:pt>
                <c:pt idx="287">
                  <c:v>1577.884033</c:v>
                </c:pt>
                <c:pt idx="288">
                  <c:v>1617.2402340000001</c:v>
                </c:pt>
                <c:pt idx="289">
                  <c:v>1560.9067379999999</c:v>
                </c:pt>
                <c:pt idx="290">
                  <c:v>1629.8051760000001</c:v>
                </c:pt>
                <c:pt idx="291">
                  <c:v>1635.1877440000001</c:v>
                </c:pt>
                <c:pt idx="292">
                  <c:v>1718.9613039999999</c:v>
                </c:pt>
                <c:pt idx="293">
                  <c:v>1775.9760739999999</c:v>
                </c:pt>
                <c:pt idx="294">
                  <c:v>1762.0848390000001</c:v>
                </c:pt>
                <c:pt idx="295">
                  <c:v>1713.962524</c:v>
                </c:pt>
                <c:pt idx="296">
                  <c:v>1574.858154</c:v>
                </c:pt>
                <c:pt idx="297">
                  <c:v>1635.0830080000001</c:v>
                </c:pt>
                <c:pt idx="298">
                  <c:v>1471.928345</c:v>
                </c:pt>
                <c:pt idx="299">
                  <c:v>1432.8764650000001</c:v>
                </c:pt>
                <c:pt idx="300">
                  <c:v>1469.7054439999999</c:v>
                </c:pt>
                <c:pt idx="301">
                  <c:v>1335.2707519999999</c:v>
                </c:pt>
                <c:pt idx="302">
                  <c:v>1377.619019</c:v>
                </c:pt>
                <c:pt idx="303">
                  <c:v>1324.2155760000001</c:v>
                </c:pt>
                <c:pt idx="304">
                  <c:v>1251.5673830000001</c:v>
                </c:pt>
                <c:pt idx="305">
                  <c:v>1327.4812010000001</c:v>
                </c:pt>
                <c:pt idx="306">
                  <c:v>1328.244629</c:v>
                </c:pt>
                <c:pt idx="307">
                  <c:v>1317.9384769999999</c:v>
                </c:pt>
                <c:pt idx="308">
                  <c:v>1294.3861079999999</c:v>
                </c:pt>
                <c:pt idx="309">
                  <c:v>1335.3370359999999</c:v>
                </c:pt>
                <c:pt idx="310">
                  <c:v>1329.5413820000001</c:v>
                </c:pt>
                <c:pt idx="311">
                  <c:v>1337.554443</c:v>
                </c:pt>
                <c:pt idx="312">
                  <c:v>1335.6464840000001</c:v>
                </c:pt>
                <c:pt idx="313">
                  <c:v>1328.193726</c:v>
                </c:pt>
                <c:pt idx="314">
                  <c:v>1311.753418</c:v>
                </c:pt>
                <c:pt idx="315">
                  <c:v>1276.163452</c:v>
                </c:pt>
                <c:pt idx="316">
                  <c:v>1323.2783199999999</c:v>
                </c:pt>
                <c:pt idx="317">
                  <c:v>1361.9729</c:v>
                </c:pt>
                <c:pt idx="318">
                  <c:v>1352.8066409999999</c:v>
                </c:pt>
                <c:pt idx="319">
                  <c:v>1351.8364260000001</c:v>
                </c:pt>
                <c:pt idx="320">
                  <c:v>1332.3713379999999</c:v>
                </c:pt>
                <c:pt idx="321">
                  <c:v>1315.4602050000001</c:v>
                </c:pt>
                <c:pt idx="322">
                  <c:v>1322.6186520000001</c:v>
                </c:pt>
                <c:pt idx="323">
                  <c:v>1291.1096190000001</c:v>
                </c:pt>
                <c:pt idx="324">
                  <c:v>1279.7322999999999</c:v>
                </c:pt>
                <c:pt idx="325">
                  <c:v>1294.9173579999999</c:v>
                </c:pt>
                <c:pt idx="326">
                  <c:v>1288.048706</c:v>
                </c:pt>
                <c:pt idx="327">
                  <c:v>1297.305908</c:v>
                </c:pt>
                <c:pt idx="328">
                  <c:v>1275.0054929999999</c:v>
                </c:pt>
                <c:pt idx="329">
                  <c:v>1306.3095699999999</c:v>
                </c:pt>
                <c:pt idx="330">
                  <c:v>1331.669922</c:v>
                </c:pt>
                <c:pt idx="331">
                  <c:v>1310.5631100000001</c:v>
                </c:pt>
                <c:pt idx="332">
                  <c:v>1285.6602780000001</c:v>
                </c:pt>
                <c:pt idx="333">
                  <c:v>1283.1881100000001</c:v>
                </c:pt>
                <c:pt idx="334">
                  <c:v>1299.9023440000001</c:v>
                </c:pt>
                <c:pt idx="335">
                  <c:v>1314.2495120000001</c:v>
                </c:pt>
                <c:pt idx="336">
                  <c:v>1363.4918210000001</c:v>
                </c:pt>
                <c:pt idx="337">
                  <c:v>1344.7113039999999</c:v>
                </c:pt>
                <c:pt idx="338">
                  <c:v>1461.1331789999999</c:v>
                </c:pt>
                <c:pt idx="339">
                  <c:v>1566.8414310000001</c:v>
                </c:pt>
                <c:pt idx="340">
                  <c:v>1514.32312</c:v>
                </c:pt>
                <c:pt idx="341">
                  <c:v>1555.274658</c:v>
                </c:pt>
                <c:pt idx="342">
                  <c:v>1619.697876</c:v>
                </c:pt>
                <c:pt idx="343">
                  <c:v>1590.481323</c:v>
                </c:pt>
                <c:pt idx="344">
                  <c:v>1572.6453859999999</c:v>
                </c:pt>
                <c:pt idx="345">
                  <c:v>1579.4979249999999</c:v>
                </c:pt>
                <c:pt idx="346">
                  <c:v>1519.7248540000001</c:v>
                </c:pt>
                <c:pt idx="347">
                  <c:v>1531.3975829999999</c:v>
                </c:pt>
                <c:pt idx="348">
                  <c:v>1645.1564940000001</c:v>
                </c:pt>
                <c:pt idx="349">
                  <c:v>1627.9011230000001</c:v>
                </c:pt>
                <c:pt idx="350">
                  <c:v>1572.0169679999999</c:v>
                </c:pt>
                <c:pt idx="351">
                  <c:v>1568.3295900000001</c:v>
                </c:pt>
                <c:pt idx="352">
                  <c:v>1333.122437</c:v>
                </c:pt>
                <c:pt idx="353">
                  <c:v>1100.107178</c:v>
                </c:pt>
                <c:pt idx="354">
                  <c:v>1298.8824460000001</c:v>
                </c:pt>
                <c:pt idx="355">
                  <c:v>1287.4383539999999</c:v>
                </c:pt>
                <c:pt idx="356">
                  <c:v>1255.441284</c:v>
                </c:pt>
                <c:pt idx="357">
                  <c:v>1221.8955080000001</c:v>
                </c:pt>
                <c:pt idx="358">
                  <c:v>1241.6777340000001</c:v>
                </c:pt>
                <c:pt idx="359">
                  <c:v>1251.8088379999999</c:v>
                </c:pt>
                <c:pt idx="360">
                  <c:v>1215.8486330000001</c:v>
                </c:pt>
                <c:pt idx="361">
                  <c:v>1200.802124</c:v>
                </c:pt>
                <c:pt idx="362">
                  <c:v>1212.2154539999999</c:v>
                </c:pt>
                <c:pt idx="363">
                  <c:v>1218.436279</c:v>
                </c:pt>
                <c:pt idx="364">
                  <c:v>1142.3957519999999</c:v>
                </c:pt>
                <c:pt idx="365">
                  <c:v>1105.525879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A-4DDF-8099-0DD340E19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373688"/>
        <c:axId val="479373032"/>
      </c:lineChart>
      <c:dateAx>
        <c:axId val="4793736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373032"/>
        <c:crosses val="autoZero"/>
        <c:auto val="1"/>
        <c:lblOffset val="100"/>
        <c:baseTimeUnit val="days"/>
      </c:dateAx>
      <c:valAx>
        <c:axId val="47937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373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worksheet!$AL$1</c:f>
              <c:strCache>
                <c:ptCount val="1"/>
                <c:pt idx="0">
                  <c:v>etherum Open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worksheet!$AK$2:$AK$367</c:f>
              <c:numCache>
                <c:formatCode>m/d/yyyy</c:formatCode>
                <c:ptCount val="366"/>
                <c:pt idx="0">
                  <c:v>44522</c:v>
                </c:pt>
                <c:pt idx="1">
                  <c:v>44523</c:v>
                </c:pt>
                <c:pt idx="2">
                  <c:v>44524</c:v>
                </c:pt>
                <c:pt idx="3">
                  <c:v>44525</c:v>
                </c:pt>
                <c:pt idx="4">
                  <c:v>44526</c:v>
                </c:pt>
                <c:pt idx="5">
                  <c:v>44527</c:v>
                </c:pt>
                <c:pt idx="6">
                  <c:v>44528</c:v>
                </c:pt>
                <c:pt idx="7">
                  <c:v>44529</c:v>
                </c:pt>
                <c:pt idx="8">
                  <c:v>44530</c:v>
                </c:pt>
                <c:pt idx="9">
                  <c:v>44531</c:v>
                </c:pt>
                <c:pt idx="10">
                  <c:v>44532</c:v>
                </c:pt>
                <c:pt idx="11">
                  <c:v>44533</c:v>
                </c:pt>
                <c:pt idx="12">
                  <c:v>44534</c:v>
                </c:pt>
                <c:pt idx="13">
                  <c:v>44535</c:v>
                </c:pt>
                <c:pt idx="14">
                  <c:v>44536</c:v>
                </c:pt>
                <c:pt idx="15">
                  <c:v>44537</c:v>
                </c:pt>
                <c:pt idx="16">
                  <c:v>44538</c:v>
                </c:pt>
                <c:pt idx="17">
                  <c:v>44539</c:v>
                </c:pt>
                <c:pt idx="18">
                  <c:v>44540</c:v>
                </c:pt>
                <c:pt idx="19">
                  <c:v>44541</c:v>
                </c:pt>
                <c:pt idx="20">
                  <c:v>44542</c:v>
                </c:pt>
                <c:pt idx="21">
                  <c:v>44543</c:v>
                </c:pt>
                <c:pt idx="22">
                  <c:v>44544</c:v>
                </c:pt>
                <c:pt idx="23">
                  <c:v>44545</c:v>
                </c:pt>
                <c:pt idx="24">
                  <c:v>44546</c:v>
                </c:pt>
                <c:pt idx="25">
                  <c:v>44547</c:v>
                </c:pt>
                <c:pt idx="26">
                  <c:v>44548</c:v>
                </c:pt>
                <c:pt idx="27">
                  <c:v>44549</c:v>
                </c:pt>
                <c:pt idx="28">
                  <c:v>44550</c:v>
                </c:pt>
                <c:pt idx="29">
                  <c:v>44551</c:v>
                </c:pt>
                <c:pt idx="30">
                  <c:v>44552</c:v>
                </c:pt>
                <c:pt idx="31">
                  <c:v>44553</c:v>
                </c:pt>
                <c:pt idx="32">
                  <c:v>44554</c:v>
                </c:pt>
                <c:pt idx="33">
                  <c:v>44555</c:v>
                </c:pt>
                <c:pt idx="34">
                  <c:v>44556</c:v>
                </c:pt>
                <c:pt idx="35">
                  <c:v>44557</c:v>
                </c:pt>
                <c:pt idx="36">
                  <c:v>44558</c:v>
                </c:pt>
                <c:pt idx="37">
                  <c:v>44559</c:v>
                </c:pt>
                <c:pt idx="38">
                  <c:v>44560</c:v>
                </c:pt>
                <c:pt idx="39">
                  <c:v>44561</c:v>
                </c:pt>
                <c:pt idx="40">
                  <c:v>44562</c:v>
                </c:pt>
                <c:pt idx="41">
                  <c:v>44563</c:v>
                </c:pt>
                <c:pt idx="42">
                  <c:v>44564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44569</c:v>
                </c:pt>
                <c:pt idx="48">
                  <c:v>44570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44576</c:v>
                </c:pt>
                <c:pt idx="55">
                  <c:v>44577</c:v>
                </c:pt>
                <c:pt idx="56">
                  <c:v>44578</c:v>
                </c:pt>
                <c:pt idx="57">
                  <c:v>44579</c:v>
                </c:pt>
                <c:pt idx="58">
                  <c:v>44580</c:v>
                </c:pt>
                <c:pt idx="59">
                  <c:v>44581</c:v>
                </c:pt>
                <c:pt idx="60">
                  <c:v>44582</c:v>
                </c:pt>
                <c:pt idx="61">
                  <c:v>44583</c:v>
                </c:pt>
                <c:pt idx="62">
                  <c:v>44584</c:v>
                </c:pt>
                <c:pt idx="63">
                  <c:v>44585</c:v>
                </c:pt>
                <c:pt idx="64">
                  <c:v>44586</c:v>
                </c:pt>
                <c:pt idx="65">
                  <c:v>44587</c:v>
                </c:pt>
                <c:pt idx="66">
                  <c:v>44588</c:v>
                </c:pt>
                <c:pt idx="67">
                  <c:v>44589</c:v>
                </c:pt>
                <c:pt idx="68">
                  <c:v>44590</c:v>
                </c:pt>
                <c:pt idx="69">
                  <c:v>44591</c:v>
                </c:pt>
                <c:pt idx="70">
                  <c:v>44592</c:v>
                </c:pt>
                <c:pt idx="71">
                  <c:v>44593</c:v>
                </c:pt>
                <c:pt idx="72">
                  <c:v>44594</c:v>
                </c:pt>
                <c:pt idx="73">
                  <c:v>44595</c:v>
                </c:pt>
                <c:pt idx="74">
                  <c:v>44596</c:v>
                </c:pt>
                <c:pt idx="75">
                  <c:v>44597</c:v>
                </c:pt>
                <c:pt idx="76">
                  <c:v>44598</c:v>
                </c:pt>
                <c:pt idx="77">
                  <c:v>44599</c:v>
                </c:pt>
                <c:pt idx="78">
                  <c:v>44600</c:v>
                </c:pt>
                <c:pt idx="79">
                  <c:v>44601</c:v>
                </c:pt>
                <c:pt idx="80">
                  <c:v>44602</c:v>
                </c:pt>
                <c:pt idx="81">
                  <c:v>44603</c:v>
                </c:pt>
                <c:pt idx="82">
                  <c:v>44604</c:v>
                </c:pt>
                <c:pt idx="83">
                  <c:v>44605</c:v>
                </c:pt>
                <c:pt idx="84">
                  <c:v>44606</c:v>
                </c:pt>
                <c:pt idx="85">
                  <c:v>44607</c:v>
                </c:pt>
                <c:pt idx="86">
                  <c:v>44608</c:v>
                </c:pt>
                <c:pt idx="87">
                  <c:v>44609</c:v>
                </c:pt>
                <c:pt idx="88">
                  <c:v>44610</c:v>
                </c:pt>
                <c:pt idx="89">
                  <c:v>44611</c:v>
                </c:pt>
                <c:pt idx="90">
                  <c:v>44612</c:v>
                </c:pt>
                <c:pt idx="91">
                  <c:v>44613</c:v>
                </c:pt>
                <c:pt idx="92">
                  <c:v>44614</c:v>
                </c:pt>
                <c:pt idx="93">
                  <c:v>44615</c:v>
                </c:pt>
                <c:pt idx="94">
                  <c:v>44616</c:v>
                </c:pt>
                <c:pt idx="95">
                  <c:v>44617</c:v>
                </c:pt>
                <c:pt idx="96">
                  <c:v>44618</c:v>
                </c:pt>
                <c:pt idx="97">
                  <c:v>44619</c:v>
                </c:pt>
                <c:pt idx="98">
                  <c:v>44620</c:v>
                </c:pt>
                <c:pt idx="99">
                  <c:v>44621</c:v>
                </c:pt>
                <c:pt idx="100">
                  <c:v>44622</c:v>
                </c:pt>
                <c:pt idx="101">
                  <c:v>44623</c:v>
                </c:pt>
                <c:pt idx="102">
                  <c:v>44624</c:v>
                </c:pt>
                <c:pt idx="103">
                  <c:v>44625</c:v>
                </c:pt>
                <c:pt idx="104">
                  <c:v>44626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44632</c:v>
                </c:pt>
                <c:pt idx="111">
                  <c:v>44633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44639</c:v>
                </c:pt>
                <c:pt idx="118">
                  <c:v>44640</c:v>
                </c:pt>
                <c:pt idx="119">
                  <c:v>44641</c:v>
                </c:pt>
                <c:pt idx="120">
                  <c:v>44642</c:v>
                </c:pt>
                <c:pt idx="121">
                  <c:v>44643</c:v>
                </c:pt>
                <c:pt idx="122">
                  <c:v>44644</c:v>
                </c:pt>
                <c:pt idx="123">
                  <c:v>44645</c:v>
                </c:pt>
                <c:pt idx="124">
                  <c:v>44646</c:v>
                </c:pt>
                <c:pt idx="125">
                  <c:v>44647</c:v>
                </c:pt>
                <c:pt idx="126">
                  <c:v>44648</c:v>
                </c:pt>
                <c:pt idx="127">
                  <c:v>44649</c:v>
                </c:pt>
                <c:pt idx="128">
                  <c:v>44650</c:v>
                </c:pt>
                <c:pt idx="129">
                  <c:v>44651</c:v>
                </c:pt>
                <c:pt idx="130">
                  <c:v>44652</c:v>
                </c:pt>
                <c:pt idx="131">
                  <c:v>44653</c:v>
                </c:pt>
                <c:pt idx="132">
                  <c:v>44654</c:v>
                </c:pt>
                <c:pt idx="133">
                  <c:v>44655</c:v>
                </c:pt>
                <c:pt idx="134">
                  <c:v>44656</c:v>
                </c:pt>
                <c:pt idx="135">
                  <c:v>44657</c:v>
                </c:pt>
                <c:pt idx="136">
                  <c:v>44658</c:v>
                </c:pt>
                <c:pt idx="137">
                  <c:v>44659</c:v>
                </c:pt>
                <c:pt idx="138">
                  <c:v>44660</c:v>
                </c:pt>
                <c:pt idx="139">
                  <c:v>44661</c:v>
                </c:pt>
                <c:pt idx="140">
                  <c:v>44662</c:v>
                </c:pt>
                <c:pt idx="141">
                  <c:v>44663</c:v>
                </c:pt>
                <c:pt idx="142">
                  <c:v>44664</c:v>
                </c:pt>
                <c:pt idx="143">
                  <c:v>44665</c:v>
                </c:pt>
                <c:pt idx="144">
                  <c:v>44666</c:v>
                </c:pt>
                <c:pt idx="145">
                  <c:v>44667</c:v>
                </c:pt>
                <c:pt idx="146">
                  <c:v>44668</c:v>
                </c:pt>
                <c:pt idx="147">
                  <c:v>44669</c:v>
                </c:pt>
                <c:pt idx="148">
                  <c:v>44670</c:v>
                </c:pt>
                <c:pt idx="149">
                  <c:v>44671</c:v>
                </c:pt>
                <c:pt idx="150">
                  <c:v>44672</c:v>
                </c:pt>
                <c:pt idx="151">
                  <c:v>44673</c:v>
                </c:pt>
                <c:pt idx="152">
                  <c:v>44674</c:v>
                </c:pt>
                <c:pt idx="153">
                  <c:v>44675</c:v>
                </c:pt>
                <c:pt idx="154">
                  <c:v>44676</c:v>
                </c:pt>
                <c:pt idx="155">
                  <c:v>44677</c:v>
                </c:pt>
                <c:pt idx="156">
                  <c:v>44678</c:v>
                </c:pt>
                <c:pt idx="157">
                  <c:v>44679</c:v>
                </c:pt>
                <c:pt idx="158">
                  <c:v>44680</c:v>
                </c:pt>
                <c:pt idx="159">
                  <c:v>44681</c:v>
                </c:pt>
                <c:pt idx="160">
                  <c:v>44682</c:v>
                </c:pt>
                <c:pt idx="161">
                  <c:v>44683</c:v>
                </c:pt>
                <c:pt idx="162">
                  <c:v>44684</c:v>
                </c:pt>
                <c:pt idx="163">
                  <c:v>44685</c:v>
                </c:pt>
                <c:pt idx="164">
                  <c:v>44686</c:v>
                </c:pt>
                <c:pt idx="165">
                  <c:v>44687</c:v>
                </c:pt>
                <c:pt idx="166">
                  <c:v>44688</c:v>
                </c:pt>
                <c:pt idx="167">
                  <c:v>44689</c:v>
                </c:pt>
                <c:pt idx="168">
                  <c:v>44690</c:v>
                </c:pt>
                <c:pt idx="169">
                  <c:v>44691</c:v>
                </c:pt>
                <c:pt idx="170">
                  <c:v>44692</c:v>
                </c:pt>
                <c:pt idx="171">
                  <c:v>44693</c:v>
                </c:pt>
                <c:pt idx="172">
                  <c:v>44694</c:v>
                </c:pt>
                <c:pt idx="173">
                  <c:v>44695</c:v>
                </c:pt>
                <c:pt idx="174">
                  <c:v>44696</c:v>
                </c:pt>
                <c:pt idx="175">
                  <c:v>44697</c:v>
                </c:pt>
                <c:pt idx="176">
                  <c:v>44698</c:v>
                </c:pt>
                <c:pt idx="177">
                  <c:v>44699</c:v>
                </c:pt>
                <c:pt idx="178">
                  <c:v>44700</c:v>
                </c:pt>
                <c:pt idx="179">
                  <c:v>44701</c:v>
                </c:pt>
                <c:pt idx="180">
                  <c:v>44702</c:v>
                </c:pt>
                <c:pt idx="181">
                  <c:v>44703</c:v>
                </c:pt>
                <c:pt idx="182">
                  <c:v>44704</c:v>
                </c:pt>
                <c:pt idx="183">
                  <c:v>44705</c:v>
                </c:pt>
                <c:pt idx="184">
                  <c:v>44706</c:v>
                </c:pt>
                <c:pt idx="185">
                  <c:v>44707</c:v>
                </c:pt>
                <c:pt idx="186">
                  <c:v>44708</c:v>
                </c:pt>
                <c:pt idx="187">
                  <c:v>44709</c:v>
                </c:pt>
                <c:pt idx="188">
                  <c:v>44710</c:v>
                </c:pt>
                <c:pt idx="189">
                  <c:v>44711</c:v>
                </c:pt>
                <c:pt idx="190">
                  <c:v>44712</c:v>
                </c:pt>
                <c:pt idx="191">
                  <c:v>44713</c:v>
                </c:pt>
                <c:pt idx="192">
                  <c:v>44714</c:v>
                </c:pt>
                <c:pt idx="193">
                  <c:v>44715</c:v>
                </c:pt>
                <c:pt idx="194">
                  <c:v>44716</c:v>
                </c:pt>
                <c:pt idx="195">
                  <c:v>44717</c:v>
                </c:pt>
                <c:pt idx="196">
                  <c:v>44718</c:v>
                </c:pt>
                <c:pt idx="197">
                  <c:v>44719</c:v>
                </c:pt>
                <c:pt idx="198">
                  <c:v>44720</c:v>
                </c:pt>
                <c:pt idx="199">
                  <c:v>44721</c:v>
                </c:pt>
                <c:pt idx="200">
                  <c:v>44722</c:v>
                </c:pt>
                <c:pt idx="201">
                  <c:v>44723</c:v>
                </c:pt>
                <c:pt idx="202">
                  <c:v>44724</c:v>
                </c:pt>
                <c:pt idx="203">
                  <c:v>44725</c:v>
                </c:pt>
                <c:pt idx="204">
                  <c:v>44726</c:v>
                </c:pt>
                <c:pt idx="205">
                  <c:v>44727</c:v>
                </c:pt>
                <c:pt idx="206">
                  <c:v>44728</c:v>
                </c:pt>
                <c:pt idx="207">
                  <c:v>44729</c:v>
                </c:pt>
                <c:pt idx="208">
                  <c:v>44730</c:v>
                </c:pt>
                <c:pt idx="209">
                  <c:v>44731</c:v>
                </c:pt>
                <c:pt idx="210">
                  <c:v>44732</c:v>
                </c:pt>
                <c:pt idx="211">
                  <c:v>44733</c:v>
                </c:pt>
                <c:pt idx="212">
                  <c:v>44734</c:v>
                </c:pt>
                <c:pt idx="213">
                  <c:v>44735</c:v>
                </c:pt>
                <c:pt idx="214">
                  <c:v>44736</c:v>
                </c:pt>
                <c:pt idx="215">
                  <c:v>44737</c:v>
                </c:pt>
                <c:pt idx="216">
                  <c:v>44738</c:v>
                </c:pt>
                <c:pt idx="217">
                  <c:v>44739</c:v>
                </c:pt>
                <c:pt idx="218">
                  <c:v>44740</c:v>
                </c:pt>
                <c:pt idx="219">
                  <c:v>44741</c:v>
                </c:pt>
                <c:pt idx="220">
                  <c:v>44742</c:v>
                </c:pt>
                <c:pt idx="221">
                  <c:v>44743</c:v>
                </c:pt>
                <c:pt idx="222">
                  <c:v>44744</c:v>
                </c:pt>
                <c:pt idx="223">
                  <c:v>44745</c:v>
                </c:pt>
                <c:pt idx="224">
                  <c:v>44746</c:v>
                </c:pt>
                <c:pt idx="225">
                  <c:v>44747</c:v>
                </c:pt>
                <c:pt idx="226">
                  <c:v>44748</c:v>
                </c:pt>
                <c:pt idx="227">
                  <c:v>44749</c:v>
                </c:pt>
                <c:pt idx="228">
                  <c:v>44750</c:v>
                </c:pt>
                <c:pt idx="229">
                  <c:v>44751</c:v>
                </c:pt>
                <c:pt idx="230">
                  <c:v>44752</c:v>
                </c:pt>
                <c:pt idx="231">
                  <c:v>44753</c:v>
                </c:pt>
                <c:pt idx="232">
                  <c:v>44754</c:v>
                </c:pt>
                <c:pt idx="233">
                  <c:v>44755</c:v>
                </c:pt>
                <c:pt idx="234">
                  <c:v>44756</c:v>
                </c:pt>
                <c:pt idx="235">
                  <c:v>44757</c:v>
                </c:pt>
                <c:pt idx="236">
                  <c:v>44758</c:v>
                </c:pt>
                <c:pt idx="237">
                  <c:v>44759</c:v>
                </c:pt>
                <c:pt idx="238">
                  <c:v>44760</c:v>
                </c:pt>
                <c:pt idx="239">
                  <c:v>44761</c:v>
                </c:pt>
                <c:pt idx="240">
                  <c:v>44762</c:v>
                </c:pt>
                <c:pt idx="241">
                  <c:v>44763</c:v>
                </c:pt>
                <c:pt idx="242">
                  <c:v>44764</c:v>
                </c:pt>
                <c:pt idx="243">
                  <c:v>44765</c:v>
                </c:pt>
                <c:pt idx="244">
                  <c:v>44766</c:v>
                </c:pt>
                <c:pt idx="245">
                  <c:v>44767</c:v>
                </c:pt>
                <c:pt idx="246">
                  <c:v>44768</c:v>
                </c:pt>
                <c:pt idx="247">
                  <c:v>44769</c:v>
                </c:pt>
                <c:pt idx="248">
                  <c:v>44770</c:v>
                </c:pt>
                <c:pt idx="249">
                  <c:v>44771</c:v>
                </c:pt>
                <c:pt idx="250">
                  <c:v>44772</c:v>
                </c:pt>
                <c:pt idx="251">
                  <c:v>44773</c:v>
                </c:pt>
                <c:pt idx="252">
                  <c:v>44774</c:v>
                </c:pt>
                <c:pt idx="253">
                  <c:v>44775</c:v>
                </c:pt>
                <c:pt idx="254">
                  <c:v>44776</c:v>
                </c:pt>
                <c:pt idx="255">
                  <c:v>44777</c:v>
                </c:pt>
                <c:pt idx="256">
                  <c:v>44778</c:v>
                </c:pt>
                <c:pt idx="257">
                  <c:v>44779</c:v>
                </c:pt>
                <c:pt idx="258">
                  <c:v>44780</c:v>
                </c:pt>
                <c:pt idx="259">
                  <c:v>44781</c:v>
                </c:pt>
                <c:pt idx="260">
                  <c:v>44782</c:v>
                </c:pt>
                <c:pt idx="261">
                  <c:v>44783</c:v>
                </c:pt>
                <c:pt idx="262">
                  <c:v>44784</c:v>
                </c:pt>
                <c:pt idx="263">
                  <c:v>44785</c:v>
                </c:pt>
                <c:pt idx="264">
                  <c:v>44786</c:v>
                </c:pt>
                <c:pt idx="265">
                  <c:v>44787</c:v>
                </c:pt>
                <c:pt idx="266">
                  <c:v>44788</c:v>
                </c:pt>
                <c:pt idx="267">
                  <c:v>44789</c:v>
                </c:pt>
                <c:pt idx="268">
                  <c:v>44790</c:v>
                </c:pt>
                <c:pt idx="269">
                  <c:v>44791</c:v>
                </c:pt>
                <c:pt idx="270">
                  <c:v>44792</c:v>
                </c:pt>
                <c:pt idx="271">
                  <c:v>44793</c:v>
                </c:pt>
                <c:pt idx="272">
                  <c:v>44794</c:v>
                </c:pt>
                <c:pt idx="273">
                  <c:v>44795</c:v>
                </c:pt>
                <c:pt idx="274">
                  <c:v>44796</c:v>
                </c:pt>
                <c:pt idx="275">
                  <c:v>44797</c:v>
                </c:pt>
                <c:pt idx="276">
                  <c:v>44798</c:v>
                </c:pt>
                <c:pt idx="277">
                  <c:v>44799</c:v>
                </c:pt>
                <c:pt idx="278">
                  <c:v>44800</c:v>
                </c:pt>
                <c:pt idx="279">
                  <c:v>44801</c:v>
                </c:pt>
                <c:pt idx="280">
                  <c:v>44802</c:v>
                </c:pt>
                <c:pt idx="281">
                  <c:v>44803</c:v>
                </c:pt>
                <c:pt idx="282">
                  <c:v>44804</c:v>
                </c:pt>
                <c:pt idx="283">
                  <c:v>44805</c:v>
                </c:pt>
                <c:pt idx="284">
                  <c:v>44806</c:v>
                </c:pt>
                <c:pt idx="285">
                  <c:v>44807</c:v>
                </c:pt>
                <c:pt idx="286">
                  <c:v>44808</c:v>
                </c:pt>
                <c:pt idx="287">
                  <c:v>44809</c:v>
                </c:pt>
                <c:pt idx="288">
                  <c:v>44810</c:v>
                </c:pt>
                <c:pt idx="289">
                  <c:v>44811</c:v>
                </c:pt>
                <c:pt idx="290">
                  <c:v>44812</c:v>
                </c:pt>
                <c:pt idx="291">
                  <c:v>44813</c:v>
                </c:pt>
                <c:pt idx="292">
                  <c:v>44814</c:v>
                </c:pt>
                <c:pt idx="293">
                  <c:v>44815</c:v>
                </c:pt>
                <c:pt idx="294">
                  <c:v>44816</c:v>
                </c:pt>
                <c:pt idx="295">
                  <c:v>44817</c:v>
                </c:pt>
                <c:pt idx="296">
                  <c:v>44818</c:v>
                </c:pt>
                <c:pt idx="297">
                  <c:v>44819</c:v>
                </c:pt>
                <c:pt idx="298">
                  <c:v>44820</c:v>
                </c:pt>
                <c:pt idx="299">
                  <c:v>44821</c:v>
                </c:pt>
                <c:pt idx="300">
                  <c:v>44822</c:v>
                </c:pt>
                <c:pt idx="301">
                  <c:v>44823</c:v>
                </c:pt>
                <c:pt idx="302">
                  <c:v>44824</c:v>
                </c:pt>
                <c:pt idx="303">
                  <c:v>44825</c:v>
                </c:pt>
                <c:pt idx="304">
                  <c:v>44826</c:v>
                </c:pt>
                <c:pt idx="305">
                  <c:v>44827</c:v>
                </c:pt>
                <c:pt idx="306">
                  <c:v>44828</c:v>
                </c:pt>
                <c:pt idx="307">
                  <c:v>44829</c:v>
                </c:pt>
                <c:pt idx="308">
                  <c:v>44830</c:v>
                </c:pt>
                <c:pt idx="309">
                  <c:v>44831</c:v>
                </c:pt>
                <c:pt idx="310">
                  <c:v>44832</c:v>
                </c:pt>
                <c:pt idx="311">
                  <c:v>44833</c:v>
                </c:pt>
                <c:pt idx="312">
                  <c:v>44834</c:v>
                </c:pt>
                <c:pt idx="313">
                  <c:v>44835</c:v>
                </c:pt>
                <c:pt idx="314">
                  <c:v>44836</c:v>
                </c:pt>
                <c:pt idx="315">
                  <c:v>44837</c:v>
                </c:pt>
                <c:pt idx="316">
                  <c:v>44838</c:v>
                </c:pt>
                <c:pt idx="317">
                  <c:v>44839</c:v>
                </c:pt>
                <c:pt idx="318">
                  <c:v>44840</c:v>
                </c:pt>
                <c:pt idx="319">
                  <c:v>44841</c:v>
                </c:pt>
                <c:pt idx="320">
                  <c:v>44842</c:v>
                </c:pt>
                <c:pt idx="321">
                  <c:v>44843</c:v>
                </c:pt>
                <c:pt idx="322">
                  <c:v>44844</c:v>
                </c:pt>
                <c:pt idx="323">
                  <c:v>44845</c:v>
                </c:pt>
                <c:pt idx="324">
                  <c:v>44846</c:v>
                </c:pt>
                <c:pt idx="325">
                  <c:v>44847</c:v>
                </c:pt>
                <c:pt idx="326">
                  <c:v>44848</c:v>
                </c:pt>
                <c:pt idx="327">
                  <c:v>44849</c:v>
                </c:pt>
                <c:pt idx="328">
                  <c:v>44850</c:v>
                </c:pt>
                <c:pt idx="329">
                  <c:v>44851</c:v>
                </c:pt>
                <c:pt idx="330">
                  <c:v>44852</c:v>
                </c:pt>
                <c:pt idx="331">
                  <c:v>44853</c:v>
                </c:pt>
                <c:pt idx="332">
                  <c:v>44854</c:v>
                </c:pt>
                <c:pt idx="333">
                  <c:v>44855</c:v>
                </c:pt>
                <c:pt idx="334">
                  <c:v>44856</c:v>
                </c:pt>
                <c:pt idx="335">
                  <c:v>44857</c:v>
                </c:pt>
                <c:pt idx="336">
                  <c:v>44858</c:v>
                </c:pt>
                <c:pt idx="337">
                  <c:v>44859</c:v>
                </c:pt>
                <c:pt idx="338">
                  <c:v>44860</c:v>
                </c:pt>
                <c:pt idx="339">
                  <c:v>44861</c:v>
                </c:pt>
                <c:pt idx="340">
                  <c:v>44862</c:v>
                </c:pt>
                <c:pt idx="341">
                  <c:v>44863</c:v>
                </c:pt>
                <c:pt idx="342">
                  <c:v>44864</c:v>
                </c:pt>
                <c:pt idx="343">
                  <c:v>44865</c:v>
                </c:pt>
                <c:pt idx="344">
                  <c:v>44866</c:v>
                </c:pt>
                <c:pt idx="345">
                  <c:v>44867</c:v>
                </c:pt>
                <c:pt idx="346">
                  <c:v>44868</c:v>
                </c:pt>
                <c:pt idx="347">
                  <c:v>44869</c:v>
                </c:pt>
                <c:pt idx="348">
                  <c:v>44870</c:v>
                </c:pt>
                <c:pt idx="349">
                  <c:v>44871</c:v>
                </c:pt>
                <c:pt idx="350">
                  <c:v>44872</c:v>
                </c:pt>
                <c:pt idx="351">
                  <c:v>44873</c:v>
                </c:pt>
                <c:pt idx="352">
                  <c:v>44874</c:v>
                </c:pt>
                <c:pt idx="353">
                  <c:v>44875</c:v>
                </c:pt>
                <c:pt idx="354">
                  <c:v>44876</c:v>
                </c:pt>
                <c:pt idx="355">
                  <c:v>44877</c:v>
                </c:pt>
                <c:pt idx="356">
                  <c:v>44878</c:v>
                </c:pt>
                <c:pt idx="357">
                  <c:v>44879</c:v>
                </c:pt>
                <c:pt idx="358">
                  <c:v>44880</c:v>
                </c:pt>
                <c:pt idx="359">
                  <c:v>44881</c:v>
                </c:pt>
                <c:pt idx="360">
                  <c:v>44882</c:v>
                </c:pt>
                <c:pt idx="361">
                  <c:v>44883</c:v>
                </c:pt>
                <c:pt idx="362">
                  <c:v>44884</c:v>
                </c:pt>
                <c:pt idx="363">
                  <c:v>44885</c:v>
                </c:pt>
                <c:pt idx="364">
                  <c:v>44886</c:v>
                </c:pt>
                <c:pt idx="365">
                  <c:v>44887</c:v>
                </c:pt>
              </c:numCache>
            </c:numRef>
          </c:cat>
          <c:val>
            <c:numRef>
              <c:f>worksheet!$AL$2:$AL$367</c:f>
              <c:numCache>
                <c:formatCode>General</c:formatCode>
                <c:ptCount val="366"/>
                <c:pt idx="0">
                  <c:v>4266.5092770000001</c:v>
                </c:pt>
                <c:pt idx="1">
                  <c:v>4089.6804200000001</c:v>
                </c:pt>
                <c:pt idx="2">
                  <c:v>4340.0361329999996</c:v>
                </c:pt>
                <c:pt idx="3">
                  <c:v>4271.3945309999999</c:v>
                </c:pt>
                <c:pt idx="4">
                  <c:v>4522.2089839999999</c:v>
                </c:pt>
                <c:pt idx="5">
                  <c:v>4042.9990229999999</c:v>
                </c:pt>
                <c:pt idx="6">
                  <c:v>4101.6489259999998</c:v>
                </c:pt>
                <c:pt idx="7">
                  <c:v>4296.9467770000001</c:v>
                </c:pt>
                <c:pt idx="8">
                  <c:v>4447.7680659999996</c:v>
                </c:pt>
                <c:pt idx="9">
                  <c:v>4623.6796880000002</c:v>
                </c:pt>
                <c:pt idx="10">
                  <c:v>4586.3330079999996</c:v>
                </c:pt>
                <c:pt idx="11">
                  <c:v>4514.3559569999998</c:v>
                </c:pt>
                <c:pt idx="12">
                  <c:v>4227.7622069999998</c:v>
                </c:pt>
                <c:pt idx="13">
                  <c:v>4119.6289059999999</c:v>
                </c:pt>
                <c:pt idx="14">
                  <c:v>4199</c:v>
                </c:pt>
                <c:pt idx="15">
                  <c:v>4358.5869140000004</c:v>
                </c:pt>
                <c:pt idx="16">
                  <c:v>4311.6743159999996</c:v>
                </c:pt>
                <c:pt idx="17">
                  <c:v>4433.0249020000001</c:v>
                </c:pt>
                <c:pt idx="18">
                  <c:v>4113.5883789999998</c:v>
                </c:pt>
                <c:pt idx="19">
                  <c:v>3909.6677249999998</c:v>
                </c:pt>
                <c:pt idx="20">
                  <c:v>4084.811279</c:v>
                </c:pt>
                <c:pt idx="21">
                  <c:v>4136.3598629999997</c:v>
                </c:pt>
                <c:pt idx="22">
                  <c:v>3782.8227539999998</c:v>
                </c:pt>
                <c:pt idx="23">
                  <c:v>3862.2514649999998</c:v>
                </c:pt>
                <c:pt idx="24">
                  <c:v>4020.415039</c:v>
                </c:pt>
                <c:pt idx="25">
                  <c:v>3959.0124510000001</c:v>
                </c:pt>
                <c:pt idx="26">
                  <c:v>3880.2915039999998</c:v>
                </c:pt>
                <c:pt idx="27">
                  <c:v>3960.8723140000002</c:v>
                </c:pt>
                <c:pt idx="28">
                  <c:v>3923.6958009999998</c:v>
                </c:pt>
                <c:pt idx="29">
                  <c:v>3938.4638669999999</c:v>
                </c:pt>
                <c:pt idx="30">
                  <c:v>4018.6958009999998</c:v>
                </c:pt>
                <c:pt idx="31">
                  <c:v>3981.9616700000001</c:v>
                </c:pt>
                <c:pt idx="32">
                  <c:v>4111.3452150000003</c:v>
                </c:pt>
                <c:pt idx="33">
                  <c:v>4049.781982</c:v>
                </c:pt>
                <c:pt idx="34">
                  <c:v>4094.1516109999998</c:v>
                </c:pt>
                <c:pt idx="35">
                  <c:v>4064.7463379999999</c:v>
                </c:pt>
                <c:pt idx="36">
                  <c:v>4037.538086</c:v>
                </c:pt>
                <c:pt idx="37">
                  <c:v>3797.436279</c:v>
                </c:pt>
                <c:pt idx="38">
                  <c:v>3632.2197270000001</c:v>
                </c:pt>
                <c:pt idx="39">
                  <c:v>3713.4301759999998</c:v>
                </c:pt>
                <c:pt idx="40">
                  <c:v>3683.0471189999998</c:v>
                </c:pt>
                <c:pt idx="41">
                  <c:v>3769.2983399999998</c:v>
                </c:pt>
                <c:pt idx="42">
                  <c:v>3829.5356449999999</c:v>
                </c:pt>
                <c:pt idx="43">
                  <c:v>3761.3615719999998</c:v>
                </c:pt>
                <c:pt idx="44">
                  <c:v>3794.2690429999998</c:v>
                </c:pt>
                <c:pt idx="45">
                  <c:v>3549.7089839999999</c:v>
                </c:pt>
                <c:pt idx="46">
                  <c:v>3417.8378910000001</c:v>
                </c:pt>
                <c:pt idx="47">
                  <c:v>3193.5024410000001</c:v>
                </c:pt>
                <c:pt idx="48">
                  <c:v>3091.696289</c:v>
                </c:pt>
                <c:pt idx="49">
                  <c:v>3157.570557</c:v>
                </c:pt>
                <c:pt idx="50">
                  <c:v>3082.9909670000002</c:v>
                </c:pt>
                <c:pt idx="51">
                  <c:v>3238.4499510000001</c:v>
                </c:pt>
                <c:pt idx="52">
                  <c:v>3372.1049800000001</c:v>
                </c:pt>
                <c:pt idx="53">
                  <c:v>3248.648682</c:v>
                </c:pt>
                <c:pt idx="54">
                  <c:v>3309.8442380000001</c:v>
                </c:pt>
                <c:pt idx="55">
                  <c:v>3330.3872070000002</c:v>
                </c:pt>
                <c:pt idx="56">
                  <c:v>3350.9472660000001</c:v>
                </c:pt>
                <c:pt idx="57">
                  <c:v>3212.2875979999999</c:v>
                </c:pt>
                <c:pt idx="58">
                  <c:v>3163.8503420000002</c:v>
                </c:pt>
                <c:pt idx="59">
                  <c:v>3095.2717290000001</c:v>
                </c:pt>
                <c:pt idx="60">
                  <c:v>3002.9567870000001</c:v>
                </c:pt>
                <c:pt idx="61">
                  <c:v>2561.1452640000002</c:v>
                </c:pt>
                <c:pt idx="62">
                  <c:v>2406.9243160000001</c:v>
                </c:pt>
                <c:pt idx="63">
                  <c:v>2535.8911130000001</c:v>
                </c:pt>
                <c:pt idx="64">
                  <c:v>2440.3935550000001</c:v>
                </c:pt>
                <c:pt idx="65">
                  <c:v>2455.5791020000001</c:v>
                </c:pt>
                <c:pt idx="66">
                  <c:v>2467.1884770000001</c:v>
                </c:pt>
                <c:pt idx="67">
                  <c:v>2421.6469729999999</c:v>
                </c:pt>
                <c:pt idx="68">
                  <c:v>2546.5905760000001</c:v>
                </c:pt>
                <c:pt idx="69">
                  <c:v>2598.5649410000001</c:v>
                </c:pt>
                <c:pt idx="70">
                  <c:v>2603.2634280000002</c:v>
                </c:pt>
                <c:pt idx="71">
                  <c:v>2687.8989259999998</c:v>
                </c:pt>
                <c:pt idx="72">
                  <c:v>2791.9589839999999</c:v>
                </c:pt>
                <c:pt idx="73">
                  <c:v>2682.2260740000002</c:v>
                </c:pt>
                <c:pt idx="74">
                  <c:v>2681.0576169999999</c:v>
                </c:pt>
                <c:pt idx="75">
                  <c:v>2984.4460450000001</c:v>
                </c:pt>
                <c:pt idx="76">
                  <c:v>3014.9597170000002</c:v>
                </c:pt>
                <c:pt idx="77">
                  <c:v>3057.4221189999998</c:v>
                </c:pt>
                <c:pt idx="78">
                  <c:v>3143.0085450000001</c:v>
                </c:pt>
                <c:pt idx="79">
                  <c:v>3121.1826169999999</c:v>
                </c:pt>
                <c:pt idx="80">
                  <c:v>3240.1130370000001</c:v>
                </c:pt>
                <c:pt idx="81">
                  <c:v>3077.413086</c:v>
                </c:pt>
                <c:pt idx="82">
                  <c:v>2927.3864749999998</c:v>
                </c:pt>
                <c:pt idx="83">
                  <c:v>2916.7895509999998</c:v>
                </c:pt>
                <c:pt idx="84">
                  <c:v>2880.1877439999998</c:v>
                </c:pt>
                <c:pt idx="85">
                  <c:v>2933.7290039999998</c:v>
                </c:pt>
                <c:pt idx="86">
                  <c:v>3180.4467770000001</c:v>
                </c:pt>
                <c:pt idx="87">
                  <c:v>3126.8583979999999</c:v>
                </c:pt>
                <c:pt idx="88">
                  <c:v>2884.3405760000001</c:v>
                </c:pt>
                <c:pt idx="89">
                  <c:v>2784.8728030000002</c:v>
                </c:pt>
                <c:pt idx="90">
                  <c:v>2763.7565920000002</c:v>
                </c:pt>
                <c:pt idx="91">
                  <c:v>2627.6655270000001</c:v>
                </c:pt>
                <c:pt idx="92">
                  <c:v>2572.898682</c:v>
                </c:pt>
                <c:pt idx="93">
                  <c:v>2639.4470209999999</c:v>
                </c:pt>
                <c:pt idx="94">
                  <c:v>2588.16626</c:v>
                </c:pt>
                <c:pt idx="95">
                  <c:v>2598.436279</c:v>
                </c:pt>
                <c:pt idx="96">
                  <c:v>2764.9895019999999</c:v>
                </c:pt>
                <c:pt idx="97">
                  <c:v>2780.5043949999999</c:v>
                </c:pt>
                <c:pt idx="98">
                  <c:v>2621.1721189999998</c:v>
                </c:pt>
                <c:pt idx="99">
                  <c:v>2919.7758789999998</c:v>
                </c:pt>
                <c:pt idx="100">
                  <c:v>2972.4719239999999</c:v>
                </c:pt>
                <c:pt idx="101">
                  <c:v>2950.1567380000001</c:v>
                </c:pt>
                <c:pt idx="102">
                  <c:v>2834.9873050000001</c:v>
                </c:pt>
                <c:pt idx="103">
                  <c:v>2618.4736330000001</c:v>
                </c:pt>
                <c:pt idx="104">
                  <c:v>2664.9436040000001</c:v>
                </c:pt>
                <c:pt idx="105">
                  <c:v>2555.297607</c:v>
                </c:pt>
                <c:pt idx="106">
                  <c:v>2497.7214359999998</c:v>
                </c:pt>
                <c:pt idx="107">
                  <c:v>2577.1652829999998</c:v>
                </c:pt>
                <c:pt idx="108">
                  <c:v>2729.1164549999999</c:v>
                </c:pt>
                <c:pt idx="109">
                  <c:v>2608.27124</c:v>
                </c:pt>
                <c:pt idx="110">
                  <c:v>2559.6606449999999</c:v>
                </c:pt>
                <c:pt idx="111">
                  <c:v>2573.4880370000001</c:v>
                </c:pt>
                <c:pt idx="112">
                  <c:v>2518.486328</c:v>
                </c:pt>
                <c:pt idx="113">
                  <c:v>2590.6689449999999</c:v>
                </c:pt>
                <c:pt idx="114">
                  <c:v>2620.0285640000002</c:v>
                </c:pt>
                <c:pt idx="115">
                  <c:v>2771.9641109999998</c:v>
                </c:pt>
                <c:pt idx="116">
                  <c:v>2814.4345699999999</c:v>
                </c:pt>
                <c:pt idx="117">
                  <c:v>2944.7216800000001</c:v>
                </c:pt>
                <c:pt idx="118">
                  <c:v>2946.547607</c:v>
                </c:pt>
                <c:pt idx="119">
                  <c:v>2860.1032709999999</c:v>
                </c:pt>
                <c:pt idx="120">
                  <c:v>2897.7741700000001</c:v>
                </c:pt>
                <c:pt idx="121">
                  <c:v>2973.1450199999999</c:v>
                </c:pt>
                <c:pt idx="122">
                  <c:v>3031.0607909999999</c:v>
                </c:pt>
                <c:pt idx="123">
                  <c:v>3108.4489749999998</c:v>
                </c:pt>
                <c:pt idx="124">
                  <c:v>3106.4052729999999</c:v>
                </c:pt>
                <c:pt idx="125">
                  <c:v>3143.795654</c:v>
                </c:pt>
                <c:pt idx="126">
                  <c:v>3292.32251</c:v>
                </c:pt>
                <c:pt idx="127">
                  <c:v>3335.02124</c:v>
                </c:pt>
                <c:pt idx="128">
                  <c:v>3401.5261230000001</c:v>
                </c:pt>
                <c:pt idx="129">
                  <c:v>3385.289307</c:v>
                </c:pt>
                <c:pt idx="130">
                  <c:v>3282.576172</c:v>
                </c:pt>
                <c:pt idx="131">
                  <c:v>3449.7885740000002</c:v>
                </c:pt>
                <c:pt idx="132">
                  <c:v>3444.810547</c:v>
                </c:pt>
                <c:pt idx="133">
                  <c:v>3522.36499</c:v>
                </c:pt>
                <c:pt idx="134">
                  <c:v>3521.2397460000002</c:v>
                </c:pt>
                <c:pt idx="135">
                  <c:v>3411.6721189999998</c:v>
                </c:pt>
                <c:pt idx="136">
                  <c:v>3172.1972660000001</c:v>
                </c:pt>
                <c:pt idx="137">
                  <c:v>3233.272461</c:v>
                </c:pt>
                <c:pt idx="138">
                  <c:v>3191.9760740000002</c:v>
                </c:pt>
                <c:pt idx="139">
                  <c:v>3261.2915039999998</c:v>
                </c:pt>
                <c:pt idx="140">
                  <c:v>3209.576904</c:v>
                </c:pt>
                <c:pt idx="141">
                  <c:v>2981.420654</c:v>
                </c:pt>
                <c:pt idx="142">
                  <c:v>3029.8779300000001</c:v>
                </c:pt>
                <c:pt idx="143">
                  <c:v>3117.8217770000001</c:v>
                </c:pt>
                <c:pt idx="144">
                  <c:v>3020.1345209999999</c:v>
                </c:pt>
                <c:pt idx="145">
                  <c:v>3041.1232909999999</c:v>
                </c:pt>
                <c:pt idx="146">
                  <c:v>3061.881836</c:v>
                </c:pt>
                <c:pt idx="147">
                  <c:v>2993.4838869999999</c:v>
                </c:pt>
                <c:pt idx="148">
                  <c:v>3057.5703130000002</c:v>
                </c:pt>
                <c:pt idx="149">
                  <c:v>3103.9350589999999</c:v>
                </c:pt>
                <c:pt idx="150">
                  <c:v>3077.829346</c:v>
                </c:pt>
                <c:pt idx="151">
                  <c:v>2986.938721</c:v>
                </c:pt>
                <c:pt idx="152">
                  <c:v>2964.8022460000002</c:v>
                </c:pt>
                <c:pt idx="153">
                  <c:v>2937.3471679999998</c:v>
                </c:pt>
                <c:pt idx="154">
                  <c:v>2922.9902339999999</c:v>
                </c:pt>
                <c:pt idx="155">
                  <c:v>3008.946289</c:v>
                </c:pt>
                <c:pt idx="156">
                  <c:v>2808.6459960000002</c:v>
                </c:pt>
                <c:pt idx="157">
                  <c:v>2888.8498540000001</c:v>
                </c:pt>
                <c:pt idx="158">
                  <c:v>2936.7766109999998</c:v>
                </c:pt>
                <c:pt idx="159">
                  <c:v>2815.5334469999998</c:v>
                </c:pt>
                <c:pt idx="160">
                  <c:v>2729.9941410000001</c:v>
                </c:pt>
                <c:pt idx="161">
                  <c:v>2827.6140140000002</c:v>
                </c:pt>
                <c:pt idx="162">
                  <c:v>2857.1523440000001</c:v>
                </c:pt>
                <c:pt idx="163">
                  <c:v>2783.1311040000001</c:v>
                </c:pt>
                <c:pt idx="164">
                  <c:v>2940.2265630000002</c:v>
                </c:pt>
                <c:pt idx="165">
                  <c:v>2748.9316410000001</c:v>
                </c:pt>
                <c:pt idx="166">
                  <c:v>2694.991943</c:v>
                </c:pt>
                <c:pt idx="167">
                  <c:v>2636.1218260000001</c:v>
                </c:pt>
                <c:pt idx="168">
                  <c:v>2518.5083009999998</c:v>
                </c:pt>
                <c:pt idx="169">
                  <c:v>2242.6503910000001</c:v>
                </c:pt>
                <c:pt idx="170">
                  <c:v>2342.7541500000002</c:v>
                </c:pt>
                <c:pt idx="171">
                  <c:v>2072.5046390000002</c:v>
                </c:pt>
                <c:pt idx="172">
                  <c:v>1960.1225589999999</c:v>
                </c:pt>
                <c:pt idx="173">
                  <c:v>2014.2806399999999</c:v>
                </c:pt>
                <c:pt idx="174">
                  <c:v>2056.1831050000001</c:v>
                </c:pt>
                <c:pt idx="175">
                  <c:v>2145.836914</c:v>
                </c:pt>
                <c:pt idx="176">
                  <c:v>2022.8823239999999</c:v>
                </c:pt>
                <c:pt idx="177">
                  <c:v>2090.459961</c:v>
                </c:pt>
                <c:pt idx="178">
                  <c:v>1916.1495359999999</c:v>
                </c:pt>
                <c:pt idx="179">
                  <c:v>2018.0001219999999</c:v>
                </c:pt>
                <c:pt idx="180">
                  <c:v>1961.0179439999999</c:v>
                </c:pt>
                <c:pt idx="181">
                  <c:v>1974.670654</c:v>
                </c:pt>
                <c:pt idx="182">
                  <c:v>2042.3447269999999</c:v>
                </c:pt>
                <c:pt idx="183">
                  <c:v>1972.3908690000001</c:v>
                </c:pt>
                <c:pt idx="184">
                  <c:v>1978.6770019999999</c:v>
                </c:pt>
                <c:pt idx="185">
                  <c:v>1945.0333250000001</c:v>
                </c:pt>
                <c:pt idx="186">
                  <c:v>1802.543823</c:v>
                </c:pt>
                <c:pt idx="187">
                  <c:v>1724.635986</c:v>
                </c:pt>
                <c:pt idx="188">
                  <c:v>1792.184448</c:v>
                </c:pt>
                <c:pt idx="189">
                  <c:v>1811.885986</c:v>
                </c:pt>
                <c:pt idx="190">
                  <c:v>1996.408081</c:v>
                </c:pt>
                <c:pt idx="191">
                  <c:v>1942.050659</c:v>
                </c:pt>
                <c:pt idx="192">
                  <c:v>1822.4121090000001</c:v>
                </c:pt>
                <c:pt idx="193">
                  <c:v>1834.13501</c:v>
                </c:pt>
                <c:pt idx="194">
                  <c:v>1775.2208250000001</c:v>
                </c:pt>
                <c:pt idx="195">
                  <c:v>1801.81897</c:v>
                </c:pt>
                <c:pt idx="196">
                  <c:v>1805.635986</c:v>
                </c:pt>
                <c:pt idx="197">
                  <c:v>1859.33374</c:v>
                </c:pt>
                <c:pt idx="198">
                  <c:v>1814.1007079999999</c:v>
                </c:pt>
                <c:pt idx="199">
                  <c:v>1793.512817</c:v>
                </c:pt>
                <c:pt idx="200">
                  <c:v>1789.6899410000001</c:v>
                </c:pt>
                <c:pt idx="201">
                  <c:v>1665.2178960000001</c:v>
                </c:pt>
                <c:pt idx="202">
                  <c:v>1530.189697</c:v>
                </c:pt>
                <c:pt idx="203">
                  <c:v>1443.8354489999999</c:v>
                </c:pt>
                <c:pt idx="204">
                  <c:v>1204.555298</c:v>
                </c:pt>
                <c:pt idx="205">
                  <c:v>1211.365967</c:v>
                </c:pt>
                <c:pt idx="206">
                  <c:v>1233.6035159999999</c:v>
                </c:pt>
                <c:pt idx="207">
                  <c:v>1067.9876710000001</c:v>
                </c:pt>
                <c:pt idx="208">
                  <c:v>1086.3779300000001</c:v>
                </c:pt>
                <c:pt idx="209">
                  <c:v>993.40063499999997</c:v>
                </c:pt>
                <c:pt idx="210">
                  <c:v>1127.65625</c:v>
                </c:pt>
                <c:pt idx="211">
                  <c:v>1127.511841</c:v>
                </c:pt>
                <c:pt idx="212">
                  <c:v>1125.3729249999999</c:v>
                </c:pt>
                <c:pt idx="213">
                  <c:v>1051.329346</c:v>
                </c:pt>
                <c:pt idx="214">
                  <c:v>1143.204712</c:v>
                </c:pt>
                <c:pt idx="215">
                  <c:v>1226.724731</c:v>
                </c:pt>
                <c:pt idx="216">
                  <c:v>1242.9875489999999</c:v>
                </c:pt>
                <c:pt idx="217">
                  <c:v>1199.713135</c:v>
                </c:pt>
                <c:pt idx="218">
                  <c:v>1193.2540280000001</c:v>
                </c:pt>
                <c:pt idx="219">
                  <c:v>1144.524414</c:v>
                </c:pt>
                <c:pt idx="220">
                  <c:v>1099.353149</c:v>
                </c:pt>
                <c:pt idx="221">
                  <c:v>1068.3167719999999</c:v>
                </c:pt>
                <c:pt idx="222">
                  <c:v>1060.121216</c:v>
                </c:pt>
                <c:pt idx="223">
                  <c:v>1066.4674070000001</c:v>
                </c:pt>
                <c:pt idx="224">
                  <c:v>1073.794312</c:v>
                </c:pt>
                <c:pt idx="225">
                  <c:v>1150.5097659999999</c:v>
                </c:pt>
                <c:pt idx="226">
                  <c:v>1134.8222659999999</c:v>
                </c:pt>
                <c:pt idx="227">
                  <c:v>1186.9609379999999</c:v>
                </c:pt>
                <c:pt idx="228">
                  <c:v>1237.580322</c:v>
                </c:pt>
                <c:pt idx="229">
                  <c:v>1222.306885</c:v>
                </c:pt>
                <c:pt idx="230">
                  <c:v>1216.904419</c:v>
                </c:pt>
                <c:pt idx="231">
                  <c:v>1168.139038</c:v>
                </c:pt>
                <c:pt idx="232">
                  <c:v>1097.259155</c:v>
                </c:pt>
                <c:pt idx="233">
                  <c:v>1038.1866460000001</c:v>
                </c:pt>
                <c:pt idx="234">
                  <c:v>1113.5157469999999</c:v>
                </c:pt>
                <c:pt idx="235">
                  <c:v>1191.6748050000001</c:v>
                </c:pt>
                <c:pt idx="236">
                  <c:v>1232.791626</c:v>
                </c:pt>
                <c:pt idx="237">
                  <c:v>1353.205078</c:v>
                </c:pt>
                <c:pt idx="238">
                  <c:v>1338.80603</c:v>
                </c:pt>
                <c:pt idx="239">
                  <c:v>1578.3839109999999</c:v>
                </c:pt>
                <c:pt idx="240">
                  <c:v>1542.954346</c:v>
                </c:pt>
                <c:pt idx="241">
                  <c:v>1520.3745120000001</c:v>
                </c:pt>
                <c:pt idx="242">
                  <c:v>1576.745361</c:v>
                </c:pt>
                <c:pt idx="243">
                  <c:v>1536.4573969999999</c:v>
                </c:pt>
                <c:pt idx="244">
                  <c:v>1549.222534</c:v>
                </c:pt>
                <c:pt idx="245">
                  <c:v>1599.1572269999999</c:v>
                </c:pt>
                <c:pt idx="246">
                  <c:v>1445.1511230000001</c:v>
                </c:pt>
                <c:pt idx="247">
                  <c:v>1443.726807</c:v>
                </c:pt>
                <c:pt idx="248">
                  <c:v>1636.2319339999999</c:v>
                </c:pt>
                <c:pt idx="249">
                  <c:v>1725.6239009999999</c:v>
                </c:pt>
                <c:pt idx="250">
                  <c:v>1727.0618899999999</c:v>
                </c:pt>
                <c:pt idx="251">
                  <c:v>1695.8847659999999</c:v>
                </c:pt>
                <c:pt idx="252">
                  <c:v>1681.445557</c:v>
                </c:pt>
                <c:pt idx="253">
                  <c:v>1634.645874</c:v>
                </c:pt>
                <c:pt idx="254">
                  <c:v>1633.0512699999999</c:v>
                </c:pt>
                <c:pt idx="255">
                  <c:v>1618.8867190000001</c:v>
                </c:pt>
                <c:pt idx="256">
                  <c:v>1607.5239260000001</c:v>
                </c:pt>
                <c:pt idx="257">
                  <c:v>1732.6611330000001</c:v>
                </c:pt>
                <c:pt idx="258">
                  <c:v>1691.7779539999999</c:v>
                </c:pt>
                <c:pt idx="259">
                  <c:v>1699.693481</c:v>
                </c:pt>
                <c:pt idx="260">
                  <c:v>1776.071289</c:v>
                </c:pt>
                <c:pt idx="261">
                  <c:v>1702.9064940000001</c:v>
                </c:pt>
                <c:pt idx="262">
                  <c:v>1851.8283690000001</c:v>
                </c:pt>
                <c:pt idx="263">
                  <c:v>1880.8991699999999</c:v>
                </c:pt>
                <c:pt idx="264">
                  <c:v>1957.3339840000001</c:v>
                </c:pt>
                <c:pt idx="265">
                  <c:v>1981.782471</c:v>
                </c:pt>
                <c:pt idx="266">
                  <c:v>1936.7604980000001</c:v>
                </c:pt>
                <c:pt idx="267">
                  <c:v>1902.83313</c:v>
                </c:pt>
                <c:pt idx="268">
                  <c:v>1877.9343260000001</c:v>
                </c:pt>
                <c:pt idx="269">
                  <c:v>1833.7155760000001</c:v>
                </c:pt>
                <c:pt idx="270">
                  <c:v>1847.095337</c:v>
                </c:pt>
                <c:pt idx="271">
                  <c:v>1612.650635</c:v>
                </c:pt>
                <c:pt idx="272">
                  <c:v>1576.5435789999999</c:v>
                </c:pt>
                <c:pt idx="273">
                  <c:v>1619.16687</c:v>
                </c:pt>
                <c:pt idx="274">
                  <c:v>1622.939331</c:v>
                </c:pt>
                <c:pt idx="275">
                  <c:v>1662.6954350000001</c:v>
                </c:pt>
                <c:pt idx="276">
                  <c:v>1657.336548</c:v>
                </c:pt>
                <c:pt idx="277">
                  <c:v>1696.3245850000001</c:v>
                </c:pt>
                <c:pt idx="278">
                  <c:v>1508.156982</c:v>
                </c:pt>
                <c:pt idx="279">
                  <c:v>1491.2067870000001</c:v>
                </c:pt>
                <c:pt idx="280">
                  <c:v>1430.439453</c:v>
                </c:pt>
                <c:pt idx="281">
                  <c:v>1553.1889650000001</c:v>
                </c:pt>
                <c:pt idx="282">
                  <c:v>1524.286499</c:v>
                </c:pt>
                <c:pt idx="283">
                  <c:v>1553.7563479999999</c:v>
                </c:pt>
                <c:pt idx="284">
                  <c:v>1586.0179439999999</c:v>
                </c:pt>
                <c:pt idx="285">
                  <c:v>1577.213745</c:v>
                </c:pt>
                <c:pt idx="286">
                  <c:v>1556.895874</c:v>
                </c:pt>
                <c:pt idx="287">
                  <c:v>1577.884033</c:v>
                </c:pt>
                <c:pt idx="288">
                  <c:v>1617.2402340000001</c:v>
                </c:pt>
                <c:pt idx="289">
                  <c:v>1560.9067379999999</c:v>
                </c:pt>
                <c:pt idx="290">
                  <c:v>1629.8051760000001</c:v>
                </c:pt>
                <c:pt idx="291">
                  <c:v>1635.1877440000001</c:v>
                </c:pt>
                <c:pt idx="292">
                  <c:v>1718.9613039999999</c:v>
                </c:pt>
                <c:pt idx="293">
                  <c:v>1775.9760739999999</c:v>
                </c:pt>
                <c:pt idx="294">
                  <c:v>1762.0848390000001</c:v>
                </c:pt>
                <c:pt idx="295">
                  <c:v>1713.962524</c:v>
                </c:pt>
                <c:pt idx="296">
                  <c:v>1574.858154</c:v>
                </c:pt>
                <c:pt idx="297">
                  <c:v>1635.0830080000001</c:v>
                </c:pt>
                <c:pt idx="298">
                  <c:v>1471.928345</c:v>
                </c:pt>
                <c:pt idx="299">
                  <c:v>1432.8764650000001</c:v>
                </c:pt>
                <c:pt idx="300">
                  <c:v>1469.7054439999999</c:v>
                </c:pt>
                <c:pt idx="301">
                  <c:v>1335.2707519999999</c:v>
                </c:pt>
                <c:pt idx="302">
                  <c:v>1377.619019</c:v>
                </c:pt>
                <c:pt idx="303">
                  <c:v>1324.2155760000001</c:v>
                </c:pt>
                <c:pt idx="304">
                  <c:v>1251.5673830000001</c:v>
                </c:pt>
                <c:pt idx="305">
                  <c:v>1327.4812010000001</c:v>
                </c:pt>
                <c:pt idx="306">
                  <c:v>1328.244629</c:v>
                </c:pt>
                <c:pt idx="307">
                  <c:v>1317.9384769999999</c:v>
                </c:pt>
                <c:pt idx="308">
                  <c:v>1294.3861079999999</c:v>
                </c:pt>
                <c:pt idx="309">
                  <c:v>1335.3370359999999</c:v>
                </c:pt>
                <c:pt idx="310">
                  <c:v>1329.5413820000001</c:v>
                </c:pt>
                <c:pt idx="311">
                  <c:v>1337.554443</c:v>
                </c:pt>
                <c:pt idx="312">
                  <c:v>1335.6464840000001</c:v>
                </c:pt>
                <c:pt idx="313">
                  <c:v>1328.193726</c:v>
                </c:pt>
                <c:pt idx="314">
                  <c:v>1311.753418</c:v>
                </c:pt>
                <c:pt idx="315">
                  <c:v>1276.163452</c:v>
                </c:pt>
                <c:pt idx="316">
                  <c:v>1323.2783199999999</c:v>
                </c:pt>
                <c:pt idx="317">
                  <c:v>1361.9729</c:v>
                </c:pt>
                <c:pt idx="318">
                  <c:v>1352.8066409999999</c:v>
                </c:pt>
                <c:pt idx="319">
                  <c:v>1351.8364260000001</c:v>
                </c:pt>
                <c:pt idx="320">
                  <c:v>1332.3713379999999</c:v>
                </c:pt>
                <c:pt idx="321">
                  <c:v>1315.4602050000001</c:v>
                </c:pt>
                <c:pt idx="322">
                  <c:v>1322.6186520000001</c:v>
                </c:pt>
                <c:pt idx="323">
                  <c:v>1291.1096190000001</c:v>
                </c:pt>
                <c:pt idx="324">
                  <c:v>1279.7322999999999</c:v>
                </c:pt>
                <c:pt idx="325">
                  <c:v>1294.9173579999999</c:v>
                </c:pt>
                <c:pt idx="326">
                  <c:v>1288.048706</c:v>
                </c:pt>
                <c:pt idx="327">
                  <c:v>1297.305908</c:v>
                </c:pt>
                <c:pt idx="328">
                  <c:v>1275.0054929999999</c:v>
                </c:pt>
                <c:pt idx="329">
                  <c:v>1306.3095699999999</c:v>
                </c:pt>
                <c:pt idx="330">
                  <c:v>1331.669922</c:v>
                </c:pt>
                <c:pt idx="331">
                  <c:v>1310.5631100000001</c:v>
                </c:pt>
                <c:pt idx="332">
                  <c:v>1285.6602780000001</c:v>
                </c:pt>
                <c:pt idx="333">
                  <c:v>1283.1881100000001</c:v>
                </c:pt>
                <c:pt idx="334">
                  <c:v>1299.9023440000001</c:v>
                </c:pt>
                <c:pt idx="335">
                  <c:v>1314.2495120000001</c:v>
                </c:pt>
                <c:pt idx="336">
                  <c:v>1363.4918210000001</c:v>
                </c:pt>
                <c:pt idx="337">
                  <c:v>1344.7113039999999</c:v>
                </c:pt>
                <c:pt idx="338">
                  <c:v>1461.1331789999999</c:v>
                </c:pt>
                <c:pt idx="339">
                  <c:v>1566.8414310000001</c:v>
                </c:pt>
                <c:pt idx="340">
                  <c:v>1514.32312</c:v>
                </c:pt>
                <c:pt idx="341">
                  <c:v>1555.274658</c:v>
                </c:pt>
                <c:pt idx="342">
                  <c:v>1619.697876</c:v>
                </c:pt>
                <c:pt idx="343">
                  <c:v>1590.481323</c:v>
                </c:pt>
                <c:pt idx="344">
                  <c:v>1572.6453859999999</c:v>
                </c:pt>
                <c:pt idx="345">
                  <c:v>1579.4979249999999</c:v>
                </c:pt>
                <c:pt idx="346">
                  <c:v>1519.7248540000001</c:v>
                </c:pt>
                <c:pt idx="347">
                  <c:v>1531.3975829999999</c:v>
                </c:pt>
                <c:pt idx="348">
                  <c:v>1645.1564940000001</c:v>
                </c:pt>
                <c:pt idx="349">
                  <c:v>1627.9011230000001</c:v>
                </c:pt>
                <c:pt idx="350">
                  <c:v>1572.0169679999999</c:v>
                </c:pt>
                <c:pt idx="351">
                  <c:v>1568.3295900000001</c:v>
                </c:pt>
                <c:pt idx="352">
                  <c:v>1333.122437</c:v>
                </c:pt>
                <c:pt idx="353">
                  <c:v>1100.107178</c:v>
                </c:pt>
                <c:pt idx="354">
                  <c:v>1298.8824460000001</c:v>
                </c:pt>
                <c:pt idx="355">
                  <c:v>1287.4383539999999</c:v>
                </c:pt>
                <c:pt idx="356">
                  <c:v>1255.441284</c:v>
                </c:pt>
                <c:pt idx="357">
                  <c:v>1221.8955080000001</c:v>
                </c:pt>
                <c:pt idx="358">
                  <c:v>1241.6777340000001</c:v>
                </c:pt>
                <c:pt idx="359">
                  <c:v>1251.8088379999999</c:v>
                </c:pt>
                <c:pt idx="360">
                  <c:v>1215.8486330000001</c:v>
                </c:pt>
                <c:pt idx="361">
                  <c:v>1200.802124</c:v>
                </c:pt>
                <c:pt idx="362">
                  <c:v>1212.2154539999999</c:v>
                </c:pt>
                <c:pt idx="363">
                  <c:v>1218.436279</c:v>
                </c:pt>
                <c:pt idx="364">
                  <c:v>1142.3957519999999</c:v>
                </c:pt>
                <c:pt idx="365">
                  <c:v>1105.525879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E-448E-A35C-777B8F365591}"/>
            </c:ext>
          </c:extLst>
        </c:ser>
        <c:ser>
          <c:idx val="1"/>
          <c:order val="1"/>
          <c:tx>
            <c:strRef>
              <c:f>worksheet!$AM$1</c:f>
              <c:strCache>
                <c:ptCount val="1"/>
                <c:pt idx="0">
                  <c:v>bitcoin Open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worksheet!$AK$2:$AK$367</c:f>
              <c:numCache>
                <c:formatCode>m/d/yyyy</c:formatCode>
                <c:ptCount val="366"/>
                <c:pt idx="0">
                  <c:v>44522</c:v>
                </c:pt>
                <c:pt idx="1">
                  <c:v>44523</c:v>
                </c:pt>
                <c:pt idx="2">
                  <c:v>44524</c:v>
                </c:pt>
                <c:pt idx="3">
                  <c:v>44525</c:v>
                </c:pt>
                <c:pt idx="4">
                  <c:v>44526</c:v>
                </c:pt>
                <c:pt idx="5">
                  <c:v>44527</c:v>
                </c:pt>
                <c:pt idx="6">
                  <c:v>44528</c:v>
                </c:pt>
                <c:pt idx="7">
                  <c:v>44529</c:v>
                </c:pt>
                <c:pt idx="8">
                  <c:v>44530</c:v>
                </c:pt>
                <c:pt idx="9">
                  <c:v>44531</c:v>
                </c:pt>
                <c:pt idx="10">
                  <c:v>44532</c:v>
                </c:pt>
                <c:pt idx="11">
                  <c:v>44533</c:v>
                </c:pt>
                <c:pt idx="12">
                  <c:v>44534</c:v>
                </c:pt>
                <c:pt idx="13">
                  <c:v>44535</c:v>
                </c:pt>
                <c:pt idx="14">
                  <c:v>44536</c:v>
                </c:pt>
                <c:pt idx="15">
                  <c:v>44537</c:v>
                </c:pt>
                <c:pt idx="16">
                  <c:v>44538</c:v>
                </c:pt>
                <c:pt idx="17">
                  <c:v>44539</c:v>
                </c:pt>
                <c:pt idx="18">
                  <c:v>44540</c:v>
                </c:pt>
                <c:pt idx="19">
                  <c:v>44541</c:v>
                </c:pt>
                <c:pt idx="20">
                  <c:v>44542</c:v>
                </c:pt>
                <c:pt idx="21">
                  <c:v>44543</c:v>
                </c:pt>
                <c:pt idx="22">
                  <c:v>44544</c:v>
                </c:pt>
                <c:pt idx="23">
                  <c:v>44545</c:v>
                </c:pt>
                <c:pt idx="24">
                  <c:v>44546</c:v>
                </c:pt>
                <c:pt idx="25">
                  <c:v>44547</c:v>
                </c:pt>
                <c:pt idx="26">
                  <c:v>44548</c:v>
                </c:pt>
                <c:pt idx="27">
                  <c:v>44549</c:v>
                </c:pt>
                <c:pt idx="28">
                  <c:v>44550</c:v>
                </c:pt>
                <c:pt idx="29">
                  <c:v>44551</c:v>
                </c:pt>
                <c:pt idx="30">
                  <c:v>44552</c:v>
                </c:pt>
                <c:pt idx="31">
                  <c:v>44553</c:v>
                </c:pt>
                <c:pt idx="32">
                  <c:v>44554</c:v>
                </c:pt>
                <c:pt idx="33">
                  <c:v>44555</c:v>
                </c:pt>
                <c:pt idx="34">
                  <c:v>44556</c:v>
                </c:pt>
                <c:pt idx="35">
                  <c:v>44557</c:v>
                </c:pt>
                <c:pt idx="36">
                  <c:v>44558</c:v>
                </c:pt>
                <c:pt idx="37">
                  <c:v>44559</c:v>
                </c:pt>
                <c:pt idx="38">
                  <c:v>44560</c:v>
                </c:pt>
                <c:pt idx="39">
                  <c:v>44561</c:v>
                </c:pt>
                <c:pt idx="40">
                  <c:v>44562</c:v>
                </c:pt>
                <c:pt idx="41">
                  <c:v>44563</c:v>
                </c:pt>
                <c:pt idx="42">
                  <c:v>44564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44569</c:v>
                </c:pt>
                <c:pt idx="48">
                  <c:v>44570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44576</c:v>
                </c:pt>
                <c:pt idx="55">
                  <c:v>44577</c:v>
                </c:pt>
                <c:pt idx="56">
                  <c:v>44578</c:v>
                </c:pt>
                <c:pt idx="57">
                  <c:v>44579</c:v>
                </c:pt>
                <c:pt idx="58">
                  <c:v>44580</c:v>
                </c:pt>
                <c:pt idx="59">
                  <c:v>44581</c:v>
                </c:pt>
                <c:pt idx="60">
                  <c:v>44582</c:v>
                </c:pt>
                <c:pt idx="61">
                  <c:v>44583</c:v>
                </c:pt>
                <c:pt idx="62">
                  <c:v>44584</c:v>
                </c:pt>
                <c:pt idx="63">
                  <c:v>44585</c:v>
                </c:pt>
                <c:pt idx="64">
                  <c:v>44586</c:v>
                </c:pt>
                <c:pt idx="65">
                  <c:v>44587</c:v>
                </c:pt>
                <c:pt idx="66">
                  <c:v>44588</c:v>
                </c:pt>
                <c:pt idx="67">
                  <c:v>44589</c:v>
                </c:pt>
                <c:pt idx="68">
                  <c:v>44590</c:v>
                </c:pt>
                <c:pt idx="69">
                  <c:v>44591</c:v>
                </c:pt>
                <c:pt idx="70">
                  <c:v>44592</c:v>
                </c:pt>
                <c:pt idx="71">
                  <c:v>44593</c:v>
                </c:pt>
                <c:pt idx="72">
                  <c:v>44594</c:v>
                </c:pt>
                <c:pt idx="73">
                  <c:v>44595</c:v>
                </c:pt>
                <c:pt idx="74">
                  <c:v>44596</c:v>
                </c:pt>
                <c:pt idx="75">
                  <c:v>44597</c:v>
                </c:pt>
                <c:pt idx="76">
                  <c:v>44598</c:v>
                </c:pt>
                <c:pt idx="77">
                  <c:v>44599</c:v>
                </c:pt>
                <c:pt idx="78">
                  <c:v>44600</c:v>
                </c:pt>
                <c:pt idx="79">
                  <c:v>44601</c:v>
                </c:pt>
                <c:pt idx="80">
                  <c:v>44602</c:v>
                </c:pt>
                <c:pt idx="81">
                  <c:v>44603</c:v>
                </c:pt>
                <c:pt idx="82">
                  <c:v>44604</c:v>
                </c:pt>
                <c:pt idx="83">
                  <c:v>44605</c:v>
                </c:pt>
                <c:pt idx="84">
                  <c:v>44606</c:v>
                </c:pt>
                <c:pt idx="85">
                  <c:v>44607</c:v>
                </c:pt>
                <c:pt idx="86">
                  <c:v>44608</c:v>
                </c:pt>
                <c:pt idx="87">
                  <c:v>44609</c:v>
                </c:pt>
                <c:pt idx="88">
                  <c:v>44610</c:v>
                </c:pt>
                <c:pt idx="89">
                  <c:v>44611</c:v>
                </c:pt>
                <c:pt idx="90">
                  <c:v>44612</c:v>
                </c:pt>
                <c:pt idx="91">
                  <c:v>44613</c:v>
                </c:pt>
                <c:pt idx="92">
                  <c:v>44614</c:v>
                </c:pt>
                <c:pt idx="93">
                  <c:v>44615</c:v>
                </c:pt>
                <c:pt idx="94">
                  <c:v>44616</c:v>
                </c:pt>
                <c:pt idx="95">
                  <c:v>44617</c:v>
                </c:pt>
                <c:pt idx="96">
                  <c:v>44618</c:v>
                </c:pt>
                <c:pt idx="97">
                  <c:v>44619</c:v>
                </c:pt>
                <c:pt idx="98">
                  <c:v>44620</c:v>
                </c:pt>
                <c:pt idx="99">
                  <c:v>44621</c:v>
                </c:pt>
                <c:pt idx="100">
                  <c:v>44622</c:v>
                </c:pt>
                <c:pt idx="101">
                  <c:v>44623</c:v>
                </c:pt>
                <c:pt idx="102">
                  <c:v>44624</c:v>
                </c:pt>
                <c:pt idx="103">
                  <c:v>44625</c:v>
                </c:pt>
                <c:pt idx="104">
                  <c:v>44626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44632</c:v>
                </c:pt>
                <c:pt idx="111">
                  <c:v>44633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44639</c:v>
                </c:pt>
                <c:pt idx="118">
                  <c:v>44640</c:v>
                </c:pt>
                <c:pt idx="119">
                  <c:v>44641</c:v>
                </c:pt>
                <c:pt idx="120">
                  <c:v>44642</c:v>
                </c:pt>
                <c:pt idx="121">
                  <c:v>44643</c:v>
                </c:pt>
                <c:pt idx="122">
                  <c:v>44644</c:v>
                </c:pt>
                <c:pt idx="123">
                  <c:v>44645</c:v>
                </c:pt>
                <c:pt idx="124">
                  <c:v>44646</c:v>
                </c:pt>
                <c:pt idx="125">
                  <c:v>44647</c:v>
                </c:pt>
                <c:pt idx="126">
                  <c:v>44648</c:v>
                </c:pt>
                <c:pt idx="127">
                  <c:v>44649</c:v>
                </c:pt>
                <c:pt idx="128">
                  <c:v>44650</c:v>
                </c:pt>
                <c:pt idx="129">
                  <c:v>44651</c:v>
                </c:pt>
                <c:pt idx="130">
                  <c:v>44652</c:v>
                </c:pt>
                <c:pt idx="131">
                  <c:v>44653</c:v>
                </c:pt>
                <c:pt idx="132">
                  <c:v>44654</c:v>
                </c:pt>
                <c:pt idx="133">
                  <c:v>44655</c:v>
                </c:pt>
                <c:pt idx="134">
                  <c:v>44656</c:v>
                </c:pt>
                <c:pt idx="135">
                  <c:v>44657</c:v>
                </c:pt>
                <c:pt idx="136">
                  <c:v>44658</c:v>
                </c:pt>
                <c:pt idx="137">
                  <c:v>44659</c:v>
                </c:pt>
                <c:pt idx="138">
                  <c:v>44660</c:v>
                </c:pt>
                <c:pt idx="139">
                  <c:v>44661</c:v>
                </c:pt>
                <c:pt idx="140">
                  <c:v>44662</c:v>
                </c:pt>
                <c:pt idx="141">
                  <c:v>44663</c:v>
                </c:pt>
                <c:pt idx="142">
                  <c:v>44664</c:v>
                </c:pt>
                <c:pt idx="143">
                  <c:v>44665</c:v>
                </c:pt>
                <c:pt idx="144">
                  <c:v>44666</c:v>
                </c:pt>
                <c:pt idx="145">
                  <c:v>44667</c:v>
                </c:pt>
                <c:pt idx="146">
                  <c:v>44668</c:v>
                </c:pt>
                <c:pt idx="147">
                  <c:v>44669</c:v>
                </c:pt>
                <c:pt idx="148">
                  <c:v>44670</c:v>
                </c:pt>
                <c:pt idx="149">
                  <c:v>44671</c:v>
                </c:pt>
                <c:pt idx="150">
                  <c:v>44672</c:v>
                </c:pt>
                <c:pt idx="151">
                  <c:v>44673</c:v>
                </c:pt>
                <c:pt idx="152">
                  <c:v>44674</c:v>
                </c:pt>
                <c:pt idx="153">
                  <c:v>44675</c:v>
                </c:pt>
                <c:pt idx="154">
                  <c:v>44676</c:v>
                </c:pt>
                <c:pt idx="155">
                  <c:v>44677</c:v>
                </c:pt>
                <c:pt idx="156">
                  <c:v>44678</c:v>
                </c:pt>
                <c:pt idx="157">
                  <c:v>44679</c:v>
                </c:pt>
                <c:pt idx="158">
                  <c:v>44680</c:v>
                </c:pt>
                <c:pt idx="159">
                  <c:v>44681</c:v>
                </c:pt>
                <c:pt idx="160">
                  <c:v>44682</c:v>
                </c:pt>
                <c:pt idx="161">
                  <c:v>44683</c:v>
                </c:pt>
                <c:pt idx="162">
                  <c:v>44684</c:v>
                </c:pt>
                <c:pt idx="163">
                  <c:v>44685</c:v>
                </c:pt>
                <c:pt idx="164">
                  <c:v>44686</c:v>
                </c:pt>
                <c:pt idx="165">
                  <c:v>44687</c:v>
                </c:pt>
                <c:pt idx="166">
                  <c:v>44688</c:v>
                </c:pt>
                <c:pt idx="167">
                  <c:v>44689</c:v>
                </c:pt>
                <c:pt idx="168">
                  <c:v>44690</c:v>
                </c:pt>
                <c:pt idx="169">
                  <c:v>44691</c:v>
                </c:pt>
                <c:pt idx="170">
                  <c:v>44692</c:v>
                </c:pt>
                <c:pt idx="171">
                  <c:v>44693</c:v>
                </c:pt>
                <c:pt idx="172">
                  <c:v>44694</c:v>
                </c:pt>
                <c:pt idx="173">
                  <c:v>44695</c:v>
                </c:pt>
                <c:pt idx="174">
                  <c:v>44696</c:v>
                </c:pt>
                <c:pt idx="175">
                  <c:v>44697</c:v>
                </c:pt>
                <c:pt idx="176">
                  <c:v>44698</c:v>
                </c:pt>
                <c:pt idx="177">
                  <c:v>44699</c:v>
                </c:pt>
                <c:pt idx="178">
                  <c:v>44700</c:v>
                </c:pt>
                <c:pt idx="179">
                  <c:v>44701</c:v>
                </c:pt>
                <c:pt idx="180">
                  <c:v>44702</c:v>
                </c:pt>
                <c:pt idx="181">
                  <c:v>44703</c:v>
                </c:pt>
                <c:pt idx="182">
                  <c:v>44704</c:v>
                </c:pt>
                <c:pt idx="183">
                  <c:v>44705</c:v>
                </c:pt>
                <c:pt idx="184">
                  <c:v>44706</c:v>
                </c:pt>
                <c:pt idx="185">
                  <c:v>44707</c:v>
                </c:pt>
                <c:pt idx="186">
                  <c:v>44708</c:v>
                </c:pt>
                <c:pt idx="187">
                  <c:v>44709</c:v>
                </c:pt>
                <c:pt idx="188">
                  <c:v>44710</c:v>
                </c:pt>
                <c:pt idx="189">
                  <c:v>44711</c:v>
                </c:pt>
                <c:pt idx="190">
                  <c:v>44712</c:v>
                </c:pt>
                <c:pt idx="191">
                  <c:v>44713</c:v>
                </c:pt>
                <c:pt idx="192">
                  <c:v>44714</c:v>
                </c:pt>
                <c:pt idx="193">
                  <c:v>44715</c:v>
                </c:pt>
                <c:pt idx="194">
                  <c:v>44716</c:v>
                </c:pt>
                <c:pt idx="195">
                  <c:v>44717</c:v>
                </c:pt>
                <c:pt idx="196">
                  <c:v>44718</c:v>
                </c:pt>
                <c:pt idx="197">
                  <c:v>44719</c:v>
                </c:pt>
                <c:pt idx="198">
                  <c:v>44720</c:v>
                </c:pt>
                <c:pt idx="199">
                  <c:v>44721</c:v>
                </c:pt>
                <c:pt idx="200">
                  <c:v>44722</c:v>
                </c:pt>
                <c:pt idx="201">
                  <c:v>44723</c:v>
                </c:pt>
                <c:pt idx="202">
                  <c:v>44724</c:v>
                </c:pt>
                <c:pt idx="203">
                  <c:v>44725</c:v>
                </c:pt>
                <c:pt idx="204">
                  <c:v>44726</c:v>
                </c:pt>
                <c:pt idx="205">
                  <c:v>44727</c:v>
                </c:pt>
                <c:pt idx="206">
                  <c:v>44728</c:v>
                </c:pt>
                <c:pt idx="207">
                  <c:v>44729</c:v>
                </c:pt>
                <c:pt idx="208">
                  <c:v>44730</c:v>
                </c:pt>
                <c:pt idx="209">
                  <c:v>44731</c:v>
                </c:pt>
                <c:pt idx="210">
                  <c:v>44732</c:v>
                </c:pt>
                <c:pt idx="211">
                  <c:v>44733</c:v>
                </c:pt>
                <c:pt idx="212">
                  <c:v>44734</c:v>
                </c:pt>
                <c:pt idx="213">
                  <c:v>44735</c:v>
                </c:pt>
                <c:pt idx="214">
                  <c:v>44736</c:v>
                </c:pt>
                <c:pt idx="215">
                  <c:v>44737</c:v>
                </c:pt>
                <c:pt idx="216">
                  <c:v>44738</c:v>
                </c:pt>
                <c:pt idx="217">
                  <c:v>44739</c:v>
                </c:pt>
                <c:pt idx="218">
                  <c:v>44740</c:v>
                </c:pt>
                <c:pt idx="219">
                  <c:v>44741</c:v>
                </c:pt>
                <c:pt idx="220">
                  <c:v>44742</c:v>
                </c:pt>
                <c:pt idx="221">
                  <c:v>44743</c:v>
                </c:pt>
                <c:pt idx="222">
                  <c:v>44744</c:v>
                </c:pt>
                <c:pt idx="223">
                  <c:v>44745</c:v>
                </c:pt>
                <c:pt idx="224">
                  <c:v>44746</c:v>
                </c:pt>
                <c:pt idx="225">
                  <c:v>44747</c:v>
                </c:pt>
                <c:pt idx="226">
                  <c:v>44748</c:v>
                </c:pt>
                <c:pt idx="227">
                  <c:v>44749</c:v>
                </c:pt>
                <c:pt idx="228">
                  <c:v>44750</c:v>
                </c:pt>
                <c:pt idx="229">
                  <c:v>44751</c:v>
                </c:pt>
                <c:pt idx="230">
                  <c:v>44752</c:v>
                </c:pt>
                <c:pt idx="231">
                  <c:v>44753</c:v>
                </c:pt>
                <c:pt idx="232">
                  <c:v>44754</c:v>
                </c:pt>
                <c:pt idx="233">
                  <c:v>44755</c:v>
                </c:pt>
                <c:pt idx="234">
                  <c:v>44756</c:v>
                </c:pt>
                <c:pt idx="235">
                  <c:v>44757</c:v>
                </c:pt>
                <c:pt idx="236">
                  <c:v>44758</c:v>
                </c:pt>
                <c:pt idx="237">
                  <c:v>44759</c:v>
                </c:pt>
                <c:pt idx="238">
                  <c:v>44760</c:v>
                </c:pt>
                <c:pt idx="239">
                  <c:v>44761</c:v>
                </c:pt>
                <c:pt idx="240">
                  <c:v>44762</c:v>
                </c:pt>
                <c:pt idx="241">
                  <c:v>44763</c:v>
                </c:pt>
                <c:pt idx="242">
                  <c:v>44764</c:v>
                </c:pt>
                <c:pt idx="243">
                  <c:v>44765</c:v>
                </c:pt>
                <c:pt idx="244">
                  <c:v>44766</c:v>
                </c:pt>
                <c:pt idx="245">
                  <c:v>44767</c:v>
                </c:pt>
                <c:pt idx="246">
                  <c:v>44768</c:v>
                </c:pt>
                <c:pt idx="247">
                  <c:v>44769</c:v>
                </c:pt>
                <c:pt idx="248">
                  <c:v>44770</c:v>
                </c:pt>
                <c:pt idx="249">
                  <c:v>44771</c:v>
                </c:pt>
                <c:pt idx="250">
                  <c:v>44772</c:v>
                </c:pt>
                <c:pt idx="251">
                  <c:v>44773</c:v>
                </c:pt>
                <c:pt idx="252">
                  <c:v>44774</c:v>
                </c:pt>
                <c:pt idx="253">
                  <c:v>44775</c:v>
                </c:pt>
                <c:pt idx="254">
                  <c:v>44776</c:v>
                </c:pt>
                <c:pt idx="255">
                  <c:v>44777</c:v>
                </c:pt>
                <c:pt idx="256">
                  <c:v>44778</c:v>
                </c:pt>
                <c:pt idx="257">
                  <c:v>44779</c:v>
                </c:pt>
                <c:pt idx="258">
                  <c:v>44780</c:v>
                </c:pt>
                <c:pt idx="259">
                  <c:v>44781</c:v>
                </c:pt>
                <c:pt idx="260">
                  <c:v>44782</c:v>
                </c:pt>
                <c:pt idx="261">
                  <c:v>44783</c:v>
                </c:pt>
                <c:pt idx="262">
                  <c:v>44784</c:v>
                </c:pt>
                <c:pt idx="263">
                  <c:v>44785</c:v>
                </c:pt>
                <c:pt idx="264">
                  <c:v>44786</c:v>
                </c:pt>
                <c:pt idx="265">
                  <c:v>44787</c:v>
                </c:pt>
                <c:pt idx="266">
                  <c:v>44788</c:v>
                </c:pt>
                <c:pt idx="267">
                  <c:v>44789</c:v>
                </c:pt>
                <c:pt idx="268">
                  <c:v>44790</c:v>
                </c:pt>
                <c:pt idx="269">
                  <c:v>44791</c:v>
                </c:pt>
                <c:pt idx="270">
                  <c:v>44792</c:v>
                </c:pt>
                <c:pt idx="271">
                  <c:v>44793</c:v>
                </c:pt>
                <c:pt idx="272">
                  <c:v>44794</c:v>
                </c:pt>
                <c:pt idx="273">
                  <c:v>44795</c:v>
                </c:pt>
                <c:pt idx="274">
                  <c:v>44796</c:v>
                </c:pt>
                <c:pt idx="275">
                  <c:v>44797</c:v>
                </c:pt>
                <c:pt idx="276">
                  <c:v>44798</c:v>
                </c:pt>
                <c:pt idx="277">
                  <c:v>44799</c:v>
                </c:pt>
                <c:pt idx="278">
                  <c:v>44800</c:v>
                </c:pt>
                <c:pt idx="279">
                  <c:v>44801</c:v>
                </c:pt>
                <c:pt idx="280">
                  <c:v>44802</c:v>
                </c:pt>
                <c:pt idx="281">
                  <c:v>44803</c:v>
                </c:pt>
                <c:pt idx="282">
                  <c:v>44804</c:v>
                </c:pt>
                <c:pt idx="283">
                  <c:v>44805</c:v>
                </c:pt>
                <c:pt idx="284">
                  <c:v>44806</c:v>
                </c:pt>
                <c:pt idx="285">
                  <c:v>44807</c:v>
                </c:pt>
                <c:pt idx="286">
                  <c:v>44808</c:v>
                </c:pt>
                <c:pt idx="287">
                  <c:v>44809</c:v>
                </c:pt>
                <c:pt idx="288">
                  <c:v>44810</c:v>
                </c:pt>
                <c:pt idx="289">
                  <c:v>44811</c:v>
                </c:pt>
                <c:pt idx="290">
                  <c:v>44812</c:v>
                </c:pt>
                <c:pt idx="291">
                  <c:v>44813</c:v>
                </c:pt>
                <c:pt idx="292">
                  <c:v>44814</c:v>
                </c:pt>
                <c:pt idx="293">
                  <c:v>44815</c:v>
                </c:pt>
                <c:pt idx="294">
                  <c:v>44816</c:v>
                </c:pt>
                <c:pt idx="295">
                  <c:v>44817</c:v>
                </c:pt>
                <c:pt idx="296">
                  <c:v>44818</c:v>
                </c:pt>
                <c:pt idx="297">
                  <c:v>44819</c:v>
                </c:pt>
                <c:pt idx="298">
                  <c:v>44820</c:v>
                </c:pt>
                <c:pt idx="299">
                  <c:v>44821</c:v>
                </c:pt>
                <c:pt idx="300">
                  <c:v>44822</c:v>
                </c:pt>
                <c:pt idx="301">
                  <c:v>44823</c:v>
                </c:pt>
                <c:pt idx="302">
                  <c:v>44824</c:v>
                </c:pt>
                <c:pt idx="303">
                  <c:v>44825</c:v>
                </c:pt>
                <c:pt idx="304">
                  <c:v>44826</c:v>
                </c:pt>
                <c:pt idx="305">
                  <c:v>44827</c:v>
                </c:pt>
                <c:pt idx="306">
                  <c:v>44828</c:v>
                </c:pt>
                <c:pt idx="307">
                  <c:v>44829</c:v>
                </c:pt>
                <c:pt idx="308">
                  <c:v>44830</c:v>
                </c:pt>
                <c:pt idx="309">
                  <c:v>44831</c:v>
                </c:pt>
                <c:pt idx="310">
                  <c:v>44832</c:v>
                </c:pt>
                <c:pt idx="311">
                  <c:v>44833</c:v>
                </c:pt>
                <c:pt idx="312">
                  <c:v>44834</c:v>
                </c:pt>
                <c:pt idx="313">
                  <c:v>44835</c:v>
                </c:pt>
                <c:pt idx="314">
                  <c:v>44836</c:v>
                </c:pt>
                <c:pt idx="315">
                  <c:v>44837</c:v>
                </c:pt>
                <c:pt idx="316">
                  <c:v>44838</c:v>
                </c:pt>
                <c:pt idx="317">
                  <c:v>44839</c:v>
                </c:pt>
                <c:pt idx="318">
                  <c:v>44840</c:v>
                </c:pt>
                <c:pt idx="319">
                  <c:v>44841</c:v>
                </c:pt>
                <c:pt idx="320">
                  <c:v>44842</c:v>
                </c:pt>
                <c:pt idx="321">
                  <c:v>44843</c:v>
                </c:pt>
                <c:pt idx="322">
                  <c:v>44844</c:v>
                </c:pt>
                <c:pt idx="323">
                  <c:v>44845</c:v>
                </c:pt>
                <c:pt idx="324">
                  <c:v>44846</c:v>
                </c:pt>
                <c:pt idx="325">
                  <c:v>44847</c:v>
                </c:pt>
                <c:pt idx="326">
                  <c:v>44848</c:v>
                </c:pt>
                <c:pt idx="327">
                  <c:v>44849</c:v>
                </c:pt>
                <c:pt idx="328">
                  <c:v>44850</c:v>
                </c:pt>
                <c:pt idx="329">
                  <c:v>44851</c:v>
                </c:pt>
                <c:pt idx="330">
                  <c:v>44852</c:v>
                </c:pt>
                <c:pt idx="331">
                  <c:v>44853</c:v>
                </c:pt>
                <c:pt idx="332">
                  <c:v>44854</c:v>
                </c:pt>
                <c:pt idx="333">
                  <c:v>44855</c:v>
                </c:pt>
                <c:pt idx="334">
                  <c:v>44856</c:v>
                </c:pt>
                <c:pt idx="335">
                  <c:v>44857</c:v>
                </c:pt>
                <c:pt idx="336">
                  <c:v>44858</c:v>
                </c:pt>
                <c:pt idx="337">
                  <c:v>44859</c:v>
                </c:pt>
                <c:pt idx="338">
                  <c:v>44860</c:v>
                </c:pt>
                <c:pt idx="339">
                  <c:v>44861</c:v>
                </c:pt>
                <c:pt idx="340">
                  <c:v>44862</c:v>
                </c:pt>
                <c:pt idx="341">
                  <c:v>44863</c:v>
                </c:pt>
                <c:pt idx="342">
                  <c:v>44864</c:v>
                </c:pt>
                <c:pt idx="343">
                  <c:v>44865</c:v>
                </c:pt>
                <c:pt idx="344">
                  <c:v>44866</c:v>
                </c:pt>
                <c:pt idx="345">
                  <c:v>44867</c:v>
                </c:pt>
                <c:pt idx="346">
                  <c:v>44868</c:v>
                </c:pt>
                <c:pt idx="347">
                  <c:v>44869</c:v>
                </c:pt>
                <c:pt idx="348">
                  <c:v>44870</c:v>
                </c:pt>
                <c:pt idx="349">
                  <c:v>44871</c:v>
                </c:pt>
                <c:pt idx="350">
                  <c:v>44872</c:v>
                </c:pt>
                <c:pt idx="351">
                  <c:v>44873</c:v>
                </c:pt>
                <c:pt idx="352">
                  <c:v>44874</c:v>
                </c:pt>
                <c:pt idx="353">
                  <c:v>44875</c:v>
                </c:pt>
                <c:pt idx="354">
                  <c:v>44876</c:v>
                </c:pt>
                <c:pt idx="355">
                  <c:v>44877</c:v>
                </c:pt>
                <c:pt idx="356">
                  <c:v>44878</c:v>
                </c:pt>
                <c:pt idx="357">
                  <c:v>44879</c:v>
                </c:pt>
                <c:pt idx="358">
                  <c:v>44880</c:v>
                </c:pt>
                <c:pt idx="359">
                  <c:v>44881</c:v>
                </c:pt>
                <c:pt idx="360">
                  <c:v>44882</c:v>
                </c:pt>
                <c:pt idx="361">
                  <c:v>44883</c:v>
                </c:pt>
                <c:pt idx="362">
                  <c:v>44884</c:v>
                </c:pt>
                <c:pt idx="363">
                  <c:v>44885</c:v>
                </c:pt>
                <c:pt idx="364">
                  <c:v>44886</c:v>
                </c:pt>
                <c:pt idx="365">
                  <c:v>44887</c:v>
                </c:pt>
              </c:numCache>
            </c:numRef>
          </c:cat>
          <c:val>
            <c:numRef>
              <c:f>worksheet!$AM$2:$AM$367</c:f>
              <c:numCache>
                <c:formatCode>General</c:formatCode>
                <c:ptCount val="366"/>
                <c:pt idx="0">
                  <c:v>58706.847655999998</c:v>
                </c:pt>
                <c:pt idx="1">
                  <c:v>56304.554687999997</c:v>
                </c:pt>
                <c:pt idx="2">
                  <c:v>57565.851562999997</c:v>
                </c:pt>
                <c:pt idx="3">
                  <c:v>57165.417969000002</c:v>
                </c:pt>
                <c:pt idx="4">
                  <c:v>58960.285155999998</c:v>
                </c:pt>
                <c:pt idx="5">
                  <c:v>53736.429687999997</c:v>
                </c:pt>
                <c:pt idx="6">
                  <c:v>54813.023437999997</c:v>
                </c:pt>
                <c:pt idx="7">
                  <c:v>57291.90625</c:v>
                </c:pt>
                <c:pt idx="8">
                  <c:v>57830.113280999998</c:v>
                </c:pt>
                <c:pt idx="9">
                  <c:v>56907.964844000002</c:v>
                </c:pt>
                <c:pt idx="10">
                  <c:v>57217.371094000002</c:v>
                </c:pt>
                <c:pt idx="11">
                  <c:v>56509.164062999997</c:v>
                </c:pt>
                <c:pt idx="12">
                  <c:v>53727.878905999998</c:v>
                </c:pt>
                <c:pt idx="13">
                  <c:v>49201.519530999998</c:v>
                </c:pt>
                <c:pt idx="14">
                  <c:v>49413.480469000002</c:v>
                </c:pt>
                <c:pt idx="15">
                  <c:v>50581.828125</c:v>
                </c:pt>
                <c:pt idx="16">
                  <c:v>50667.648437999997</c:v>
                </c:pt>
                <c:pt idx="17">
                  <c:v>50450.082030999998</c:v>
                </c:pt>
                <c:pt idx="18">
                  <c:v>47642.144530999998</c:v>
                </c:pt>
                <c:pt idx="19">
                  <c:v>47264.632812999997</c:v>
                </c:pt>
                <c:pt idx="20">
                  <c:v>49354.855469000002</c:v>
                </c:pt>
                <c:pt idx="21">
                  <c:v>50114.742187999997</c:v>
                </c:pt>
                <c:pt idx="22">
                  <c:v>46709.824219000002</c:v>
                </c:pt>
                <c:pt idx="23">
                  <c:v>48379.753905999998</c:v>
                </c:pt>
                <c:pt idx="24">
                  <c:v>48900.464844000002</c:v>
                </c:pt>
                <c:pt idx="25">
                  <c:v>47653.730469000002</c:v>
                </c:pt>
                <c:pt idx="26">
                  <c:v>46219.253905999998</c:v>
                </c:pt>
                <c:pt idx="27">
                  <c:v>46853.867187999997</c:v>
                </c:pt>
                <c:pt idx="28">
                  <c:v>46707.0625</c:v>
                </c:pt>
                <c:pt idx="29">
                  <c:v>46886.078125</c:v>
                </c:pt>
                <c:pt idx="30">
                  <c:v>48937.097655999998</c:v>
                </c:pt>
                <c:pt idx="31">
                  <c:v>48626.34375</c:v>
                </c:pt>
                <c:pt idx="32">
                  <c:v>50806.050780999998</c:v>
                </c:pt>
                <c:pt idx="33">
                  <c:v>50854.917969000002</c:v>
                </c:pt>
                <c:pt idx="34">
                  <c:v>50428.691405999998</c:v>
                </c:pt>
                <c:pt idx="35">
                  <c:v>50802.609375</c:v>
                </c:pt>
                <c:pt idx="36">
                  <c:v>50679.859375</c:v>
                </c:pt>
                <c:pt idx="37">
                  <c:v>47623.871094000002</c:v>
                </c:pt>
                <c:pt idx="38">
                  <c:v>46490.605469000002</c:v>
                </c:pt>
                <c:pt idx="39">
                  <c:v>47169.371094000002</c:v>
                </c:pt>
                <c:pt idx="40">
                  <c:v>46311.746094000002</c:v>
                </c:pt>
                <c:pt idx="41">
                  <c:v>47680.925780999998</c:v>
                </c:pt>
                <c:pt idx="42">
                  <c:v>47343.542969000002</c:v>
                </c:pt>
                <c:pt idx="43">
                  <c:v>46458.851562999997</c:v>
                </c:pt>
                <c:pt idx="44">
                  <c:v>45899.359375</c:v>
                </c:pt>
                <c:pt idx="45">
                  <c:v>43565.511719000002</c:v>
                </c:pt>
                <c:pt idx="46">
                  <c:v>43153.570312999997</c:v>
                </c:pt>
                <c:pt idx="47">
                  <c:v>41561.464844000002</c:v>
                </c:pt>
                <c:pt idx="48">
                  <c:v>41734.726562999997</c:v>
                </c:pt>
                <c:pt idx="49">
                  <c:v>41910.230469000002</c:v>
                </c:pt>
                <c:pt idx="50">
                  <c:v>41819.507812999997</c:v>
                </c:pt>
                <c:pt idx="51">
                  <c:v>42742.179687999997</c:v>
                </c:pt>
                <c:pt idx="52">
                  <c:v>43946.742187999997</c:v>
                </c:pt>
                <c:pt idx="53">
                  <c:v>42598.871094000002</c:v>
                </c:pt>
                <c:pt idx="54">
                  <c:v>43101.898437999997</c:v>
                </c:pt>
                <c:pt idx="55">
                  <c:v>43172.039062999997</c:v>
                </c:pt>
                <c:pt idx="56">
                  <c:v>43118.121094000002</c:v>
                </c:pt>
                <c:pt idx="57">
                  <c:v>42250.074219000002</c:v>
                </c:pt>
                <c:pt idx="58">
                  <c:v>42374.039062999997</c:v>
                </c:pt>
                <c:pt idx="59">
                  <c:v>41744.027344000002</c:v>
                </c:pt>
                <c:pt idx="60">
                  <c:v>40699.605469000002</c:v>
                </c:pt>
                <c:pt idx="61">
                  <c:v>36471.589844000002</c:v>
                </c:pt>
                <c:pt idx="62">
                  <c:v>35047.359375</c:v>
                </c:pt>
                <c:pt idx="63">
                  <c:v>36275.734375</c:v>
                </c:pt>
                <c:pt idx="64">
                  <c:v>36654.804687999997</c:v>
                </c:pt>
                <c:pt idx="65">
                  <c:v>36950.515625</c:v>
                </c:pt>
                <c:pt idx="66">
                  <c:v>36841.878905999998</c:v>
                </c:pt>
                <c:pt idx="67">
                  <c:v>37128.445312999997</c:v>
                </c:pt>
                <c:pt idx="68">
                  <c:v>37780.714844000002</c:v>
                </c:pt>
                <c:pt idx="69">
                  <c:v>38151.917969000002</c:v>
                </c:pt>
                <c:pt idx="70">
                  <c:v>37920.28125</c:v>
                </c:pt>
                <c:pt idx="71">
                  <c:v>38481.765625</c:v>
                </c:pt>
                <c:pt idx="72">
                  <c:v>38743.714844000002</c:v>
                </c:pt>
                <c:pt idx="73">
                  <c:v>36944.804687999997</c:v>
                </c:pt>
                <c:pt idx="74">
                  <c:v>37149.265625</c:v>
                </c:pt>
                <c:pt idx="75">
                  <c:v>41501.480469000002</c:v>
                </c:pt>
                <c:pt idx="76">
                  <c:v>41441.121094000002</c:v>
                </c:pt>
                <c:pt idx="77">
                  <c:v>42406.78125</c:v>
                </c:pt>
                <c:pt idx="78">
                  <c:v>43854.652344000002</c:v>
                </c:pt>
                <c:pt idx="79">
                  <c:v>44096.703125</c:v>
                </c:pt>
                <c:pt idx="80">
                  <c:v>44347.800780999998</c:v>
                </c:pt>
                <c:pt idx="81">
                  <c:v>43571.128905999998</c:v>
                </c:pt>
                <c:pt idx="82">
                  <c:v>42412.300780999998</c:v>
                </c:pt>
                <c:pt idx="83">
                  <c:v>42236.566405999998</c:v>
                </c:pt>
                <c:pt idx="84">
                  <c:v>42157.398437999997</c:v>
                </c:pt>
                <c:pt idx="85">
                  <c:v>42586.464844000002</c:v>
                </c:pt>
                <c:pt idx="86">
                  <c:v>44578.277344000002</c:v>
                </c:pt>
                <c:pt idx="87">
                  <c:v>43937.070312999997</c:v>
                </c:pt>
                <c:pt idx="88">
                  <c:v>40552.132812999997</c:v>
                </c:pt>
                <c:pt idx="89">
                  <c:v>40026.023437999997</c:v>
                </c:pt>
                <c:pt idx="90">
                  <c:v>40118.101562999997</c:v>
                </c:pt>
                <c:pt idx="91">
                  <c:v>38423.210937999997</c:v>
                </c:pt>
                <c:pt idx="92">
                  <c:v>37068.769530999998</c:v>
                </c:pt>
                <c:pt idx="93">
                  <c:v>38285.28125</c:v>
                </c:pt>
                <c:pt idx="94">
                  <c:v>37278.566405999998</c:v>
                </c:pt>
                <c:pt idx="95">
                  <c:v>38333.746094000002</c:v>
                </c:pt>
                <c:pt idx="96">
                  <c:v>39213.082030999998</c:v>
                </c:pt>
                <c:pt idx="97">
                  <c:v>39098.699219000002</c:v>
                </c:pt>
                <c:pt idx="98">
                  <c:v>37706</c:v>
                </c:pt>
                <c:pt idx="99">
                  <c:v>43194.503905999998</c:v>
                </c:pt>
                <c:pt idx="100">
                  <c:v>44357.617187999997</c:v>
                </c:pt>
                <c:pt idx="101">
                  <c:v>43925.195312999997</c:v>
                </c:pt>
                <c:pt idx="102">
                  <c:v>42458.140625</c:v>
                </c:pt>
                <c:pt idx="103">
                  <c:v>39148.449219000002</c:v>
                </c:pt>
                <c:pt idx="104">
                  <c:v>39404.199219000002</c:v>
                </c:pt>
                <c:pt idx="105">
                  <c:v>38429.304687999997</c:v>
                </c:pt>
                <c:pt idx="106">
                  <c:v>38059.902344000002</c:v>
                </c:pt>
                <c:pt idx="107">
                  <c:v>38742.816405999998</c:v>
                </c:pt>
                <c:pt idx="108">
                  <c:v>41974.070312999997</c:v>
                </c:pt>
                <c:pt idx="109">
                  <c:v>39439.96875</c:v>
                </c:pt>
                <c:pt idx="110">
                  <c:v>38794.464844000002</c:v>
                </c:pt>
                <c:pt idx="111">
                  <c:v>38884.726562999997</c:v>
                </c:pt>
                <c:pt idx="112">
                  <c:v>37846.316405999998</c:v>
                </c:pt>
                <c:pt idx="113">
                  <c:v>39664.25</c:v>
                </c:pt>
                <c:pt idx="114">
                  <c:v>39335.570312999997</c:v>
                </c:pt>
                <c:pt idx="115">
                  <c:v>41140.84375</c:v>
                </c:pt>
                <c:pt idx="116">
                  <c:v>40944.839844000002</c:v>
                </c:pt>
                <c:pt idx="117">
                  <c:v>41794.648437999997</c:v>
                </c:pt>
                <c:pt idx="118">
                  <c:v>42191.40625</c:v>
                </c:pt>
                <c:pt idx="119">
                  <c:v>41246.132812999997</c:v>
                </c:pt>
                <c:pt idx="120">
                  <c:v>41074.105469000002</c:v>
                </c:pt>
                <c:pt idx="121">
                  <c:v>42364.378905999998</c:v>
                </c:pt>
                <c:pt idx="122">
                  <c:v>42886.652344000002</c:v>
                </c:pt>
                <c:pt idx="123">
                  <c:v>43964.546875</c:v>
                </c:pt>
                <c:pt idx="124">
                  <c:v>44349.859375</c:v>
                </c:pt>
                <c:pt idx="125">
                  <c:v>44505.355469000002</c:v>
                </c:pt>
                <c:pt idx="126">
                  <c:v>46821.851562999997</c:v>
                </c:pt>
                <c:pt idx="127">
                  <c:v>47100.4375</c:v>
                </c:pt>
                <c:pt idx="128">
                  <c:v>47456.898437999997</c:v>
                </c:pt>
                <c:pt idx="129">
                  <c:v>47062.148437999997</c:v>
                </c:pt>
                <c:pt idx="130">
                  <c:v>45554.164062999997</c:v>
                </c:pt>
                <c:pt idx="131">
                  <c:v>46285.5</c:v>
                </c:pt>
                <c:pt idx="132">
                  <c:v>45859.128905999998</c:v>
                </c:pt>
                <c:pt idx="133">
                  <c:v>46445.273437999997</c:v>
                </c:pt>
                <c:pt idx="134">
                  <c:v>46624.507812999997</c:v>
                </c:pt>
                <c:pt idx="135">
                  <c:v>45544.355469000002</c:v>
                </c:pt>
                <c:pt idx="136">
                  <c:v>43207.5</c:v>
                </c:pt>
                <c:pt idx="137">
                  <c:v>43505.136719000002</c:v>
                </c:pt>
                <c:pt idx="138">
                  <c:v>42282.078125</c:v>
                </c:pt>
                <c:pt idx="139">
                  <c:v>42781.089844000002</c:v>
                </c:pt>
                <c:pt idx="140">
                  <c:v>42201.039062999997</c:v>
                </c:pt>
                <c:pt idx="141">
                  <c:v>39533.714844000002</c:v>
                </c:pt>
                <c:pt idx="142">
                  <c:v>40123.570312999997</c:v>
                </c:pt>
                <c:pt idx="143">
                  <c:v>41160.21875</c:v>
                </c:pt>
                <c:pt idx="144">
                  <c:v>39939.402344000002</c:v>
                </c:pt>
                <c:pt idx="145">
                  <c:v>40552.316405999998</c:v>
                </c:pt>
                <c:pt idx="146">
                  <c:v>40417.777344000002</c:v>
                </c:pt>
                <c:pt idx="147">
                  <c:v>39721.203125</c:v>
                </c:pt>
                <c:pt idx="148">
                  <c:v>40828.175780999998</c:v>
                </c:pt>
                <c:pt idx="149">
                  <c:v>41501.746094000002</c:v>
                </c:pt>
                <c:pt idx="150">
                  <c:v>41371.515625</c:v>
                </c:pt>
                <c:pt idx="151">
                  <c:v>40525.863280999998</c:v>
                </c:pt>
                <c:pt idx="152">
                  <c:v>39738.722655999998</c:v>
                </c:pt>
                <c:pt idx="153">
                  <c:v>39478.375</c:v>
                </c:pt>
                <c:pt idx="154">
                  <c:v>39472.605469000002</c:v>
                </c:pt>
                <c:pt idx="155">
                  <c:v>40448.421875</c:v>
                </c:pt>
                <c:pt idx="156">
                  <c:v>38120.300780999998</c:v>
                </c:pt>
                <c:pt idx="157">
                  <c:v>39241.429687999997</c:v>
                </c:pt>
                <c:pt idx="158">
                  <c:v>39768.617187999997</c:v>
                </c:pt>
                <c:pt idx="159">
                  <c:v>38605.859375</c:v>
                </c:pt>
                <c:pt idx="160">
                  <c:v>37713.265625</c:v>
                </c:pt>
                <c:pt idx="161">
                  <c:v>38472.1875</c:v>
                </c:pt>
                <c:pt idx="162">
                  <c:v>38528.109375</c:v>
                </c:pt>
                <c:pt idx="163">
                  <c:v>37748.011719000002</c:v>
                </c:pt>
                <c:pt idx="164">
                  <c:v>39695.746094000002</c:v>
                </c:pt>
                <c:pt idx="165">
                  <c:v>36573.183594000002</c:v>
                </c:pt>
                <c:pt idx="166">
                  <c:v>36042.503905999998</c:v>
                </c:pt>
                <c:pt idx="167">
                  <c:v>35502.941405999998</c:v>
                </c:pt>
                <c:pt idx="168">
                  <c:v>34060.015625</c:v>
                </c:pt>
                <c:pt idx="169">
                  <c:v>30273.654297000001</c:v>
                </c:pt>
                <c:pt idx="170">
                  <c:v>31016.183593999998</c:v>
                </c:pt>
                <c:pt idx="171">
                  <c:v>28936.734375</c:v>
                </c:pt>
                <c:pt idx="172">
                  <c:v>29030.910156000002</c:v>
                </c:pt>
                <c:pt idx="173">
                  <c:v>29285.642577999999</c:v>
                </c:pt>
                <c:pt idx="174">
                  <c:v>30098.585938</c:v>
                </c:pt>
                <c:pt idx="175">
                  <c:v>31304.375</c:v>
                </c:pt>
                <c:pt idx="176">
                  <c:v>29862.408202999999</c:v>
                </c:pt>
                <c:pt idx="177">
                  <c:v>30424.478515999999</c:v>
                </c:pt>
                <c:pt idx="178">
                  <c:v>28720.359375</c:v>
                </c:pt>
                <c:pt idx="179">
                  <c:v>30311.119140999999</c:v>
                </c:pt>
                <c:pt idx="180">
                  <c:v>29199.859375</c:v>
                </c:pt>
                <c:pt idx="181">
                  <c:v>29432.472656000002</c:v>
                </c:pt>
                <c:pt idx="182">
                  <c:v>30309.396484000001</c:v>
                </c:pt>
                <c:pt idx="183">
                  <c:v>29101.125</c:v>
                </c:pt>
                <c:pt idx="184">
                  <c:v>29653.134765999999</c:v>
                </c:pt>
                <c:pt idx="185">
                  <c:v>29564.777343999998</c:v>
                </c:pt>
                <c:pt idx="186">
                  <c:v>29251.140625</c:v>
                </c:pt>
                <c:pt idx="187">
                  <c:v>28622.625</c:v>
                </c:pt>
                <c:pt idx="188">
                  <c:v>29019.867188</c:v>
                </c:pt>
                <c:pt idx="189">
                  <c:v>29443.365234000001</c:v>
                </c:pt>
                <c:pt idx="190">
                  <c:v>31723.865234000001</c:v>
                </c:pt>
                <c:pt idx="191">
                  <c:v>31792.554688</c:v>
                </c:pt>
                <c:pt idx="192">
                  <c:v>29794.890625</c:v>
                </c:pt>
                <c:pt idx="193">
                  <c:v>30467.806640999999</c:v>
                </c:pt>
                <c:pt idx="194">
                  <c:v>29706.138672000001</c:v>
                </c:pt>
                <c:pt idx="195">
                  <c:v>29835.117188</c:v>
                </c:pt>
                <c:pt idx="196">
                  <c:v>29910.283202999999</c:v>
                </c:pt>
                <c:pt idx="197">
                  <c:v>31371.742188</c:v>
                </c:pt>
                <c:pt idx="198">
                  <c:v>31151.480468999998</c:v>
                </c:pt>
                <c:pt idx="199">
                  <c:v>30215.279297000001</c:v>
                </c:pt>
                <c:pt idx="200">
                  <c:v>30110.330077999999</c:v>
                </c:pt>
                <c:pt idx="201">
                  <c:v>29084.666015999999</c:v>
                </c:pt>
                <c:pt idx="202">
                  <c:v>28373.513672000001</c:v>
                </c:pt>
                <c:pt idx="203">
                  <c:v>26737.578125</c:v>
                </c:pt>
                <c:pt idx="204">
                  <c:v>22487.986327999999</c:v>
                </c:pt>
                <c:pt idx="205">
                  <c:v>22196.730468999998</c:v>
                </c:pt>
                <c:pt idx="206">
                  <c:v>22576.304688</c:v>
                </c:pt>
                <c:pt idx="207">
                  <c:v>20385.71875</c:v>
                </c:pt>
                <c:pt idx="208">
                  <c:v>20473.425781000002</c:v>
                </c:pt>
                <c:pt idx="209">
                  <c:v>19010.902343999998</c:v>
                </c:pt>
                <c:pt idx="210">
                  <c:v>20553.371093999998</c:v>
                </c:pt>
                <c:pt idx="211">
                  <c:v>20594.294922000001</c:v>
                </c:pt>
                <c:pt idx="212">
                  <c:v>20719.414063</c:v>
                </c:pt>
                <c:pt idx="213">
                  <c:v>19986.607422000001</c:v>
                </c:pt>
                <c:pt idx="214">
                  <c:v>21084.648438</c:v>
                </c:pt>
                <c:pt idx="215">
                  <c:v>21233.609375</c:v>
                </c:pt>
                <c:pt idx="216">
                  <c:v>21496.494140999999</c:v>
                </c:pt>
                <c:pt idx="217">
                  <c:v>21028.238281000002</c:v>
                </c:pt>
                <c:pt idx="218">
                  <c:v>20731.544922000001</c:v>
                </c:pt>
                <c:pt idx="219">
                  <c:v>20281.169922000001</c:v>
                </c:pt>
                <c:pt idx="220">
                  <c:v>20108.3125</c:v>
                </c:pt>
                <c:pt idx="221">
                  <c:v>19820.470702999999</c:v>
                </c:pt>
                <c:pt idx="222">
                  <c:v>19274.835938</c:v>
                </c:pt>
                <c:pt idx="223">
                  <c:v>19242.095702999999</c:v>
                </c:pt>
                <c:pt idx="224">
                  <c:v>19297.314452999999</c:v>
                </c:pt>
                <c:pt idx="225">
                  <c:v>20225.353515999999</c:v>
                </c:pt>
                <c:pt idx="226">
                  <c:v>20194.619140999999</c:v>
                </c:pt>
                <c:pt idx="227">
                  <c:v>20547.814452999999</c:v>
                </c:pt>
                <c:pt idx="228">
                  <c:v>21637.154297000001</c:v>
                </c:pt>
                <c:pt idx="229">
                  <c:v>21716.828125</c:v>
                </c:pt>
                <c:pt idx="230">
                  <c:v>21591.080077999999</c:v>
                </c:pt>
                <c:pt idx="231">
                  <c:v>20856.353515999999</c:v>
                </c:pt>
                <c:pt idx="232">
                  <c:v>19970.474609000001</c:v>
                </c:pt>
                <c:pt idx="233">
                  <c:v>19325.972656000002</c:v>
                </c:pt>
                <c:pt idx="234">
                  <c:v>20211.466797000001</c:v>
                </c:pt>
                <c:pt idx="235">
                  <c:v>20573.15625</c:v>
                </c:pt>
                <c:pt idx="236">
                  <c:v>20834.103515999999</c:v>
                </c:pt>
                <c:pt idx="237">
                  <c:v>21195.041015999999</c:v>
                </c:pt>
                <c:pt idx="238">
                  <c:v>20781.912109000001</c:v>
                </c:pt>
                <c:pt idx="239">
                  <c:v>22467.849609000001</c:v>
                </c:pt>
                <c:pt idx="240">
                  <c:v>23393.191406000002</c:v>
                </c:pt>
                <c:pt idx="241">
                  <c:v>23233.201172000001</c:v>
                </c:pt>
                <c:pt idx="242">
                  <c:v>23163.751952999999</c:v>
                </c:pt>
                <c:pt idx="243">
                  <c:v>22706.984375</c:v>
                </c:pt>
                <c:pt idx="244">
                  <c:v>22465.509765999999</c:v>
                </c:pt>
                <c:pt idx="245">
                  <c:v>22607.15625</c:v>
                </c:pt>
                <c:pt idx="246">
                  <c:v>21361.121093999998</c:v>
                </c:pt>
                <c:pt idx="247">
                  <c:v>21244.169922000001</c:v>
                </c:pt>
                <c:pt idx="248">
                  <c:v>22933.640625</c:v>
                </c:pt>
                <c:pt idx="249">
                  <c:v>23845.212890999999</c:v>
                </c:pt>
                <c:pt idx="250">
                  <c:v>23796.818359000001</c:v>
                </c:pt>
                <c:pt idx="251">
                  <c:v>23652.070313</c:v>
                </c:pt>
                <c:pt idx="252">
                  <c:v>23336.71875</c:v>
                </c:pt>
                <c:pt idx="253">
                  <c:v>23308.433593999998</c:v>
                </c:pt>
                <c:pt idx="254">
                  <c:v>22981.302734000001</c:v>
                </c:pt>
                <c:pt idx="255">
                  <c:v>22848.214843999998</c:v>
                </c:pt>
                <c:pt idx="256">
                  <c:v>22626.833984000001</c:v>
                </c:pt>
                <c:pt idx="257">
                  <c:v>23291.423827999999</c:v>
                </c:pt>
                <c:pt idx="258">
                  <c:v>22963.505859000001</c:v>
                </c:pt>
                <c:pt idx="259">
                  <c:v>23179.527343999998</c:v>
                </c:pt>
                <c:pt idx="260">
                  <c:v>23811.484375</c:v>
                </c:pt>
                <c:pt idx="261">
                  <c:v>23162.898438</c:v>
                </c:pt>
                <c:pt idx="262">
                  <c:v>23948.345702999999</c:v>
                </c:pt>
                <c:pt idx="263">
                  <c:v>23957.203125</c:v>
                </c:pt>
                <c:pt idx="264">
                  <c:v>24402.1875</c:v>
                </c:pt>
                <c:pt idx="265">
                  <c:v>24429.056640999999</c:v>
                </c:pt>
                <c:pt idx="266">
                  <c:v>24318.316406000002</c:v>
                </c:pt>
                <c:pt idx="267">
                  <c:v>24126.136718999998</c:v>
                </c:pt>
                <c:pt idx="268">
                  <c:v>23881.316406000002</c:v>
                </c:pt>
                <c:pt idx="269">
                  <c:v>23341.039063</c:v>
                </c:pt>
                <c:pt idx="270">
                  <c:v>23213.3125</c:v>
                </c:pt>
                <c:pt idx="271">
                  <c:v>20872.841797000001</c:v>
                </c:pt>
                <c:pt idx="272">
                  <c:v>21160.392577999999</c:v>
                </c:pt>
                <c:pt idx="273">
                  <c:v>21531.462890999999</c:v>
                </c:pt>
                <c:pt idx="274">
                  <c:v>21401.044922000001</c:v>
                </c:pt>
                <c:pt idx="275">
                  <c:v>21526.455077999999</c:v>
                </c:pt>
                <c:pt idx="276">
                  <c:v>21395.458984000001</c:v>
                </c:pt>
                <c:pt idx="277">
                  <c:v>21596.085938</c:v>
                </c:pt>
                <c:pt idx="278">
                  <c:v>20262.480468999998</c:v>
                </c:pt>
                <c:pt idx="279">
                  <c:v>20041.035156000002</c:v>
                </c:pt>
                <c:pt idx="280">
                  <c:v>19615.154297000001</c:v>
                </c:pt>
                <c:pt idx="281">
                  <c:v>20298.611327999999</c:v>
                </c:pt>
                <c:pt idx="282">
                  <c:v>19799.582031000002</c:v>
                </c:pt>
                <c:pt idx="283">
                  <c:v>20050.498047000001</c:v>
                </c:pt>
                <c:pt idx="284">
                  <c:v>20126.072265999999</c:v>
                </c:pt>
                <c:pt idx="285">
                  <c:v>19969.71875</c:v>
                </c:pt>
                <c:pt idx="286">
                  <c:v>19832.470702999999</c:v>
                </c:pt>
                <c:pt idx="287">
                  <c:v>19988.789063</c:v>
                </c:pt>
                <c:pt idx="288">
                  <c:v>19817.724609000001</c:v>
                </c:pt>
                <c:pt idx="289">
                  <c:v>18837.683593999998</c:v>
                </c:pt>
                <c:pt idx="290">
                  <c:v>19289.941406000002</c:v>
                </c:pt>
                <c:pt idx="291">
                  <c:v>19328.140625</c:v>
                </c:pt>
                <c:pt idx="292">
                  <c:v>21376.912109000001</c:v>
                </c:pt>
                <c:pt idx="293">
                  <c:v>21678.542968999998</c:v>
                </c:pt>
                <c:pt idx="294">
                  <c:v>21770.148438</c:v>
                </c:pt>
                <c:pt idx="295">
                  <c:v>22371.480468999998</c:v>
                </c:pt>
                <c:pt idx="296">
                  <c:v>20184.554688</c:v>
                </c:pt>
                <c:pt idx="297">
                  <c:v>20242.289063</c:v>
                </c:pt>
                <c:pt idx="298">
                  <c:v>19704.005859000001</c:v>
                </c:pt>
                <c:pt idx="299">
                  <c:v>19777.033202999999</c:v>
                </c:pt>
                <c:pt idx="300">
                  <c:v>20127.234375</c:v>
                </c:pt>
                <c:pt idx="301">
                  <c:v>19418.572265999999</c:v>
                </c:pt>
                <c:pt idx="302">
                  <c:v>19545.591797000001</c:v>
                </c:pt>
                <c:pt idx="303">
                  <c:v>18891.283202999999</c:v>
                </c:pt>
                <c:pt idx="304">
                  <c:v>18534.650390999999</c:v>
                </c:pt>
                <c:pt idx="305">
                  <c:v>19412.400390999999</c:v>
                </c:pt>
                <c:pt idx="306">
                  <c:v>19296.990234000001</c:v>
                </c:pt>
                <c:pt idx="307">
                  <c:v>18936.310547000001</c:v>
                </c:pt>
                <c:pt idx="308">
                  <c:v>18803.900390999999</c:v>
                </c:pt>
                <c:pt idx="309">
                  <c:v>19221.839843999998</c:v>
                </c:pt>
                <c:pt idx="310">
                  <c:v>19104.621093999998</c:v>
                </c:pt>
                <c:pt idx="311">
                  <c:v>19427.779297000001</c:v>
                </c:pt>
                <c:pt idx="312">
                  <c:v>19573.431640999999</c:v>
                </c:pt>
                <c:pt idx="313">
                  <c:v>19431.105468999998</c:v>
                </c:pt>
                <c:pt idx="314">
                  <c:v>19311.849609000001</c:v>
                </c:pt>
                <c:pt idx="315">
                  <c:v>19044.068359000001</c:v>
                </c:pt>
                <c:pt idx="316">
                  <c:v>19623.583984000001</c:v>
                </c:pt>
                <c:pt idx="317">
                  <c:v>20335.900390999999</c:v>
                </c:pt>
                <c:pt idx="318">
                  <c:v>20161.039063</c:v>
                </c:pt>
                <c:pt idx="319">
                  <c:v>19957.558593999998</c:v>
                </c:pt>
                <c:pt idx="320">
                  <c:v>19546.328125</c:v>
                </c:pt>
                <c:pt idx="321">
                  <c:v>19417.478515999999</c:v>
                </c:pt>
                <c:pt idx="322">
                  <c:v>19446.416015999999</c:v>
                </c:pt>
                <c:pt idx="323">
                  <c:v>19139</c:v>
                </c:pt>
                <c:pt idx="324">
                  <c:v>19052.646484000001</c:v>
                </c:pt>
                <c:pt idx="325">
                  <c:v>19156.966797000001</c:v>
                </c:pt>
                <c:pt idx="326">
                  <c:v>19382.533202999999</c:v>
                </c:pt>
                <c:pt idx="327">
                  <c:v>19185.4375</c:v>
                </c:pt>
                <c:pt idx="328">
                  <c:v>19068.914063</c:v>
                </c:pt>
                <c:pt idx="329">
                  <c:v>19268.5625</c:v>
                </c:pt>
                <c:pt idx="330">
                  <c:v>19550.466797000001</c:v>
                </c:pt>
                <c:pt idx="331">
                  <c:v>19335.027343999998</c:v>
                </c:pt>
                <c:pt idx="332">
                  <c:v>19138.085938</c:v>
                </c:pt>
                <c:pt idx="333">
                  <c:v>19053.203125</c:v>
                </c:pt>
                <c:pt idx="334">
                  <c:v>19172.380859000001</c:v>
                </c:pt>
                <c:pt idx="335">
                  <c:v>19207.734375</c:v>
                </c:pt>
                <c:pt idx="336">
                  <c:v>19567.769531000002</c:v>
                </c:pt>
                <c:pt idx="337">
                  <c:v>19344.964843999998</c:v>
                </c:pt>
                <c:pt idx="338">
                  <c:v>20092.236327999999</c:v>
                </c:pt>
                <c:pt idx="339">
                  <c:v>20772.802734000001</c:v>
                </c:pt>
                <c:pt idx="340">
                  <c:v>20287.957031000002</c:v>
                </c:pt>
                <c:pt idx="341">
                  <c:v>20595.103515999999</c:v>
                </c:pt>
                <c:pt idx="342">
                  <c:v>20817.982422000001</c:v>
                </c:pt>
                <c:pt idx="343">
                  <c:v>20633.695313</c:v>
                </c:pt>
                <c:pt idx="344">
                  <c:v>20494.898438</c:v>
                </c:pt>
                <c:pt idx="345">
                  <c:v>20482.958984000001</c:v>
                </c:pt>
                <c:pt idx="346">
                  <c:v>20162.689452999999</c:v>
                </c:pt>
                <c:pt idx="347">
                  <c:v>20208.769531000002</c:v>
                </c:pt>
                <c:pt idx="348">
                  <c:v>21144.832031000002</c:v>
                </c:pt>
                <c:pt idx="349">
                  <c:v>21285.056640999999</c:v>
                </c:pt>
                <c:pt idx="350">
                  <c:v>20924.621093999998</c:v>
                </c:pt>
                <c:pt idx="351">
                  <c:v>20600.671875</c:v>
                </c:pt>
                <c:pt idx="352">
                  <c:v>18543.761718999998</c:v>
                </c:pt>
                <c:pt idx="353">
                  <c:v>15883.158203000001</c:v>
                </c:pt>
                <c:pt idx="354">
                  <c:v>17583.251952999999</c:v>
                </c:pt>
                <c:pt idx="355">
                  <c:v>17036.875</c:v>
                </c:pt>
                <c:pt idx="356">
                  <c:v>16799.722656000002</c:v>
                </c:pt>
                <c:pt idx="357">
                  <c:v>16352.028319999999</c:v>
                </c:pt>
                <c:pt idx="358">
                  <c:v>16617.484375</c:v>
                </c:pt>
                <c:pt idx="359">
                  <c:v>16884.341797000001</c:v>
                </c:pt>
                <c:pt idx="360">
                  <c:v>16670.425781000002</c:v>
                </c:pt>
                <c:pt idx="361">
                  <c:v>16687.912109000001</c:v>
                </c:pt>
                <c:pt idx="362">
                  <c:v>16696.220702999999</c:v>
                </c:pt>
                <c:pt idx="363">
                  <c:v>16712.919922000001</c:v>
                </c:pt>
                <c:pt idx="364">
                  <c:v>16291.223633</c:v>
                </c:pt>
                <c:pt idx="365">
                  <c:v>15778.548828000001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AE-448E-A35C-777B8F365591}"/>
            </c:ext>
          </c:extLst>
        </c:ser>
        <c:ser>
          <c:idx val="2"/>
          <c:order val="2"/>
          <c:tx>
            <c:strRef>
              <c:f>worksheet!$AN$1</c:f>
              <c:strCache>
                <c:ptCount val="1"/>
                <c:pt idx="0">
                  <c:v>Cardona Open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worksheet!$AK$2:$AK$367</c:f>
              <c:numCache>
                <c:formatCode>m/d/yyyy</c:formatCode>
                <c:ptCount val="366"/>
                <c:pt idx="0">
                  <c:v>44522</c:v>
                </c:pt>
                <c:pt idx="1">
                  <c:v>44523</c:v>
                </c:pt>
                <c:pt idx="2">
                  <c:v>44524</c:v>
                </c:pt>
                <c:pt idx="3">
                  <c:v>44525</c:v>
                </c:pt>
                <c:pt idx="4">
                  <c:v>44526</c:v>
                </c:pt>
                <c:pt idx="5">
                  <c:v>44527</c:v>
                </c:pt>
                <c:pt idx="6">
                  <c:v>44528</c:v>
                </c:pt>
                <c:pt idx="7">
                  <c:v>44529</c:v>
                </c:pt>
                <c:pt idx="8">
                  <c:v>44530</c:v>
                </c:pt>
                <c:pt idx="9">
                  <c:v>44531</c:v>
                </c:pt>
                <c:pt idx="10">
                  <c:v>44532</c:v>
                </c:pt>
                <c:pt idx="11">
                  <c:v>44533</c:v>
                </c:pt>
                <c:pt idx="12">
                  <c:v>44534</c:v>
                </c:pt>
                <c:pt idx="13">
                  <c:v>44535</c:v>
                </c:pt>
                <c:pt idx="14">
                  <c:v>44536</c:v>
                </c:pt>
                <c:pt idx="15">
                  <c:v>44537</c:v>
                </c:pt>
                <c:pt idx="16">
                  <c:v>44538</c:v>
                </c:pt>
                <c:pt idx="17">
                  <c:v>44539</c:v>
                </c:pt>
                <c:pt idx="18">
                  <c:v>44540</c:v>
                </c:pt>
                <c:pt idx="19">
                  <c:v>44541</c:v>
                </c:pt>
                <c:pt idx="20">
                  <c:v>44542</c:v>
                </c:pt>
                <c:pt idx="21">
                  <c:v>44543</c:v>
                </c:pt>
                <c:pt idx="22">
                  <c:v>44544</c:v>
                </c:pt>
                <c:pt idx="23">
                  <c:v>44545</c:v>
                </c:pt>
                <c:pt idx="24">
                  <c:v>44546</c:v>
                </c:pt>
                <c:pt idx="25">
                  <c:v>44547</c:v>
                </c:pt>
                <c:pt idx="26">
                  <c:v>44548</c:v>
                </c:pt>
                <c:pt idx="27">
                  <c:v>44549</c:v>
                </c:pt>
                <c:pt idx="28">
                  <c:v>44550</c:v>
                </c:pt>
                <c:pt idx="29">
                  <c:v>44551</c:v>
                </c:pt>
                <c:pt idx="30">
                  <c:v>44552</c:v>
                </c:pt>
                <c:pt idx="31">
                  <c:v>44553</c:v>
                </c:pt>
                <c:pt idx="32">
                  <c:v>44554</c:v>
                </c:pt>
                <c:pt idx="33">
                  <c:v>44555</c:v>
                </c:pt>
                <c:pt idx="34">
                  <c:v>44556</c:v>
                </c:pt>
                <c:pt idx="35">
                  <c:v>44557</c:v>
                </c:pt>
                <c:pt idx="36">
                  <c:v>44558</c:v>
                </c:pt>
                <c:pt idx="37">
                  <c:v>44559</c:v>
                </c:pt>
                <c:pt idx="38">
                  <c:v>44560</c:v>
                </c:pt>
                <c:pt idx="39">
                  <c:v>44561</c:v>
                </c:pt>
                <c:pt idx="40">
                  <c:v>44562</c:v>
                </c:pt>
                <c:pt idx="41">
                  <c:v>44563</c:v>
                </c:pt>
                <c:pt idx="42">
                  <c:v>44564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44569</c:v>
                </c:pt>
                <c:pt idx="48">
                  <c:v>44570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44576</c:v>
                </c:pt>
                <c:pt idx="55">
                  <c:v>44577</c:v>
                </c:pt>
                <c:pt idx="56">
                  <c:v>44578</c:v>
                </c:pt>
                <c:pt idx="57">
                  <c:v>44579</c:v>
                </c:pt>
                <c:pt idx="58">
                  <c:v>44580</c:v>
                </c:pt>
                <c:pt idx="59">
                  <c:v>44581</c:v>
                </c:pt>
                <c:pt idx="60">
                  <c:v>44582</c:v>
                </c:pt>
                <c:pt idx="61">
                  <c:v>44583</c:v>
                </c:pt>
                <c:pt idx="62">
                  <c:v>44584</c:v>
                </c:pt>
                <c:pt idx="63">
                  <c:v>44585</c:v>
                </c:pt>
                <c:pt idx="64">
                  <c:v>44586</c:v>
                </c:pt>
                <c:pt idx="65">
                  <c:v>44587</c:v>
                </c:pt>
                <c:pt idx="66">
                  <c:v>44588</c:v>
                </c:pt>
                <c:pt idx="67">
                  <c:v>44589</c:v>
                </c:pt>
                <c:pt idx="68">
                  <c:v>44590</c:v>
                </c:pt>
                <c:pt idx="69">
                  <c:v>44591</c:v>
                </c:pt>
                <c:pt idx="70">
                  <c:v>44592</c:v>
                </c:pt>
                <c:pt idx="71">
                  <c:v>44593</c:v>
                </c:pt>
                <c:pt idx="72">
                  <c:v>44594</c:v>
                </c:pt>
                <c:pt idx="73">
                  <c:v>44595</c:v>
                </c:pt>
                <c:pt idx="74">
                  <c:v>44596</c:v>
                </c:pt>
                <c:pt idx="75">
                  <c:v>44597</c:v>
                </c:pt>
                <c:pt idx="76">
                  <c:v>44598</c:v>
                </c:pt>
                <c:pt idx="77">
                  <c:v>44599</c:v>
                </c:pt>
                <c:pt idx="78">
                  <c:v>44600</c:v>
                </c:pt>
                <c:pt idx="79">
                  <c:v>44601</c:v>
                </c:pt>
                <c:pt idx="80">
                  <c:v>44602</c:v>
                </c:pt>
                <c:pt idx="81">
                  <c:v>44603</c:v>
                </c:pt>
                <c:pt idx="82">
                  <c:v>44604</c:v>
                </c:pt>
                <c:pt idx="83">
                  <c:v>44605</c:v>
                </c:pt>
                <c:pt idx="84">
                  <c:v>44606</c:v>
                </c:pt>
                <c:pt idx="85">
                  <c:v>44607</c:v>
                </c:pt>
                <c:pt idx="86">
                  <c:v>44608</c:v>
                </c:pt>
                <c:pt idx="87">
                  <c:v>44609</c:v>
                </c:pt>
                <c:pt idx="88">
                  <c:v>44610</c:v>
                </c:pt>
                <c:pt idx="89">
                  <c:v>44611</c:v>
                </c:pt>
                <c:pt idx="90">
                  <c:v>44612</c:v>
                </c:pt>
                <c:pt idx="91">
                  <c:v>44613</c:v>
                </c:pt>
                <c:pt idx="92">
                  <c:v>44614</c:v>
                </c:pt>
                <c:pt idx="93">
                  <c:v>44615</c:v>
                </c:pt>
                <c:pt idx="94">
                  <c:v>44616</c:v>
                </c:pt>
                <c:pt idx="95">
                  <c:v>44617</c:v>
                </c:pt>
                <c:pt idx="96">
                  <c:v>44618</c:v>
                </c:pt>
                <c:pt idx="97">
                  <c:v>44619</c:v>
                </c:pt>
                <c:pt idx="98">
                  <c:v>44620</c:v>
                </c:pt>
                <c:pt idx="99">
                  <c:v>44621</c:v>
                </c:pt>
                <c:pt idx="100">
                  <c:v>44622</c:v>
                </c:pt>
                <c:pt idx="101">
                  <c:v>44623</c:v>
                </c:pt>
                <c:pt idx="102">
                  <c:v>44624</c:v>
                </c:pt>
                <c:pt idx="103">
                  <c:v>44625</c:v>
                </c:pt>
                <c:pt idx="104">
                  <c:v>44626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44632</c:v>
                </c:pt>
                <c:pt idx="111">
                  <c:v>44633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44639</c:v>
                </c:pt>
                <c:pt idx="118">
                  <c:v>44640</c:v>
                </c:pt>
                <c:pt idx="119">
                  <c:v>44641</c:v>
                </c:pt>
                <c:pt idx="120">
                  <c:v>44642</c:v>
                </c:pt>
                <c:pt idx="121">
                  <c:v>44643</c:v>
                </c:pt>
                <c:pt idx="122">
                  <c:v>44644</c:v>
                </c:pt>
                <c:pt idx="123">
                  <c:v>44645</c:v>
                </c:pt>
                <c:pt idx="124">
                  <c:v>44646</c:v>
                </c:pt>
                <c:pt idx="125">
                  <c:v>44647</c:v>
                </c:pt>
                <c:pt idx="126">
                  <c:v>44648</c:v>
                </c:pt>
                <c:pt idx="127">
                  <c:v>44649</c:v>
                </c:pt>
                <c:pt idx="128">
                  <c:v>44650</c:v>
                </c:pt>
                <c:pt idx="129">
                  <c:v>44651</c:v>
                </c:pt>
                <c:pt idx="130">
                  <c:v>44652</c:v>
                </c:pt>
                <c:pt idx="131">
                  <c:v>44653</c:v>
                </c:pt>
                <c:pt idx="132">
                  <c:v>44654</c:v>
                </c:pt>
                <c:pt idx="133">
                  <c:v>44655</c:v>
                </c:pt>
                <c:pt idx="134">
                  <c:v>44656</c:v>
                </c:pt>
                <c:pt idx="135">
                  <c:v>44657</c:v>
                </c:pt>
                <c:pt idx="136">
                  <c:v>44658</c:v>
                </c:pt>
                <c:pt idx="137">
                  <c:v>44659</c:v>
                </c:pt>
                <c:pt idx="138">
                  <c:v>44660</c:v>
                </c:pt>
                <c:pt idx="139">
                  <c:v>44661</c:v>
                </c:pt>
                <c:pt idx="140">
                  <c:v>44662</c:v>
                </c:pt>
                <c:pt idx="141">
                  <c:v>44663</c:v>
                </c:pt>
                <c:pt idx="142">
                  <c:v>44664</c:v>
                </c:pt>
                <c:pt idx="143">
                  <c:v>44665</c:v>
                </c:pt>
                <c:pt idx="144">
                  <c:v>44666</c:v>
                </c:pt>
                <c:pt idx="145">
                  <c:v>44667</c:v>
                </c:pt>
                <c:pt idx="146">
                  <c:v>44668</c:v>
                </c:pt>
                <c:pt idx="147">
                  <c:v>44669</c:v>
                </c:pt>
                <c:pt idx="148">
                  <c:v>44670</c:v>
                </c:pt>
                <c:pt idx="149">
                  <c:v>44671</c:v>
                </c:pt>
                <c:pt idx="150">
                  <c:v>44672</c:v>
                </c:pt>
                <c:pt idx="151">
                  <c:v>44673</c:v>
                </c:pt>
                <c:pt idx="152">
                  <c:v>44674</c:v>
                </c:pt>
                <c:pt idx="153">
                  <c:v>44675</c:v>
                </c:pt>
                <c:pt idx="154">
                  <c:v>44676</c:v>
                </c:pt>
                <c:pt idx="155">
                  <c:v>44677</c:v>
                </c:pt>
                <c:pt idx="156">
                  <c:v>44678</c:v>
                </c:pt>
                <c:pt idx="157">
                  <c:v>44679</c:v>
                </c:pt>
                <c:pt idx="158">
                  <c:v>44680</c:v>
                </c:pt>
                <c:pt idx="159">
                  <c:v>44681</c:v>
                </c:pt>
                <c:pt idx="160">
                  <c:v>44682</c:v>
                </c:pt>
                <c:pt idx="161">
                  <c:v>44683</c:v>
                </c:pt>
                <c:pt idx="162">
                  <c:v>44684</c:v>
                </c:pt>
                <c:pt idx="163">
                  <c:v>44685</c:v>
                </c:pt>
                <c:pt idx="164">
                  <c:v>44686</c:v>
                </c:pt>
                <c:pt idx="165">
                  <c:v>44687</c:v>
                </c:pt>
                <c:pt idx="166">
                  <c:v>44688</c:v>
                </c:pt>
                <c:pt idx="167">
                  <c:v>44689</c:v>
                </c:pt>
                <c:pt idx="168">
                  <c:v>44690</c:v>
                </c:pt>
                <c:pt idx="169">
                  <c:v>44691</c:v>
                </c:pt>
                <c:pt idx="170">
                  <c:v>44692</c:v>
                </c:pt>
                <c:pt idx="171">
                  <c:v>44693</c:v>
                </c:pt>
                <c:pt idx="172">
                  <c:v>44694</c:v>
                </c:pt>
                <c:pt idx="173">
                  <c:v>44695</c:v>
                </c:pt>
                <c:pt idx="174">
                  <c:v>44696</c:v>
                </c:pt>
                <c:pt idx="175">
                  <c:v>44697</c:v>
                </c:pt>
                <c:pt idx="176">
                  <c:v>44698</c:v>
                </c:pt>
                <c:pt idx="177">
                  <c:v>44699</c:v>
                </c:pt>
                <c:pt idx="178">
                  <c:v>44700</c:v>
                </c:pt>
                <c:pt idx="179">
                  <c:v>44701</c:v>
                </c:pt>
                <c:pt idx="180">
                  <c:v>44702</c:v>
                </c:pt>
                <c:pt idx="181">
                  <c:v>44703</c:v>
                </c:pt>
                <c:pt idx="182">
                  <c:v>44704</c:v>
                </c:pt>
                <c:pt idx="183">
                  <c:v>44705</c:v>
                </c:pt>
                <c:pt idx="184">
                  <c:v>44706</c:v>
                </c:pt>
                <c:pt idx="185">
                  <c:v>44707</c:v>
                </c:pt>
                <c:pt idx="186">
                  <c:v>44708</c:v>
                </c:pt>
                <c:pt idx="187">
                  <c:v>44709</c:v>
                </c:pt>
                <c:pt idx="188">
                  <c:v>44710</c:v>
                </c:pt>
                <c:pt idx="189">
                  <c:v>44711</c:v>
                </c:pt>
                <c:pt idx="190">
                  <c:v>44712</c:v>
                </c:pt>
                <c:pt idx="191">
                  <c:v>44713</c:v>
                </c:pt>
                <c:pt idx="192">
                  <c:v>44714</c:v>
                </c:pt>
                <c:pt idx="193">
                  <c:v>44715</c:v>
                </c:pt>
                <c:pt idx="194">
                  <c:v>44716</c:v>
                </c:pt>
                <c:pt idx="195">
                  <c:v>44717</c:v>
                </c:pt>
                <c:pt idx="196">
                  <c:v>44718</c:v>
                </c:pt>
                <c:pt idx="197">
                  <c:v>44719</c:v>
                </c:pt>
                <c:pt idx="198">
                  <c:v>44720</c:v>
                </c:pt>
                <c:pt idx="199">
                  <c:v>44721</c:v>
                </c:pt>
                <c:pt idx="200">
                  <c:v>44722</c:v>
                </c:pt>
                <c:pt idx="201">
                  <c:v>44723</c:v>
                </c:pt>
                <c:pt idx="202">
                  <c:v>44724</c:v>
                </c:pt>
                <c:pt idx="203">
                  <c:v>44725</c:v>
                </c:pt>
                <c:pt idx="204">
                  <c:v>44726</c:v>
                </c:pt>
                <c:pt idx="205">
                  <c:v>44727</c:v>
                </c:pt>
                <c:pt idx="206">
                  <c:v>44728</c:v>
                </c:pt>
                <c:pt idx="207">
                  <c:v>44729</c:v>
                </c:pt>
                <c:pt idx="208">
                  <c:v>44730</c:v>
                </c:pt>
                <c:pt idx="209">
                  <c:v>44731</c:v>
                </c:pt>
                <c:pt idx="210">
                  <c:v>44732</c:v>
                </c:pt>
                <c:pt idx="211">
                  <c:v>44733</c:v>
                </c:pt>
                <c:pt idx="212">
                  <c:v>44734</c:v>
                </c:pt>
                <c:pt idx="213">
                  <c:v>44735</c:v>
                </c:pt>
                <c:pt idx="214">
                  <c:v>44736</c:v>
                </c:pt>
                <c:pt idx="215">
                  <c:v>44737</c:v>
                </c:pt>
                <c:pt idx="216">
                  <c:v>44738</c:v>
                </c:pt>
                <c:pt idx="217">
                  <c:v>44739</c:v>
                </c:pt>
                <c:pt idx="218">
                  <c:v>44740</c:v>
                </c:pt>
                <c:pt idx="219">
                  <c:v>44741</c:v>
                </c:pt>
                <c:pt idx="220">
                  <c:v>44742</c:v>
                </c:pt>
                <c:pt idx="221">
                  <c:v>44743</c:v>
                </c:pt>
                <c:pt idx="222">
                  <c:v>44744</c:v>
                </c:pt>
                <c:pt idx="223">
                  <c:v>44745</c:v>
                </c:pt>
                <c:pt idx="224">
                  <c:v>44746</c:v>
                </c:pt>
                <c:pt idx="225">
                  <c:v>44747</c:v>
                </c:pt>
                <c:pt idx="226">
                  <c:v>44748</c:v>
                </c:pt>
                <c:pt idx="227">
                  <c:v>44749</c:v>
                </c:pt>
                <c:pt idx="228">
                  <c:v>44750</c:v>
                </c:pt>
                <c:pt idx="229">
                  <c:v>44751</c:v>
                </c:pt>
                <c:pt idx="230">
                  <c:v>44752</c:v>
                </c:pt>
                <c:pt idx="231">
                  <c:v>44753</c:v>
                </c:pt>
                <c:pt idx="232">
                  <c:v>44754</c:v>
                </c:pt>
                <c:pt idx="233">
                  <c:v>44755</c:v>
                </c:pt>
                <c:pt idx="234">
                  <c:v>44756</c:v>
                </c:pt>
                <c:pt idx="235">
                  <c:v>44757</c:v>
                </c:pt>
                <c:pt idx="236">
                  <c:v>44758</c:v>
                </c:pt>
                <c:pt idx="237">
                  <c:v>44759</c:v>
                </c:pt>
                <c:pt idx="238">
                  <c:v>44760</c:v>
                </c:pt>
                <c:pt idx="239">
                  <c:v>44761</c:v>
                </c:pt>
                <c:pt idx="240">
                  <c:v>44762</c:v>
                </c:pt>
                <c:pt idx="241">
                  <c:v>44763</c:v>
                </c:pt>
                <c:pt idx="242">
                  <c:v>44764</c:v>
                </c:pt>
                <c:pt idx="243">
                  <c:v>44765</c:v>
                </c:pt>
                <c:pt idx="244">
                  <c:v>44766</c:v>
                </c:pt>
                <c:pt idx="245">
                  <c:v>44767</c:v>
                </c:pt>
                <c:pt idx="246">
                  <c:v>44768</c:v>
                </c:pt>
                <c:pt idx="247">
                  <c:v>44769</c:v>
                </c:pt>
                <c:pt idx="248">
                  <c:v>44770</c:v>
                </c:pt>
                <c:pt idx="249">
                  <c:v>44771</c:v>
                </c:pt>
                <c:pt idx="250">
                  <c:v>44772</c:v>
                </c:pt>
                <c:pt idx="251">
                  <c:v>44773</c:v>
                </c:pt>
                <c:pt idx="252">
                  <c:v>44774</c:v>
                </c:pt>
                <c:pt idx="253">
                  <c:v>44775</c:v>
                </c:pt>
                <c:pt idx="254">
                  <c:v>44776</c:v>
                </c:pt>
                <c:pt idx="255">
                  <c:v>44777</c:v>
                </c:pt>
                <c:pt idx="256">
                  <c:v>44778</c:v>
                </c:pt>
                <c:pt idx="257">
                  <c:v>44779</c:v>
                </c:pt>
                <c:pt idx="258">
                  <c:v>44780</c:v>
                </c:pt>
                <c:pt idx="259">
                  <c:v>44781</c:v>
                </c:pt>
                <c:pt idx="260">
                  <c:v>44782</c:v>
                </c:pt>
                <c:pt idx="261">
                  <c:v>44783</c:v>
                </c:pt>
                <c:pt idx="262">
                  <c:v>44784</c:v>
                </c:pt>
                <c:pt idx="263">
                  <c:v>44785</c:v>
                </c:pt>
                <c:pt idx="264">
                  <c:v>44786</c:v>
                </c:pt>
                <c:pt idx="265">
                  <c:v>44787</c:v>
                </c:pt>
                <c:pt idx="266">
                  <c:v>44788</c:v>
                </c:pt>
                <c:pt idx="267">
                  <c:v>44789</c:v>
                </c:pt>
                <c:pt idx="268">
                  <c:v>44790</c:v>
                </c:pt>
                <c:pt idx="269">
                  <c:v>44791</c:v>
                </c:pt>
                <c:pt idx="270">
                  <c:v>44792</c:v>
                </c:pt>
                <c:pt idx="271">
                  <c:v>44793</c:v>
                </c:pt>
                <c:pt idx="272">
                  <c:v>44794</c:v>
                </c:pt>
                <c:pt idx="273">
                  <c:v>44795</c:v>
                </c:pt>
                <c:pt idx="274">
                  <c:v>44796</c:v>
                </c:pt>
                <c:pt idx="275">
                  <c:v>44797</c:v>
                </c:pt>
                <c:pt idx="276">
                  <c:v>44798</c:v>
                </c:pt>
                <c:pt idx="277">
                  <c:v>44799</c:v>
                </c:pt>
                <c:pt idx="278">
                  <c:v>44800</c:v>
                </c:pt>
                <c:pt idx="279">
                  <c:v>44801</c:v>
                </c:pt>
                <c:pt idx="280">
                  <c:v>44802</c:v>
                </c:pt>
                <c:pt idx="281">
                  <c:v>44803</c:v>
                </c:pt>
                <c:pt idx="282">
                  <c:v>44804</c:v>
                </c:pt>
                <c:pt idx="283">
                  <c:v>44805</c:v>
                </c:pt>
                <c:pt idx="284">
                  <c:v>44806</c:v>
                </c:pt>
                <c:pt idx="285">
                  <c:v>44807</c:v>
                </c:pt>
                <c:pt idx="286">
                  <c:v>44808</c:v>
                </c:pt>
                <c:pt idx="287">
                  <c:v>44809</c:v>
                </c:pt>
                <c:pt idx="288">
                  <c:v>44810</c:v>
                </c:pt>
                <c:pt idx="289">
                  <c:v>44811</c:v>
                </c:pt>
                <c:pt idx="290">
                  <c:v>44812</c:v>
                </c:pt>
                <c:pt idx="291">
                  <c:v>44813</c:v>
                </c:pt>
                <c:pt idx="292">
                  <c:v>44814</c:v>
                </c:pt>
                <c:pt idx="293">
                  <c:v>44815</c:v>
                </c:pt>
                <c:pt idx="294">
                  <c:v>44816</c:v>
                </c:pt>
                <c:pt idx="295">
                  <c:v>44817</c:v>
                </c:pt>
                <c:pt idx="296">
                  <c:v>44818</c:v>
                </c:pt>
                <c:pt idx="297">
                  <c:v>44819</c:v>
                </c:pt>
                <c:pt idx="298">
                  <c:v>44820</c:v>
                </c:pt>
                <c:pt idx="299">
                  <c:v>44821</c:v>
                </c:pt>
                <c:pt idx="300">
                  <c:v>44822</c:v>
                </c:pt>
                <c:pt idx="301">
                  <c:v>44823</c:v>
                </c:pt>
                <c:pt idx="302">
                  <c:v>44824</c:v>
                </c:pt>
                <c:pt idx="303">
                  <c:v>44825</c:v>
                </c:pt>
                <c:pt idx="304">
                  <c:v>44826</c:v>
                </c:pt>
                <c:pt idx="305">
                  <c:v>44827</c:v>
                </c:pt>
                <c:pt idx="306">
                  <c:v>44828</c:v>
                </c:pt>
                <c:pt idx="307">
                  <c:v>44829</c:v>
                </c:pt>
                <c:pt idx="308">
                  <c:v>44830</c:v>
                </c:pt>
                <c:pt idx="309">
                  <c:v>44831</c:v>
                </c:pt>
                <c:pt idx="310">
                  <c:v>44832</c:v>
                </c:pt>
                <c:pt idx="311">
                  <c:v>44833</c:v>
                </c:pt>
                <c:pt idx="312">
                  <c:v>44834</c:v>
                </c:pt>
                <c:pt idx="313">
                  <c:v>44835</c:v>
                </c:pt>
                <c:pt idx="314">
                  <c:v>44836</c:v>
                </c:pt>
                <c:pt idx="315">
                  <c:v>44837</c:v>
                </c:pt>
                <c:pt idx="316">
                  <c:v>44838</c:v>
                </c:pt>
                <c:pt idx="317">
                  <c:v>44839</c:v>
                </c:pt>
                <c:pt idx="318">
                  <c:v>44840</c:v>
                </c:pt>
                <c:pt idx="319">
                  <c:v>44841</c:v>
                </c:pt>
                <c:pt idx="320">
                  <c:v>44842</c:v>
                </c:pt>
                <c:pt idx="321">
                  <c:v>44843</c:v>
                </c:pt>
                <c:pt idx="322">
                  <c:v>44844</c:v>
                </c:pt>
                <c:pt idx="323">
                  <c:v>44845</c:v>
                </c:pt>
                <c:pt idx="324">
                  <c:v>44846</c:v>
                </c:pt>
                <c:pt idx="325">
                  <c:v>44847</c:v>
                </c:pt>
                <c:pt idx="326">
                  <c:v>44848</c:v>
                </c:pt>
                <c:pt idx="327">
                  <c:v>44849</c:v>
                </c:pt>
                <c:pt idx="328">
                  <c:v>44850</c:v>
                </c:pt>
                <c:pt idx="329">
                  <c:v>44851</c:v>
                </c:pt>
                <c:pt idx="330">
                  <c:v>44852</c:v>
                </c:pt>
                <c:pt idx="331">
                  <c:v>44853</c:v>
                </c:pt>
                <c:pt idx="332">
                  <c:v>44854</c:v>
                </c:pt>
                <c:pt idx="333">
                  <c:v>44855</c:v>
                </c:pt>
                <c:pt idx="334">
                  <c:v>44856</c:v>
                </c:pt>
                <c:pt idx="335">
                  <c:v>44857</c:v>
                </c:pt>
                <c:pt idx="336">
                  <c:v>44858</c:v>
                </c:pt>
                <c:pt idx="337">
                  <c:v>44859</c:v>
                </c:pt>
                <c:pt idx="338">
                  <c:v>44860</c:v>
                </c:pt>
                <c:pt idx="339">
                  <c:v>44861</c:v>
                </c:pt>
                <c:pt idx="340">
                  <c:v>44862</c:v>
                </c:pt>
                <c:pt idx="341">
                  <c:v>44863</c:v>
                </c:pt>
                <c:pt idx="342">
                  <c:v>44864</c:v>
                </c:pt>
                <c:pt idx="343">
                  <c:v>44865</c:v>
                </c:pt>
                <c:pt idx="344">
                  <c:v>44866</c:v>
                </c:pt>
                <c:pt idx="345">
                  <c:v>44867</c:v>
                </c:pt>
                <c:pt idx="346">
                  <c:v>44868</c:v>
                </c:pt>
                <c:pt idx="347">
                  <c:v>44869</c:v>
                </c:pt>
                <c:pt idx="348">
                  <c:v>44870</c:v>
                </c:pt>
                <c:pt idx="349">
                  <c:v>44871</c:v>
                </c:pt>
                <c:pt idx="350">
                  <c:v>44872</c:v>
                </c:pt>
                <c:pt idx="351">
                  <c:v>44873</c:v>
                </c:pt>
                <c:pt idx="352">
                  <c:v>44874</c:v>
                </c:pt>
                <c:pt idx="353">
                  <c:v>44875</c:v>
                </c:pt>
                <c:pt idx="354">
                  <c:v>44876</c:v>
                </c:pt>
                <c:pt idx="355">
                  <c:v>44877</c:v>
                </c:pt>
                <c:pt idx="356">
                  <c:v>44878</c:v>
                </c:pt>
                <c:pt idx="357">
                  <c:v>44879</c:v>
                </c:pt>
                <c:pt idx="358">
                  <c:v>44880</c:v>
                </c:pt>
                <c:pt idx="359">
                  <c:v>44881</c:v>
                </c:pt>
                <c:pt idx="360">
                  <c:v>44882</c:v>
                </c:pt>
                <c:pt idx="361">
                  <c:v>44883</c:v>
                </c:pt>
                <c:pt idx="362">
                  <c:v>44884</c:v>
                </c:pt>
                <c:pt idx="363">
                  <c:v>44885</c:v>
                </c:pt>
                <c:pt idx="364">
                  <c:v>44886</c:v>
                </c:pt>
                <c:pt idx="365">
                  <c:v>44887</c:v>
                </c:pt>
              </c:numCache>
            </c:numRef>
          </c:cat>
          <c:val>
            <c:numRef>
              <c:f>worksheet!$AN$2:$AN$367</c:f>
              <c:numCache>
                <c:formatCode>General</c:formatCode>
                <c:ptCount val="366"/>
                <c:pt idx="0">
                  <c:v>1.8382909999999999</c:v>
                </c:pt>
                <c:pt idx="1">
                  <c:v>1.7782830000000001</c:v>
                </c:pt>
                <c:pt idx="2">
                  <c:v>1.7512460000000001</c:v>
                </c:pt>
                <c:pt idx="3">
                  <c:v>1.6672610000000001</c:v>
                </c:pt>
                <c:pt idx="4">
                  <c:v>1.676388</c:v>
                </c:pt>
                <c:pt idx="5">
                  <c:v>1.531957</c:v>
                </c:pt>
                <c:pt idx="6">
                  <c:v>1.546672</c:v>
                </c:pt>
                <c:pt idx="7">
                  <c:v>1.5945009999999999</c:v>
                </c:pt>
                <c:pt idx="8">
                  <c:v>1.6021019999999999</c:v>
                </c:pt>
                <c:pt idx="9">
                  <c:v>1.5528189999999999</c:v>
                </c:pt>
                <c:pt idx="10">
                  <c:v>1.547706</c:v>
                </c:pt>
                <c:pt idx="11">
                  <c:v>1.7207190000000001</c:v>
                </c:pt>
                <c:pt idx="12">
                  <c:v>1.558386</c:v>
                </c:pt>
                <c:pt idx="13">
                  <c:v>1.420609</c:v>
                </c:pt>
                <c:pt idx="14">
                  <c:v>1.379189</c:v>
                </c:pt>
                <c:pt idx="15">
                  <c:v>1.423189</c:v>
                </c:pt>
                <c:pt idx="16">
                  <c:v>1.3809389999999999</c:v>
                </c:pt>
                <c:pt idx="17">
                  <c:v>1.3937390000000001</c:v>
                </c:pt>
                <c:pt idx="18">
                  <c:v>1.2917529999999999</c:v>
                </c:pt>
                <c:pt idx="19">
                  <c:v>1.2134069999999999</c:v>
                </c:pt>
                <c:pt idx="20">
                  <c:v>1.3522209999999999</c:v>
                </c:pt>
                <c:pt idx="21">
                  <c:v>1.3478950000000001</c:v>
                </c:pt>
                <c:pt idx="22">
                  <c:v>1.2244600000000001</c:v>
                </c:pt>
                <c:pt idx="23">
                  <c:v>1.2662629999999999</c:v>
                </c:pt>
                <c:pt idx="24">
                  <c:v>1.3118179999999999</c:v>
                </c:pt>
                <c:pt idx="25">
                  <c:v>1.2407440000000001</c:v>
                </c:pt>
                <c:pt idx="26">
                  <c:v>1.2205170000000001</c:v>
                </c:pt>
                <c:pt idx="27">
                  <c:v>1.242394</c:v>
                </c:pt>
                <c:pt idx="28">
                  <c:v>1.2434369999999999</c:v>
                </c:pt>
                <c:pt idx="29">
                  <c:v>1.2364189999999999</c:v>
                </c:pt>
                <c:pt idx="30">
                  <c:v>1.2803370000000001</c:v>
                </c:pt>
                <c:pt idx="31">
                  <c:v>1.328843</c:v>
                </c:pt>
                <c:pt idx="32">
                  <c:v>1.4738770000000001</c:v>
                </c:pt>
                <c:pt idx="33">
                  <c:v>1.3941859999999999</c:v>
                </c:pt>
                <c:pt idx="34">
                  <c:v>1.4535100000000001</c:v>
                </c:pt>
                <c:pt idx="35">
                  <c:v>1.455838</c:v>
                </c:pt>
                <c:pt idx="36">
                  <c:v>1.5150920000000001</c:v>
                </c:pt>
                <c:pt idx="37">
                  <c:v>1.4019619999999999</c:v>
                </c:pt>
                <c:pt idx="38">
                  <c:v>1.3327469999999999</c:v>
                </c:pt>
                <c:pt idx="39">
                  <c:v>1.3604700000000001</c:v>
                </c:pt>
                <c:pt idx="40">
                  <c:v>1.31013</c:v>
                </c:pt>
                <c:pt idx="41">
                  <c:v>1.3770169999999999</c:v>
                </c:pt>
                <c:pt idx="42">
                  <c:v>1.377599</c:v>
                </c:pt>
                <c:pt idx="43">
                  <c:v>1.3215079999999999</c:v>
                </c:pt>
                <c:pt idx="44">
                  <c:v>1.311944</c:v>
                </c:pt>
                <c:pt idx="45">
                  <c:v>1.235209</c:v>
                </c:pt>
                <c:pt idx="46">
                  <c:v>1.279917</c:v>
                </c:pt>
                <c:pt idx="47">
                  <c:v>1.211468</c:v>
                </c:pt>
                <c:pt idx="48">
                  <c:v>1.1876930000000001</c:v>
                </c:pt>
                <c:pt idx="49">
                  <c:v>1.173786</c:v>
                </c:pt>
                <c:pt idx="50">
                  <c:v>1.1278570000000001</c:v>
                </c:pt>
                <c:pt idx="51">
                  <c:v>1.185551</c:v>
                </c:pt>
                <c:pt idx="52">
                  <c:v>1.304656</c:v>
                </c:pt>
                <c:pt idx="53">
                  <c:v>1.2333700000000001</c:v>
                </c:pt>
                <c:pt idx="54">
                  <c:v>1.2910889999999999</c:v>
                </c:pt>
                <c:pt idx="55">
                  <c:v>1.295933</c:v>
                </c:pt>
                <c:pt idx="56">
                  <c:v>1.40821</c:v>
                </c:pt>
                <c:pt idx="57">
                  <c:v>1.5964799999999999</c:v>
                </c:pt>
                <c:pt idx="58">
                  <c:v>1.4649460000000001</c:v>
                </c:pt>
                <c:pt idx="59">
                  <c:v>1.3416539999999999</c:v>
                </c:pt>
                <c:pt idx="60">
                  <c:v>1.2588029999999999</c:v>
                </c:pt>
                <c:pt idx="61">
                  <c:v>1.1230789999999999</c:v>
                </c:pt>
                <c:pt idx="62">
                  <c:v>1.067661</c:v>
                </c:pt>
                <c:pt idx="63">
                  <c:v>1.1227819999999999</c:v>
                </c:pt>
                <c:pt idx="64">
                  <c:v>1.066519</c:v>
                </c:pt>
                <c:pt idx="65">
                  <c:v>1.04362</c:v>
                </c:pt>
                <c:pt idx="66">
                  <c:v>1.078735</c:v>
                </c:pt>
                <c:pt idx="67">
                  <c:v>1.043234</c:v>
                </c:pt>
                <c:pt idx="68">
                  <c:v>1.050492</c:v>
                </c:pt>
                <c:pt idx="69">
                  <c:v>1.0597479999999999</c:v>
                </c:pt>
                <c:pt idx="70">
                  <c:v>1.037615</c:v>
                </c:pt>
                <c:pt idx="71">
                  <c:v>1.0522359999999999</c:v>
                </c:pt>
                <c:pt idx="72">
                  <c:v>1.090309</c:v>
                </c:pt>
                <c:pt idx="73">
                  <c:v>1.028688</c:v>
                </c:pt>
                <c:pt idx="74">
                  <c:v>1.056243</c:v>
                </c:pt>
                <c:pt idx="75">
                  <c:v>1.136061</c:v>
                </c:pt>
                <c:pt idx="76">
                  <c:v>1.127235</c:v>
                </c:pt>
                <c:pt idx="77">
                  <c:v>1.1443559999999999</c:v>
                </c:pt>
                <c:pt idx="78">
                  <c:v>1.1976500000000001</c:v>
                </c:pt>
                <c:pt idx="79">
                  <c:v>1.1779580000000001</c:v>
                </c:pt>
                <c:pt idx="80">
                  <c:v>1.194636</c:v>
                </c:pt>
                <c:pt idx="81">
                  <c:v>1.152571</c:v>
                </c:pt>
                <c:pt idx="82">
                  <c:v>1.080511</c:v>
                </c:pt>
                <c:pt idx="83">
                  <c:v>1.0580080000000001</c:v>
                </c:pt>
                <c:pt idx="84">
                  <c:v>1.045469</c:v>
                </c:pt>
                <c:pt idx="85">
                  <c:v>1.0502180000000001</c:v>
                </c:pt>
                <c:pt idx="86">
                  <c:v>1.107631</c:v>
                </c:pt>
                <c:pt idx="87">
                  <c:v>1.0843179999999999</c:v>
                </c:pt>
                <c:pt idx="88">
                  <c:v>1.0202230000000001</c:v>
                </c:pt>
                <c:pt idx="89">
                  <c:v>0.99700500000000003</c:v>
                </c:pt>
                <c:pt idx="90">
                  <c:v>0.99762899999999999</c:v>
                </c:pt>
                <c:pt idx="91">
                  <c:v>0.93245199999999995</c:v>
                </c:pt>
                <c:pt idx="92">
                  <c:v>0.85812999999999995</c:v>
                </c:pt>
                <c:pt idx="93">
                  <c:v>0.88898900000000003</c:v>
                </c:pt>
                <c:pt idx="94">
                  <c:v>0.86851500000000004</c:v>
                </c:pt>
                <c:pt idx="95">
                  <c:v>0.853572</c:v>
                </c:pt>
                <c:pt idx="96">
                  <c:v>0.89799600000000002</c:v>
                </c:pt>
                <c:pt idx="97">
                  <c:v>0.88778800000000002</c:v>
                </c:pt>
                <c:pt idx="98">
                  <c:v>0.85787000000000002</c:v>
                </c:pt>
                <c:pt idx="99">
                  <c:v>0.95988600000000002</c:v>
                </c:pt>
                <c:pt idx="100">
                  <c:v>0.96242499999999997</c:v>
                </c:pt>
                <c:pt idx="101">
                  <c:v>0.93872199999999995</c:v>
                </c:pt>
                <c:pt idx="102">
                  <c:v>0.90279299999999996</c:v>
                </c:pt>
                <c:pt idx="103">
                  <c:v>0.84317500000000001</c:v>
                </c:pt>
                <c:pt idx="104">
                  <c:v>0.86568800000000001</c:v>
                </c:pt>
                <c:pt idx="105">
                  <c:v>0.82373799999999997</c:v>
                </c:pt>
                <c:pt idx="106">
                  <c:v>0.79717400000000005</c:v>
                </c:pt>
                <c:pt idx="107">
                  <c:v>0.801485</c:v>
                </c:pt>
                <c:pt idx="108">
                  <c:v>0.84935499999999997</c:v>
                </c:pt>
                <c:pt idx="109">
                  <c:v>0.80630199999999996</c:v>
                </c:pt>
                <c:pt idx="110">
                  <c:v>0.79007300000000003</c:v>
                </c:pt>
                <c:pt idx="111">
                  <c:v>0.79056700000000002</c:v>
                </c:pt>
                <c:pt idx="112">
                  <c:v>0.790412</c:v>
                </c:pt>
                <c:pt idx="113">
                  <c:v>0.80384100000000003</c:v>
                </c:pt>
                <c:pt idx="114">
                  <c:v>0.80002399999999996</c:v>
                </c:pt>
                <c:pt idx="115">
                  <c:v>0.83836200000000005</c:v>
                </c:pt>
                <c:pt idx="116">
                  <c:v>0.83665699999999998</c:v>
                </c:pt>
                <c:pt idx="117">
                  <c:v>0.85327399999999998</c:v>
                </c:pt>
                <c:pt idx="118">
                  <c:v>0.90132199999999996</c:v>
                </c:pt>
                <c:pt idx="119">
                  <c:v>0.87720100000000001</c:v>
                </c:pt>
                <c:pt idx="120">
                  <c:v>0.91688800000000004</c:v>
                </c:pt>
                <c:pt idx="121">
                  <c:v>0.97616199999999997</c:v>
                </c:pt>
                <c:pt idx="122">
                  <c:v>1.1072040000000001</c:v>
                </c:pt>
                <c:pt idx="123">
                  <c:v>1.130228</c:v>
                </c:pt>
                <c:pt idx="124">
                  <c:v>1.098015</c:v>
                </c:pt>
                <c:pt idx="125">
                  <c:v>1.151006</c:v>
                </c:pt>
                <c:pt idx="126">
                  <c:v>1.182334</c:v>
                </c:pt>
                <c:pt idx="127">
                  <c:v>1.1692849999999999</c:v>
                </c:pt>
                <c:pt idx="128">
                  <c:v>1.1909799999999999</c:v>
                </c:pt>
                <c:pt idx="129">
                  <c:v>1.190299</c:v>
                </c:pt>
                <c:pt idx="130">
                  <c:v>1.1419520000000001</c:v>
                </c:pt>
                <c:pt idx="131">
                  <c:v>1.1654439999999999</c:v>
                </c:pt>
                <c:pt idx="132">
                  <c:v>1.1559090000000001</c:v>
                </c:pt>
                <c:pt idx="133">
                  <c:v>1.1858</c:v>
                </c:pt>
                <c:pt idx="134">
                  <c:v>1.2130289999999999</c:v>
                </c:pt>
                <c:pt idx="135">
                  <c:v>1.1707920000000001</c:v>
                </c:pt>
                <c:pt idx="136">
                  <c:v>1.053129</c:v>
                </c:pt>
                <c:pt idx="137">
                  <c:v>1.0916319999999999</c:v>
                </c:pt>
                <c:pt idx="138">
                  <c:v>1.0259119999999999</c:v>
                </c:pt>
                <c:pt idx="139">
                  <c:v>1.0450120000000001</c:v>
                </c:pt>
                <c:pt idx="140">
                  <c:v>1.0306709999999999</c:v>
                </c:pt>
                <c:pt idx="141">
                  <c:v>0.92059899999999995</c:v>
                </c:pt>
                <c:pt idx="142">
                  <c:v>0.95512200000000003</c:v>
                </c:pt>
                <c:pt idx="143">
                  <c:v>0.97456900000000002</c:v>
                </c:pt>
                <c:pt idx="144">
                  <c:v>0.93252900000000005</c:v>
                </c:pt>
                <c:pt idx="145">
                  <c:v>0.954704</c:v>
                </c:pt>
                <c:pt idx="146">
                  <c:v>0.95253100000000002</c:v>
                </c:pt>
                <c:pt idx="147">
                  <c:v>0.91750900000000002</c:v>
                </c:pt>
                <c:pt idx="148">
                  <c:v>0.93676199999999998</c:v>
                </c:pt>
                <c:pt idx="149">
                  <c:v>0.95332499999999998</c:v>
                </c:pt>
                <c:pt idx="150">
                  <c:v>0.93727199999999999</c:v>
                </c:pt>
                <c:pt idx="151">
                  <c:v>0.91033500000000001</c:v>
                </c:pt>
                <c:pt idx="152">
                  <c:v>0.90718500000000002</c:v>
                </c:pt>
                <c:pt idx="153">
                  <c:v>0.88827900000000004</c:v>
                </c:pt>
                <c:pt idx="154">
                  <c:v>0.886378</c:v>
                </c:pt>
                <c:pt idx="155">
                  <c:v>0.89857699999999996</c:v>
                </c:pt>
                <c:pt idx="156">
                  <c:v>0.82754099999999997</c:v>
                </c:pt>
                <c:pt idx="157">
                  <c:v>0.840615</c:v>
                </c:pt>
                <c:pt idx="158">
                  <c:v>0.84392999999999996</c:v>
                </c:pt>
                <c:pt idx="159">
                  <c:v>0.80505599999999999</c:v>
                </c:pt>
                <c:pt idx="160">
                  <c:v>0.75670099999999996</c:v>
                </c:pt>
                <c:pt idx="161">
                  <c:v>0.79027899999999995</c:v>
                </c:pt>
                <c:pt idx="162">
                  <c:v>0.78142999999999996</c:v>
                </c:pt>
                <c:pt idx="163">
                  <c:v>0.77110699999999999</c:v>
                </c:pt>
                <c:pt idx="164">
                  <c:v>0.897061</c:v>
                </c:pt>
                <c:pt idx="165">
                  <c:v>0.79106500000000002</c:v>
                </c:pt>
                <c:pt idx="166">
                  <c:v>0.78335200000000005</c:v>
                </c:pt>
                <c:pt idx="167">
                  <c:v>0.76205299999999998</c:v>
                </c:pt>
                <c:pt idx="168">
                  <c:v>0.73950899999999997</c:v>
                </c:pt>
                <c:pt idx="169">
                  <c:v>0.60997199999999996</c:v>
                </c:pt>
                <c:pt idx="170">
                  <c:v>0.628772</c:v>
                </c:pt>
                <c:pt idx="171">
                  <c:v>0.51299899999999998</c:v>
                </c:pt>
                <c:pt idx="172">
                  <c:v>0.47341800000000001</c:v>
                </c:pt>
                <c:pt idx="173">
                  <c:v>0.52894200000000002</c:v>
                </c:pt>
                <c:pt idx="174">
                  <c:v>0.53938600000000003</c:v>
                </c:pt>
                <c:pt idx="175">
                  <c:v>0.59756900000000002</c:v>
                </c:pt>
                <c:pt idx="176">
                  <c:v>0.55669599999999997</c:v>
                </c:pt>
                <c:pt idx="177">
                  <c:v>0.57805700000000004</c:v>
                </c:pt>
                <c:pt idx="178">
                  <c:v>0.50549900000000003</c:v>
                </c:pt>
                <c:pt idx="179">
                  <c:v>0.53336399999999995</c:v>
                </c:pt>
                <c:pt idx="180">
                  <c:v>0.51790499999999995</c:v>
                </c:pt>
                <c:pt idx="181">
                  <c:v>0.52834400000000004</c:v>
                </c:pt>
                <c:pt idx="182">
                  <c:v>0.54248399999999997</c:v>
                </c:pt>
                <c:pt idx="183">
                  <c:v>0.512687</c:v>
                </c:pt>
                <c:pt idx="184">
                  <c:v>0.52124199999999998</c:v>
                </c:pt>
                <c:pt idx="185">
                  <c:v>0.51395299999999999</c:v>
                </c:pt>
                <c:pt idx="186">
                  <c:v>0.48064299999999999</c:v>
                </c:pt>
                <c:pt idx="187">
                  <c:v>0.45817600000000003</c:v>
                </c:pt>
                <c:pt idx="188">
                  <c:v>0.46473199999999998</c:v>
                </c:pt>
                <c:pt idx="189">
                  <c:v>0.48113400000000001</c:v>
                </c:pt>
                <c:pt idx="190">
                  <c:v>0.56999999999999995</c:v>
                </c:pt>
                <c:pt idx="191">
                  <c:v>0.625417</c:v>
                </c:pt>
                <c:pt idx="192">
                  <c:v>0.55263600000000002</c:v>
                </c:pt>
                <c:pt idx="193">
                  <c:v>0.58783600000000003</c:v>
                </c:pt>
                <c:pt idx="194">
                  <c:v>0.55995700000000004</c:v>
                </c:pt>
                <c:pt idx="195">
                  <c:v>0.56609100000000001</c:v>
                </c:pt>
                <c:pt idx="196">
                  <c:v>0.56720700000000002</c:v>
                </c:pt>
                <c:pt idx="197">
                  <c:v>0.60933999999999999</c:v>
                </c:pt>
                <c:pt idx="198">
                  <c:v>0.61548499999999995</c:v>
                </c:pt>
                <c:pt idx="199">
                  <c:v>0.64164900000000002</c:v>
                </c:pt>
                <c:pt idx="200">
                  <c:v>0.63286299999999995</c:v>
                </c:pt>
                <c:pt idx="201">
                  <c:v>0.574268</c:v>
                </c:pt>
                <c:pt idx="202">
                  <c:v>0.55297700000000005</c:v>
                </c:pt>
                <c:pt idx="203">
                  <c:v>0.49609999999999999</c:v>
                </c:pt>
                <c:pt idx="204">
                  <c:v>0.46325100000000002</c:v>
                </c:pt>
                <c:pt idx="205">
                  <c:v>0.48415999999999998</c:v>
                </c:pt>
                <c:pt idx="206">
                  <c:v>0.53352900000000003</c:v>
                </c:pt>
                <c:pt idx="207">
                  <c:v>0.47518300000000002</c:v>
                </c:pt>
                <c:pt idx="208">
                  <c:v>0.48736699999999999</c:v>
                </c:pt>
                <c:pt idx="209">
                  <c:v>0.45596999999999999</c:v>
                </c:pt>
                <c:pt idx="210">
                  <c:v>0.48440299999999997</c:v>
                </c:pt>
                <c:pt idx="211">
                  <c:v>0.49226999999999999</c:v>
                </c:pt>
                <c:pt idx="212">
                  <c:v>0.47950599999999999</c:v>
                </c:pt>
                <c:pt idx="213">
                  <c:v>0.458652</c:v>
                </c:pt>
                <c:pt idx="214">
                  <c:v>0.48019899999999999</c:v>
                </c:pt>
                <c:pt idx="215">
                  <c:v>0.49923299999999998</c:v>
                </c:pt>
                <c:pt idx="216">
                  <c:v>0.49887599999999999</c:v>
                </c:pt>
                <c:pt idx="217">
                  <c:v>0.48955799999999999</c:v>
                </c:pt>
                <c:pt idx="218">
                  <c:v>0.48557099999999997</c:v>
                </c:pt>
                <c:pt idx="219">
                  <c:v>0.46967300000000001</c:v>
                </c:pt>
                <c:pt idx="220">
                  <c:v>0.46560200000000002</c:v>
                </c:pt>
                <c:pt idx="221">
                  <c:v>0.459312</c:v>
                </c:pt>
                <c:pt idx="222">
                  <c:v>0.44818000000000002</c:v>
                </c:pt>
                <c:pt idx="223">
                  <c:v>0.45632099999999998</c:v>
                </c:pt>
                <c:pt idx="224">
                  <c:v>0.45561200000000002</c:v>
                </c:pt>
                <c:pt idx="225">
                  <c:v>0.46956900000000001</c:v>
                </c:pt>
                <c:pt idx="226">
                  <c:v>0.45766800000000002</c:v>
                </c:pt>
                <c:pt idx="227">
                  <c:v>0.46221000000000001</c:v>
                </c:pt>
                <c:pt idx="228">
                  <c:v>0.47781699999999999</c:v>
                </c:pt>
                <c:pt idx="229">
                  <c:v>0.46728999999999998</c:v>
                </c:pt>
                <c:pt idx="230">
                  <c:v>0.478771</c:v>
                </c:pt>
                <c:pt idx="231">
                  <c:v>0.46318100000000001</c:v>
                </c:pt>
                <c:pt idx="232">
                  <c:v>0.435581</c:v>
                </c:pt>
                <c:pt idx="233">
                  <c:v>0.417881</c:v>
                </c:pt>
                <c:pt idx="234">
                  <c:v>0.43805699999999997</c:v>
                </c:pt>
                <c:pt idx="235">
                  <c:v>0.44111499999999998</c:v>
                </c:pt>
                <c:pt idx="236">
                  <c:v>0.44244499999999998</c:v>
                </c:pt>
                <c:pt idx="237">
                  <c:v>0.457318</c:v>
                </c:pt>
                <c:pt idx="238">
                  <c:v>0.44741500000000001</c:v>
                </c:pt>
                <c:pt idx="239">
                  <c:v>0.49207800000000002</c:v>
                </c:pt>
                <c:pt idx="240">
                  <c:v>0.51580099999999995</c:v>
                </c:pt>
                <c:pt idx="241">
                  <c:v>0.49107099999999998</c:v>
                </c:pt>
                <c:pt idx="242">
                  <c:v>0.50009099999999995</c:v>
                </c:pt>
                <c:pt idx="243">
                  <c:v>0.48372700000000002</c:v>
                </c:pt>
                <c:pt idx="244">
                  <c:v>0.51736000000000004</c:v>
                </c:pt>
                <c:pt idx="245">
                  <c:v>0.51376299999999997</c:v>
                </c:pt>
                <c:pt idx="246">
                  <c:v>0.476298</c:v>
                </c:pt>
                <c:pt idx="247">
                  <c:v>0.46771299999999999</c:v>
                </c:pt>
                <c:pt idx="248">
                  <c:v>0.51058000000000003</c:v>
                </c:pt>
                <c:pt idx="249">
                  <c:v>0.51322800000000002</c:v>
                </c:pt>
                <c:pt idx="250">
                  <c:v>0.52321899999999999</c:v>
                </c:pt>
                <c:pt idx="251">
                  <c:v>0.52559299999999998</c:v>
                </c:pt>
                <c:pt idx="252">
                  <c:v>0.51705100000000004</c:v>
                </c:pt>
                <c:pt idx="253">
                  <c:v>0.513907</c:v>
                </c:pt>
                <c:pt idx="254">
                  <c:v>0.49686599999999997</c:v>
                </c:pt>
                <c:pt idx="255">
                  <c:v>0.50097499999999995</c:v>
                </c:pt>
                <c:pt idx="256">
                  <c:v>0.49958200000000003</c:v>
                </c:pt>
                <c:pt idx="257">
                  <c:v>0.51756400000000002</c:v>
                </c:pt>
                <c:pt idx="258">
                  <c:v>0.51137200000000005</c:v>
                </c:pt>
                <c:pt idx="259">
                  <c:v>0.52748799999999996</c:v>
                </c:pt>
                <c:pt idx="260">
                  <c:v>0.53665600000000002</c:v>
                </c:pt>
                <c:pt idx="261">
                  <c:v>0.513992</c:v>
                </c:pt>
                <c:pt idx="262">
                  <c:v>0.53710400000000003</c:v>
                </c:pt>
                <c:pt idx="263">
                  <c:v>0.53119499999999997</c:v>
                </c:pt>
                <c:pt idx="264">
                  <c:v>0.54070799999999997</c:v>
                </c:pt>
                <c:pt idx="265">
                  <c:v>0.55981899999999996</c:v>
                </c:pt>
                <c:pt idx="266">
                  <c:v>0.57038599999999995</c:v>
                </c:pt>
                <c:pt idx="267">
                  <c:v>0.55100400000000005</c:v>
                </c:pt>
                <c:pt idx="268">
                  <c:v>0.557921</c:v>
                </c:pt>
                <c:pt idx="269">
                  <c:v>0.5373</c:v>
                </c:pt>
                <c:pt idx="270">
                  <c:v>0.51269799999999999</c:v>
                </c:pt>
                <c:pt idx="271">
                  <c:v>0.45087500000000003</c:v>
                </c:pt>
                <c:pt idx="272">
                  <c:v>0.451266</c:v>
                </c:pt>
                <c:pt idx="273">
                  <c:v>0.463536</c:v>
                </c:pt>
                <c:pt idx="274">
                  <c:v>0.46148299999999998</c:v>
                </c:pt>
                <c:pt idx="275">
                  <c:v>0.46518199999999998</c:v>
                </c:pt>
                <c:pt idx="276">
                  <c:v>0.45810800000000002</c:v>
                </c:pt>
                <c:pt idx="277">
                  <c:v>0.46495900000000001</c:v>
                </c:pt>
                <c:pt idx="278">
                  <c:v>0.43103900000000001</c:v>
                </c:pt>
                <c:pt idx="279">
                  <c:v>0.44971899999999998</c:v>
                </c:pt>
                <c:pt idx="280">
                  <c:v>0.43007000000000001</c:v>
                </c:pt>
                <c:pt idx="281">
                  <c:v>0.45073600000000003</c:v>
                </c:pt>
                <c:pt idx="282">
                  <c:v>0.45226300000000003</c:v>
                </c:pt>
                <c:pt idx="283">
                  <c:v>0.44667699999999999</c:v>
                </c:pt>
                <c:pt idx="284">
                  <c:v>0.45746399999999998</c:v>
                </c:pt>
                <c:pt idx="285">
                  <c:v>0.45453399999999999</c:v>
                </c:pt>
                <c:pt idx="286">
                  <c:v>0.48037200000000002</c:v>
                </c:pt>
                <c:pt idx="287">
                  <c:v>0.50316799999999995</c:v>
                </c:pt>
                <c:pt idx="288">
                  <c:v>0.49909100000000001</c:v>
                </c:pt>
                <c:pt idx="289">
                  <c:v>0.46301100000000001</c:v>
                </c:pt>
                <c:pt idx="290">
                  <c:v>0.47927399999999998</c:v>
                </c:pt>
                <c:pt idx="291">
                  <c:v>0.47925299999999998</c:v>
                </c:pt>
                <c:pt idx="292">
                  <c:v>0.50284200000000001</c:v>
                </c:pt>
                <c:pt idx="293">
                  <c:v>0.51237999999999995</c:v>
                </c:pt>
                <c:pt idx="294">
                  <c:v>0.50975099999999995</c:v>
                </c:pt>
                <c:pt idx="295">
                  <c:v>0.50149500000000002</c:v>
                </c:pt>
                <c:pt idx="296">
                  <c:v>0.46391199999999999</c:v>
                </c:pt>
                <c:pt idx="297">
                  <c:v>0.48137400000000002</c:v>
                </c:pt>
                <c:pt idx="298">
                  <c:v>0.46570299999999998</c:v>
                </c:pt>
                <c:pt idx="299">
                  <c:v>0.474221</c:v>
                </c:pt>
                <c:pt idx="300">
                  <c:v>0.487091</c:v>
                </c:pt>
                <c:pt idx="301">
                  <c:v>0.44728299999999999</c:v>
                </c:pt>
                <c:pt idx="302">
                  <c:v>0.45354299999999997</c:v>
                </c:pt>
                <c:pt idx="303">
                  <c:v>0.44195099999999998</c:v>
                </c:pt>
                <c:pt idx="304">
                  <c:v>0.44087599999999999</c:v>
                </c:pt>
                <c:pt idx="305">
                  <c:v>0.458951</c:v>
                </c:pt>
                <c:pt idx="306">
                  <c:v>0.46183000000000002</c:v>
                </c:pt>
                <c:pt idx="307">
                  <c:v>0.45159899999999997</c:v>
                </c:pt>
                <c:pt idx="308">
                  <c:v>0.446299</c:v>
                </c:pt>
                <c:pt idx="309">
                  <c:v>0.44681900000000002</c:v>
                </c:pt>
                <c:pt idx="310">
                  <c:v>0.44178200000000001</c:v>
                </c:pt>
                <c:pt idx="311">
                  <c:v>0.43730799999999997</c:v>
                </c:pt>
                <c:pt idx="312">
                  <c:v>0.43818299999999999</c:v>
                </c:pt>
                <c:pt idx="313">
                  <c:v>0.43442900000000001</c:v>
                </c:pt>
                <c:pt idx="314">
                  <c:v>0.430284</c:v>
                </c:pt>
                <c:pt idx="315">
                  <c:v>0.41964400000000002</c:v>
                </c:pt>
                <c:pt idx="316">
                  <c:v>0.42800300000000002</c:v>
                </c:pt>
                <c:pt idx="317">
                  <c:v>0.43577700000000003</c:v>
                </c:pt>
                <c:pt idx="318">
                  <c:v>0.43126500000000001</c:v>
                </c:pt>
                <c:pt idx="319">
                  <c:v>0.42869299999999999</c:v>
                </c:pt>
                <c:pt idx="320">
                  <c:v>0.42425299999999999</c:v>
                </c:pt>
                <c:pt idx="321">
                  <c:v>0.42179100000000003</c:v>
                </c:pt>
                <c:pt idx="322">
                  <c:v>0.42305399999999999</c:v>
                </c:pt>
                <c:pt idx="323">
                  <c:v>0.40173500000000001</c:v>
                </c:pt>
                <c:pt idx="324">
                  <c:v>0.39058300000000001</c:v>
                </c:pt>
                <c:pt idx="325">
                  <c:v>0.38132300000000002</c:v>
                </c:pt>
                <c:pt idx="326">
                  <c:v>0.37762899999999999</c:v>
                </c:pt>
                <c:pt idx="327">
                  <c:v>0.36684899999999998</c:v>
                </c:pt>
                <c:pt idx="328">
                  <c:v>0.363813</c:v>
                </c:pt>
                <c:pt idx="329">
                  <c:v>0.37027100000000002</c:v>
                </c:pt>
                <c:pt idx="330">
                  <c:v>0.37234299999999998</c:v>
                </c:pt>
                <c:pt idx="331">
                  <c:v>0.36189199999999999</c:v>
                </c:pt>
                <c:pt idx="332">
                  <c:v>0.35004400000000002</c:v>
                </c:pt>
                <c:pt idx="333">
                  <c:v>0.34025100000000003</c:v>
                </c:pt>
                <c:pt idx="334">
                  <c:v>0.34909800000000002</c:v>
                </c:pt>
                <c:pt idx="335">
                  <c:v>0.35139799999999999</c:v>
                </c:pt>
                <c:pt idx="336">
                  <c:v>0.36209599999999997</c:v>
                </c:pt>
                <c:pt idx="337">
                  <c:v>0.35783799999999999</c:v>
                </c:pt>
                <c:pt idx="338">
                  <c:v>0.40167199999999997</c:v>
                </c:pt>
                <c:pt idx="339">
                  <c:v>0.40351100000000001</c:v>
                </c:pt>
                <c:pt idx="340">
                  <c:v>0.38867099999999999</c:v>
                </c:pt>
                <c:pt idx="341">
                  <c:v>0.40450799999999998</c:v>
                </c:pt>
                <c:pt idx="342">
                  <c:v>0.41986400000000001</c:v>
                </c:pt>
                <c:pt idx="343">
                  <c:v>0.40603</c:v>
                </c:pt>
                <c:pt idx="344">
                  <c:v>0.40628900000000001</c:v>
                </c:pt>
                <c:pt idx="345">
                  <c:v>0.40138499999999999</c:v>
                </c:pt>
                <c:pt idx="346">
                  <c:v>0.38606000000000001</c:v>
                </c:pt>
                <c:pt idx="347">
                  <c:v>0.38939699999999999</c:v>
                </c:pt>
                <c:pt idx="348">
                  <c:v>0.42152499999999998</c:v>
                </c:pt>
                <c:pt idx="349">
                  <c:v>0.42674899999999999</c:v>
                </c:pt>
                <c:pt idx="350">
                  <c:v>0.40296599999999999</c:v>
                </c:pt>
                <c:pt idx="351">
                  <c:v>0.40423399999999998</c:v>
                </c:pt>
                <c:pt idx="352">
                  <c:v>0.37196099999999999</c:v>
                </c:pt>
                <c:pt idx="353">
                  <c:v>0.31789200000000001</c:v>
                </c:pt>
                <c:pt idx="354">
                  <c:v>0.36896699999999999</c:v>
                </c:pt>
                <c:pt idx="355">
                  <c:v>0.35489900000000002</c:v>
                </c:pt>
                <c:pt idx="356">
                  <c:v>0.33918199999999998</c:v>
                </c:pt>
                <c:pt idx="357">
                  <c:v>0.330123</c:v>
                </c:pt>
                <c:pt idx="358">
                  <c:v>0.331874</c:v>
                </c:pt>
                <c:pt idx="359">
                  <c:v>0.33696399999999999</c:v>
                </c:pt>
                <c:pt idx="360">
                  <c:v>0.33242100000000002</c:v>
                </c:pt>
                <c:pt idx="361">
                  <c:v>0.32486900000000002</c:v>
                </c:pt>
                <c:pt idx="362">
                  <c:v>0.32621699999999998</c:v>
                </c:pt>
                <c:pt idx="363">
                  <c:v>0.328513</c:v>
                </c:pt>
                <c:pt idx="364">
                  <c:v>0.31230000000000002</c:v>
                </c:pt>
                <c:pt idx="365">
                  <c:v>0.30452400000000002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AE-448E-A35C-777B8F365591}"/>
            </c:ext>
          </c:extLst>
        </c:ser>
        <c:ser>
          <c:idx val="3"/>
          <c:order val="3"/>
          <c:tx>
            <c:strRef>
              <c:f>worksheet!$AO$1</c:f>
              <c:strCache>
                <c:ptCount val="1"/>
                <c:pt idx="0">
                  <c:v>Tether Open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worksheet!$AK$2:$AK$367</c:f>
              <c:numCache>
                <c:formatCode>m/d/yyyy</c:formatCode>
                <c:ptCount val="366"/>
                <c:pt idx="0">
                  <c:v>44522</c:v>
                </c:pt>
                <c:pt idx="1">
                  <c:v>44523</c:v>
                </c:pt>
                <c:pt idx="2">
                  <c:v>44524</c:v>
                </c:pt>
                <c:pt idx="3">
                  <c:v>44525</c:v>
                </c:pt>
                <c:pt idx="4">
                  <c:v>44526</c:v>
                </c:pt>
                <c:pt idx="5">
                  <c:v>44527</c:v>
                </c:pt>
                <c:pt idx="6">
                  <c:v>44528</c:v>
                </c:pt>
                <c:pt idx="7">
                  <c:v>44529</c:v>
                </c:pt>
                <c:pt idx="8">
                  <c:v>44530</c:v>
                </c:pt>
                <c:pt idx="9">
                  <c:v>44531</c:v>
                </c:pt>
                <c:pt idx="10">
                  <c:v>44532</c:v>
                </c:pt>
                <c:pt idx="11">
                  <c:v>44533</c:v>
                </c:pt>
                <c:pt idx="12">
                  <c:v>44534</c:v>
                </c:pt>
                <c:pt idx="13">
                  <c:v>44535</c:v>
                </c:pt>
                <c:pt idx="14">
                  <c:v>44536</c:v>
                </c:pt>
                <c:pt idx="15">
                  <c:v>44537</c:v>
                </c:pt>
                <c:pt idx="16">
                  <c:v>44538</c:v>
                </c:pt>
                <c:pt idx="17">
                  <c:v>44539</c:v>
                </c:pt>
                <c:pt idx="18">
                  <c:v>44540</c:v>
                </c:pt>
                <c:pt idx="19">
                  <c:v>44541</c:v>
                </c:pt>
                <c:pt idx="20">
                  <c:v>44542</c:v>
                </c:pt>
                <c:pt idx="21">
                  <c:v>44543</c:v>
                </c:pt>
                <c:pt idx="22">
                  <c:v>44544</c:v>
                </c:pt>
                <c:pt idx="23">
                  <c:v>44545</c:v>
                </c:pt>
                <c:pt idx="24">
                  <c:v>44546</c:v>
                </c:pt>
                <c:pt idx="25">
                  <c:v>44547</c:v>
                </c:pt>
                <c:pt idx="26">
                  <c:v>44548</c:v>
                </c:pt>
                <c:pt idx="27">
                  <c:v>44549</c:v>
                </c:pt>
                <c:pt idx="28">
                  <c:v>44550</c:v>
                </c:pt>
                <c:pt idx="29">
                  <c:v>44551</c:v>
                </c:pt>
                <c:pt idx="30">
                  <c:v>44552</c:v>
                </c:pt>
                <c:pt idx="31">
                  <c:v>44553</c:v>
                </c:pt>
                <c:pt idx="32">
                  <c:v>44554</c:v>
                </c:pt>
                <c:pt idx="33">
                  <c:v>44555</c:v>
                </c:pt>
                <c:pt idx="34">
                  <c:v>44556</c:v>
                </c:pt>
                <c:pt idx="35">
                  <c:v>44557</c:v>
                </c:pt>
                <c:pt idx="36">
                  <c:v>44558</c:v>
                </c:pt>
                <c:pt idx="37">
                  <c:v>44559</c:v>
                </c:pt>
                <c:pt idx="38">
                  <c:v>44560</c:v>
                </c:pt>
                <c:pt idx="39">
                  <c:v>44561</c:v>
                </c:pt>
                <c:pt idx="40">
                  <c:v>44562</c:v>
                </c:pt>
                <c:pt idx="41">
                  <c:v>44563</c:v>
                </c:pt>
                <c:pt idx="42">
                  <c:v>44564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44569</c:v>
                </c:pt>
                <c:pt idx="48">
                  <c:v>44570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44576</c:v>
                </c:pt>
                <c:pt idx="55">
                  <c:v>44577</c:v>
                </c:pt>
                <c:pt idx="56">
                  <c:v>44578</c:v>
                </c:pt>
                <c:pt idx="57">
                  <c:v>44579</c:v>
                </c:pt>
                <c:pt idx="58">
                  <c:v>44580</c:v>
                </c:pt>
                <c:pt idx="59">
                  <c:v>44581</c:v>
                </c:pt>
                <c:pt idx="60">
                  <c:v>44582</c:v>
                </c:pt>
                <c:pt idx="61">
                  <c:v>44583</c:v>
                </c:pt>
                <c:pt idx="62">
                  <c:v>44584</c:v>
                </c:pt>
                <c:pt idx="63">
                  <c:v>44585</c:v>
                </c:pt>
                <c:pt idx="64">
                  <c:v>44586</c:v>
                </c:pt>
                <c:pt idx="65">
                  <c:v>44587</c:v>
                </c:pt>
                <c:pt idx="66">
                  <c:v>44588</c:v>
                </c:pt>
                <c:pt idx="67">
                  <c:v>44589</c:v>
                </c:pt>
                <c:pt idx="68">
                  <c:v>44590</c:v>
                </c:pt>
                <c:pt idx="69">
                  <c:v>44591</c:v>
                </c:pt>
                <c:pt idx="70">
                  <c:v>44592</c:v>
                </c:pt>
                <c:pt idx="71">
                  <c:v>44593</c:v>
                </c:pt>
                <c:pt idx="72">
                  <c:v>44594</c:v>
                </c:pt>
                <c:pt idx="73">
                  <c:v>44595</c:v>
                </c:pt>
                <c:pt idx="74">
                  <c:v>44596</c:v>
                </c:pt>
                <c:pt idx="75">
                  <c:v>44597</c:v>
                </c:pt>
                <c:pt idx="76">
                  <c:v>44598</c:v>
                </c:pt>
                <c:pt idx="77">
                  <c:v>44599</c:v>
                </c:pt>
                <c:pt idx="78">
                  <c:v>44600</c:v>
                </c:pt>
                <c:pt idx="79">
                  <c:v>44601</c:v>
                </c:pt>
                <c:pt idx="80">
                  <c:v>44602</c:v>
                </c:pt>
                <c:pt idx="81">
                  <c:v>44603</c:v>
                </c:pt>
                <c:pt idx="82">
                  <c:v>44604</c:v>
                </c:pt>
                <c:pt idx="83">
                  <c:v>44605</c:v>
                </c:pt>
                <c:pt idx="84">
                  <c:v>44606</c:v>
                </c:pt>
                <c:pt idx="85">
                  <c:v>44607</c:v>
                </c:pt>
                <c:pt idx="86">
                  <c:v>44608</c:v>
                </c:pt>
                <c:pt idx="87">
                  <c:v>44609</c:v>
                </c:pt>
                <c:pt idx="88">
                  <c:v>44610</c:v>
                </c:pt>
                <c:pt idx="89">
                  <c:v>44611</c:v>
                </c:pt>
                <c:pt idx="90">
                  <c:v>44612</c:v>
                </c:pt>
                <c:pt idx="91">
                  <c:v>44613</c:v>
                </c:pt>
                <c:pt idx="92">
                  <c:v>44614</c:v>
                </c:pt>
                <c:pt idx="93">
                  <c:v>44615</c:v>
                </c:pt>
                <c:pt idx="94">
                  <c:v>44616</c:v>
                </c:pt>
                <c:pt idx="95">
                  <c:v>44617</c:v>
                </c:pt>
                <c:pt idx="96">
                  <c:v>44618</c:v>
                </c:pt>
                <c:pt idx="97">
                  <c:v>44619</c:v>
                </c:pt>
                <c:pt idx="98">
                  <c:v>44620</c:v>
                </c:pt>
                <c:pt idx="99">
                  <c:v>44621</c:v>
                </c:pt>
                <c:pt idx="100">
                  <c:v>44622</c:v>
                </c:pt>
                <c:pt idx="101">
                  <c:v>44623</c:v>
                </c:pt>
                <c:pt idx="102">
                  <c:v>44624</c:v>
                </c:pt>
                <c:pt idx="103">
                  <c:v>44625</c:v>
                </c:pt>
                <c:pt idx="104">
                  <c:v>44626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44632</c:v>
                </c:pt>
                <c:pt idx="111">
                  <c:v>44633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44639</c:v>
                </c:pt>
                <c:pt idx="118">
                  <c:v>44640</c:v>
                </c:pt>
                <c:pt idx="119">
                  <c:v>44641</c:v>
                </c:pt>
                <c:pt idx="120">
                  <c:v>44642</c:v>
                </c:pt>
                <c:pt idx="121">
                  <c:v>44643</c:v>
                </c:pt>
                <c:pt idx="122">
                  <c:v>44644</c:v>
                </c:pt>
                <c:pt idx="123">
                  <c:v>44645</c:v>
                </c:pt>
                <c:pt idx="124">
                  <c:v>44646</c:v>
                </c:pt>
                <c:pt idx="125">
                  <c:v>44647</c:v>
                </c:pt>
                <c:pt idx="126">
                  <c:v>44648</c:v>
                </c:pt>
                <c:pt idx="127">
                  <c:v>44649</c:v>
                </c:pt>
                <c:pt idx="128">
                  <c:v>44650</c:v>
                </c:pt>
                <c:pt idx="129">
                  <c:v>44651</c:v>
                </c:pt>
                <c:pt idx="130">
                  <c:v>44652</c:v>
                </c:pt>
                <c:pt idx="131">
                  <c:v>44653</c:v>
                </c:pt>
                <c:pt idx="132">
                  <c:v>44654</c:v>
                </c:pt>
                <c:pt idx="133">
                  <c:v>44655</c:v>
                </c:pt>
                <c:pt idx="134">
                  <c:v>44656</c:v>
                </c:pt>
                <c:pt idx="135">
                  <c:v>44657</c:v>
                </c:pt>
                <c:pt idx="136">
                  <c:v>44658</c:v>
                </c:pt>
                <c:pt idx="137">
                  <c:v>44659</c:v>
                </c:pt>
                <c:pt idx="138">
                  <c:v>44660</c:v>
                </c:pt>
                <c:pt idx="139">
                  <c:v>44661</c:v>
                </c:pt>
                <c:pt idx="140">
                  <c:v>44662</c:v>
                </c:pt>
                <c:pt idx="141">
                  <c:v>44663</c:v>
                </c:pt>
                <c:pt idx="142">
                  <c:v>44664</c:v>
                </c:pt>
                <c:pt idx="143">
                  <c:v>44665</c:v>
                </c:pt>
                <c:pt idx="144">
                  <c:v>44666</c:v>
                </c:pt>
                <c:pt idx="145">
                  <c:v>44667</c:v>
                </c:pt>
                <c:pt idx="146">
                  <c:v>44668</c:v>
                </c:pt>
                <c:pt idx="147">
                  <c:v>44669</c:v>
                </c:pt>
                <c:pt idx="148">
                  <c:v>44670</c:v>
                </c:pt>
                <c:pt idx="149">
                  <c:v>44671</c:v>
                </c:pt>
                <c:pt idx="150">
                  <c:v>44672</c:v>
                </c:pt>
                <c:pt idx="151">
                  <c:v>44673</c:v>
                </c:pt>
                <c:pt idx="152">
                  <c:v>44674</c:v>
                </c:pt>
                <c:pt idx="153">
                  <c:v>44675</c:v>
                </c:pt>
                <c:pt idx="154">
                  <c:v>44676</c:v>
                </c:pt>
                <c:pt idx="155">
                  <c:v>44677</c:v>
                </c:pt>
                <c:pt idx="156">
                  <c:v>44678</c:v>
                </c:pt>
                <c:pt idx="157">
                  <c:v>44679</c:v>
                </c:pt>
                <c:pt idx="158">
                  <c:v>44680</c:v>
                </c:pt>
                <c:pt idx="159">
                  <c:v>44681</c:v>
                </c:pt>
                <c:pt idx="160">
                  <c:v>44682</c:v>
                </c:pt>
                <c:pt idx="161">
                  <c:v>44683</c:v>
                </c:pt>
                <c:pt idx="162">
                  <c:v>44684</c:v>
                </c:pt>
                <c:pt idx="163">
                  <c:v>44685</c:v>
                </c:pt>
                <c:pt idx="164">
                  <c:v>44686</c:v>
                </c:pt>
                <c:pt idx="165">
                  <c:v>44687</c:v>
                </c:pt>
                <c:pt idx="166">
                  <c:v>44688</c:v>
                </c:pt>
                <c:pt idx="167">
                  <c:v>44689</c:v>
                </c:pt>
                <c:pt idx="168">
                  <c:v>44690</c:v>
                </c:pt>
                <c:pt idx="169">
                  <c:v>44691</c:v>
                </c:pt>
                <c:pt idx="170">
                  <c:v>44692</c:v>
                </c:pt>
                <c:pt idx="171">
                  <c:v>44693</c:v>
                </c:pt>
                <c:pt idx="172">
                  <c:v>44694</c:v>
                </c:pt>
                <c:pt idx="173">
                  <c:v>44695</c:v>
                </c:pt>
                <c:pt idx="174">
                  <c:v>44696</c:v>
                </c:pt>
                <c:pt idx="175">
                  <c:v>44697</c:v>
                </c:pt>
                <c:pt idx="176">
                  <c:v>44698</c:v>
                </c:pt>
                <c:pt idx="177">
                  <c:v>44699</c:v>
                </c:pt>
                <c:pt idx="178">
                  <c:v>44700</c:v>
                </c:pt>
                <c:pt idx="179">
                  <c:v>44701</c:v>
                </c:pt>
                <c:pt idx="180">
                  <c:v>44702</c:v>
                </c:pt>
                <c:pt idx="181">
                  <c:v>44703</c:v>
                </c:pt>
                <c:pt idx="182">
                  <c:v>44704</c:v>
                </c:pt>
                <c:pt idx="183">
                  <c:v>44705</c:v>
                </c:pt>
                <c:pt idx="184">
                  <c:v>44706</c:v>
                </c:pt>
                <c:pt idx="185">
                  <c:v>44707</c:v>
                </c:pt>
                <c:pt idx="186">
                  <c:v>44708</c:v>
                </c:pt>
                <c:pt idx="187">
                  <c:v>44709</c:v>
                </c:pt>
                <c:pt idx="188">
                  <c:v>44710</c:v>
                </c:pt>
                <c:pt idx="189">
                  <c:v>44711</c:v>
                </c:pt>
                <c:pt idx="190">
                  <c:v>44712</c:v>
                </c:pt>
                <c:pt idx="191">
                  <c:v>44713</c:v>
                </c:pt>
                <c:pt idx="192">
                  <c:v>44714</c:v>
                </c:pt>
                <c:pt idx="193">
                  <c:v>44715</c:v>
                </c:pt>
                <c:pt idx="194">
                  <c:v>44716</c:v>
                </c:pt>
                <c:pt idx="195">
                  <c:v>44717</c:v>
                </c:pt>
                <c:pt idx="196">
                  <c:v>44718</c:v>
                </c:pt>
                <c:pt idx="197">
                  <c:v>44719</c:v>
                </c:pt>
                <c:pt idx="198">
                  <c:v>44720</c:v>
                </c:pt>
                <c:pt idx="199">
                  <c:v>44721</c:v>
                </c:pt>
                <c:pt idx="200">
                  <c:v>44722</c:v>
                </c:pt>
                <c:pt idx="201">
                  <c:v>44723</c:v>
                </c:pt>
                <c:pt idx="202">
                  <c:v>44724</c:v>
                </c:pt>
                <c:pt idx="203">
                  <c:v>44725</c:v>
                </c:pt>
                <c:pt idx="204">
                  <c:v>44726</c:v>
                </c:pt>
                <c:pt idx="205">
                  <c:v>44727</c:v>
                </c:pt>
                <c:pt idx="206">
                  <c:v>44728</c:v>
                </c:pt>
                <c:pt idx="207">
                  <c:v>44729</c:v>
                </c:pt>
                <c:pt idx="208">
                  <c:v>44730</c:v>
                </c:pt>
                <c:pt idx="209">
                  <c:v>44731</c:v>
                </c:pt>
                <c:pt idx="210">
                  <c:v>44732</c:v>
                </c:pt>
                <c:pt idx="211">
                  <c:v>44733</c:v>
                </c:pt>
                <c:pt idx="212">
                  <c:v>44734</c:v>
                </c:pt>
                <c:pt idx="213">
                  <c:v>44735</c:v>
                </c:pt>
                <c:pt idx="214">
                  <c:v>44736</c:v>
                </c:pt>
                <c:pt idx="215">
                  <c:v>44737</c:v>
                </c:pt>
                <c:pt idx="216">
                  <c:v>44738</c:v>
                </c:pt>
                <c:pt idx="217">
                  <c:v>44739</c:v>
                </c:pt>
                <c:pt idx="218">
                  <c:v>44740</c:v>
                </c:pt>
                <c:pt idx="219">
                  <c:v>44741</c:v>
                </c:pt>
                <c:pt idx="220">
                  <c:v>44742</c:v>
                </c:pt>
                <c:pt idx="221">
                  <c:v>44743</c:v>
                </c:pt>
                <c:pt idx="222">
                  <c:v>44744</c:v>
                </c:pt>
                <c:pt idx="223">
                  <c:v>44745</c:v>
                </c:pt>
                <c:pt idx="224">
                  <c:v>44746</c:v>
                </c:pt>
                <c:pt idx="225">
                  <c:v>44747</c:v>
                </c:pt>
                <c:pt idx="226">
                  <c:v>44748</c:v>
                </c:pt>
                <c:pt idx="227">
                  <c:v>44749</c:v>
                </c:pt>
                <c:pt idx="228">
                  <c:v>44750</c:v>
                </c:pt>
                <c:pt idx="229">
                  <c:v>44751</c:v>
                </c:pt>
                <c:pt idx="230">
                  <c:v>44752</c:v>
                </c:pt>
                <c:pt idx="231">
                  <c:v>44753</c:v>
                </c:pt>
                <c:pt idx="232">
                  <c:v>44754</c:v>
                </c:pt>
                <c:pt idx="233">
                  <c:v>44755</c:v>
                </c:pt>
                <c:pt idx="234">
                  <c:v>44756</c:v>
                </c:pt>
                <c:pt idx="235">
                  <c:v>44757</c:v>
                </c:pt>
                <c:pt idx="236">
                  <c:v>44758</c:v>
                </c:pt>
                <c:pt idx="237">
                  <c:v>44759</c:v>
                </c:pt>
                <c:pt idx="238">
                  <c:v>44760</c:v>
                </c:pt>
                <c:pt idx="239">
                  <c:v>44761</c:v>
                </c:pt>
                <c:pt idx="240">
                  <c:v>44762</c:v>
                </c:pt>
                <c:pt idx="241">
                  <c:v>44763</c:v>
                </c:pt>
                <c:pt idx="242">
                  <c:v>44764</c:v>
                </c:pt>
                <c:pt idx="243">
                  <c:v>44765</c:v>
                </c:pt>
                <c:pt idx="244">
                  <c:v>44766</c:v>
                </c:pt>
                <c:pt idx="245">
                  <c:v>44767</c:v>
                </c:pt>
                <c:pt idx="246">
                  <c:v>44768</c:v>
                </c:pt>
                <c:pt idx="247">
                  <c:v>44769</c:v>
                </c:pt>
                <c:pt idx="248">
                  <c:v>44770</c:v>
                </c:pt>
                <c:pt idx="249">
                  <c:v>44771</c:v>
                </c:pt>
                <c:pt idx="250">
                  <c:v>44772</c:v>
                </c:pt>
                <c:pt idx="251">
                  <c:v>44773</c:v>
                </c:pt>
                <c:pt idx="252">
                  <c:v>44774</c:v>
                </c:pt>
                <c:pt idx="253">
                  <c:v>44775</c:v>
                </c:pt>
                <c:pt idx="254">
                  <c:v>44776</c:v>
                </c:pt>
                <c:pt idx="255">
                  <c:v>44777</c:v>
                </c:pt>
                <c:pt idx="256">
                  <c:v>44778</c:v>
                </c:pt>
                <c:pt idx="257">
                  <c:v>44779</c:v>
                </c:pt>
                <c:pt idx="258">
                  <c:v>44780</c:v>
                </c:pt>
                <c:pt idx="259">
                  <c:v>44781</c:v>
                </c:pt>
                <c:pt idx="260">
                  <c:v>44782</c:v>
                </c:pt>
                <c:pt idx="261">
                  <c:v>44783</c:v>
                </c:pt>
                <c:pt idx="262">
                  <c:v>44784</c:v>
                </c:pt>
                <c:pt idx="263">
                  <c:v>44785</c:v>
                </c:pt>
                <c:pt idx="264">
                  <c:v>44786</c:v>
                </c:pt>
                <c:pt idx="265">
                  <c:v>44787</c:v>
                </c:pt>
                <c:pt idx="266">
                  <c:v>44788</c:v>
                </c:pt>
                <c:pt idx="267">
                  <c:v>44789</c:v>
                </c:pt>
                <c:pt idx="268">
                  <c:v>44790</c:v>
                </c:pt>
                <c:pt idx="269">
                  <c:v>44791</c:v>
                </c:pt>
                <c:pt idx="270">
                  <c:v>44792</c:v>
                </c:pt>
                <c:pt idx="271">
                  <c:v>44793</c:v>
                </c:pt>
                <c:pt idx="272">
                  <c:v>44794</c:v>
                </c:pt>
                <c:pt idx="273">
                  <c:v>44795</c:v>
                </c:pt>
                <c:pt idx="274">
                  <c:v>44796</c:v>
                </c:pt>
                <c:pt idx="275">
                  <c:v>44797</c:v>
                </c:pt>
                <c:pt idx="276">
                  <c:v>44798</c:v>
                </c:pt>
                <c:pt idx="277">
                  <c:v>44799</c:v>
                </c:pt>
                <c:pt idx="278">
                  <c:v>44800</c:v>
                </c:pt>
                <c:pt idx="279">
                  <c:v>44801</c:v>
                </c:pt>
                <c:pt idx="280">
                  <c:v>44802</c:v>
                </c:pt>
                <c:pt idx="281">
                  <c:v>44803</c:v>
                </c:pt>
                <c:pt idx="282">
                  <c:v>44804</c:v>
                </c:pt>
                <c:pt idx="283">
                  <c:v>44805</c:v>
                </c:pt>
                <c:pt idx="284">
                  <c:v>44806</c:v>
                </c:pt>
                <c:pt idx="285">
                  <c:v>44807</c:v>
                </c:pt>
                <c:pt idx="286">
                  <c:v>44808</c:v>
                </c:pt>
                <c:pt idx="287">
                  <c:v>44809</c:v>
                </c:pt>
                <c:pt idx="288">
                  <c:v>44810</c:v>
                </c:pt>
                <c:pt idx="289">
                  <c:v>44811</c:v>
                </c:pt>
                <c:pt idx="290">
                  <c:v>44812</c:v>
                </c:pt>
                <c:pt idx="291">
                  <c:v>44813</c:v>
                </c:pt>
                <c:pt idx="292">
                  <c:v>44814</c:v>
                </c:pt>
                <c:pt idx="293">
                  <c:v>44815</c:v>
                </c:pt>
                <c:pt idx="294">
                  <c:v>44816</c:v>
                </c:pt>
                <c:pt idx="295">
                  <c:v>44817</c:v>
                </c:pt>
                <c:pt idx="296">
                  <c:v>44818</c:v>
                </c:pt>
                <c:pt idx="297">
                  <c:v>44819</c:v>
                </c:pt>
                <c:pt idx="298">
                  <c:v>44820</c:v>
                </c:pt>
                <c:pt idx="299">
                  <c:v>44821</c:v>
                </c:pt>
                <c:pt idx="300">
                  <c:v>44822</c:v>
                </c:pt>
                <c:pt idx="301">
                  <c:v>44823</c:v>
                </c:pt>
                <c:pt idx="302">
                  <c:v>44824</c:v>
                </c:pt>
                <c:pt idx="303">
                  <c:v>44825</c:v>
                </c:pt>
                <c:pt idx="304">
                  <c:v>44826</c:v>
                </c:pt>
                <c:pt idx="305">
                  <c:v>44827</c:v>
                </c:pt>
                <c:pt idx="306">
                  <c:v>44828</c:v>
                </c:pt>
                <c:pt idx="307">
                  <c:v>44829</c:v>
                </c:pt>
                <c:pt idx="308">
                  <c:v>44830</c:v>
                </c:pt>
                <c:pt idx="309">
                  <c:v>44831</c:v>
                </c:pt>
                <c:pt idx="310">
                  <c:v>44832</c:v>
                </c:pt>
                <c:pt idx="311">
                  <c:v>44833</c:v>
                </c:pt>
                <c:pt idx="312">
                  <c:v>44834</c:v>
                </c:pt>
                <c:pt idx="313">
                  <c:v>44835</c:v>
                </c:pt>
                <c:pt idx="314">
                  <c:v>44836</c:v>
                </c:pt>
                <c:pt idx="315">
                  <c:v>44837</c:v>
                </c:pt>
                <c:pt idx="316">
                  <c:v>44838</c:v>
                </c:pt>
                <c:pt idx="317">
                  <c:v>44839</c:v>
                </c:pt>
                <c:pt idx="318">
                  <c:v>44840</c:v>
                </c:pt>
                <c:pt idx="319">
                  <c:v>44841</c:v>
                </c:pt>
                <c:pt idx="320">
                  <c:v>44842</c:v>
                </c:pt>
                <c:pt idx="321">
                  <c:v>44843</c:v>
                </c:pt>
                <c:pt idx="322">
                  <c:v>44844</c:v>
                </c:pt>
                <c:pt idx="323">
                  <c:v>44845</c:v>
                </c:pt>
                <c:pt idx="324">
                  <c:v>44846</c:v>
                </c:pt>
                <c:pt idx="325">
                  <c:v>44847</c:v>
                </c:pt>
                <c:pt idx="326">
                  <c:v>44848</c:v>
                </c:pt>
                <c:pt idx="327">
                  <c:v>44849</c:v>
                </c:pt>
                <c:pt idx="328">
                  <c:v>44850</c:v>
                </c:pt>
                <c:pt idx="329">
                  <c:v>44851</c:v>
                </c:pt>
                <c:pt idx="330">
                  <c:v>44852</c:v>
                </c:pt>
                <c:pt idx="331">
                  <c:v>44853</c:v>
                </c:pt>
                <c:pt idx="332">
                  <c:v>44854</c:v>
                </c:pt>
                <c:pt idx="333">
                  <c:v>44855</c:v>
                </c:pt>
                <c:pt idx="334">
                  <c:v>44856</c:v>
                </c:pt>
                <c:pt idx="335">
                  <c:v>44857</c:v>
                </c:pt>
                <c:pt idx="336">
                  <c:v>44858</c:v>
                </c:pt>
                <c:pt idx="337">
                  <c:v>44859</c:v>
                </c:pt>
                <c:pt idx="338">
                  <c:v>44860</c:v>
                </c:pt>
                <c:pt idx="339">
                  <c:v>44861</c:v>
                </c:pt>
                <c:pt idx="340">
                  <c:v>44862</c:v>
                </c:pt>
                <c:pt idx="341">
                  <c:v>44863</c:v>
                </c:pt>
                <c:pt idx="342">
                  <c:v>44864</c:v>
                </c:pt>
                <c:pt idx="343">
                  <c:v>44865</c:v>
                </c:pt>
                <c:pt idx="344">
                  <c:v>44866</c:v>
                </c:pt>
                <c:pt idx="345">
                  <c:v>44867</c:v>
                </c:pt>
                <c:pt idx="346">
                  <c:v>44868</c:v>
                </c:pt>
                <c:pt idx="347">
                  <c:v>44869</c:v>
                </c:pt>
                <c:pt idx="348">
                  <c:v>44870</c:v>
                </c:pt>
                <c:pt idx="349">
                  <c:v>44871</c:v>
                </c:pt>
                <c:pt idx="350">
                  <c:v>44872</c:v>
                </c:pt>
                <c:pt idx="351">
                  <c:v>44873</c:v>
                </c:pt>
                <c:pt idx="352">
                  <c:v>44874</c:v>
                </c:pt>
                <c:pt idx="353">
                  <c:v>44875</c:v>
                </c:pt>
                <c:pt idx="354">
                  <c:v>44876</c:v>
                </c:pt>
                <c:pt idx="355">
                  <c:v>44877</c:v>
                </c:pt>
                <c:pt idx="356">
                  <c:v>44878</c:v>
                </c:pt>
                <c:pt idx="357">
                  <c:v>44879</c:v>
                </c:pt>
                <c:pt idx="358">
                  <c:v>44880</c:v>
                </c:pt>
                <c:pt idx="359">
                  <c:v>44881</c:v>
                </c:pt>
                <c:pt idx="360">
                  <c:v>44882</c:v>
                </c:pt>
                <c:pt idx="361">
                  <c:v>44883</c:v>
                </c:pt>
                <c:pt idx="362">
                  <c:v>44884</c:v>
                </c:pt>
                <c:pt idx="363">
                  <c:v>44885</c:v>
                </c:pt>
                <c:pt idx="364">
                  <c:v>44886</c:v>
                </c:pt>
                <c:pt idx="365">
                  <c:v>44887</c:v>
                </c:pt>
              </c:numCache>
            </c:numRef>
          </c:cat>
          <c:val>
            <c:numRef>
              <c:f>worksheet!$AO$2:$AO$367</c:f>
              <c:numCache>
                <c:formatCode>General</c:formatCode>
                <c:ptCount val="366"/>
                <c:pt idx="0">
                  <c:v>1.001288</c:v>
                </c:pt>
                <c:pt idx="1">
                  <c:v>1.000507</c:v>
                </c:pt>
                <c:pt idx="2">
                  <c:v>0.99998600000000004</c:v>
                </c:pt>
                <c:pt idx="3">
                  <c:v>0.99948300000000001</c:v>
                </c:pt>
                <c:pt idx="4">
                  <c:v>1.0009859999999999</c:v>
                </c:pt>
                <c:pt idx="5">
                  <c:v>1.0002869999999999</c:v>
                </c:pt>
                <c:pt idx="6">
                  <c:v>1.0012810000000001</c:v>
                </c:pt>
                <c:pt idx="7">
                  <c:v>0.99992899999999996</c:v>
                </c:pt>
                <c:pt idx="8">
                  <c:v>1.000583</c:v>
                </c:pt>
                <c:pt idx="9">
                  <c:v>1.0004489999999999</c:v>
                </c:pt>
                <c:pt idx="10">
                  <c:v>1.0002340000000001</c:v>
                </c:pt>
                <c:pt idx="11">
                  <c:v>0.99999300000000002</c:v>
                </c:pt>
                <c:pt idx="12">
                  <c:v>1.000505</c:v>
                </c:pt>
                <c:pt idx="13">
                  <c:v>0.999861</c:v>
                </c:pt>
                <c:pt idx="14">
                  <c:v>1.000632</c:v>
                </c:pt>
                <c:pt idx="15">
                  <c:v>1.0012399999999999</c:v>
                </c:pt>
                <c:pt idx="16">
                  <c:v>1.0009410000000001</c:v>
                </c:pt>
                <c:pt idx="17">
                  <c:v>0.99897000000000002</c:v>
                </c:pt>
                <c:pt idx="18">
                  <c:v>1.000591</c:v>
                </c:pt>
                <c:pt idx="19">
                  <c:v>1.001641</c:v>
                </c:pt>
                <c:pt idx="20">
                  <c:v>1.0009589999999999</c:v>
                </c:pt>
                <c:pt idx="21">
                  <c:v>1.0006170000000001</c:v>
                </c:pt>
                <c:pt idx="22">
                  <c:v>1.00038</c:v>
                </c:pt>
                <c:pt idx="23">
                  <c:v>1.0004630000000001</c:v>
                </c:pt>
                <c:pt idx="24">
                  <c:v>1.00023</c:v>
                </c:pt>
                <c:pt idx="25">
                  <c:v>1.0000929999999999</c:v>
                </c:pt>
                <c:pt idx="26">
                  <c:v>1.000356</c:v>
                </c:pt>
                <c:pt idx="27">
                  <c:v>1.00004</c:v>
                </c:pt>
                <c:pt idx="28">
                  <c:v>1.0000789999999999</c:v>
                </c:pt>
                <c:pt idx="29">
                  <c:v>0.99887999999999999</c:v>
                </c:pt>
                <c:pt idx="30">
                  <c:v>1.0005440000000001</c:v>
                </c:pt>
                <c:pt idx="31">
                  <c:v>1.00047</c:v>
                </c:pt>
                <c:pt idx="32">
                  <c:v>1.0002800000000001</c:v>
                </c:pt>
                <c:pt idx="33">
                  <c:v>1.001028</c:v>
                </c:pt>
                <c:pt idx="34">
                  <c:v>0.99999000000000005</c:v>
                </c:pt>
                <c:pt idx="35">
                  <c:v>1.000329</c:v>
                </c:pt>
                <c:pt idx="36">
                  <c:v>0.99957099999999999</c:v>
                </c:pt>
                <c:pt idx="37">
                  <c:v>1.0012529999999999</c:v>
                </c:pt>
                <c:pt idx="38">
                  <c:v>1.0001990000000001</c:v>
                </c:pt>
                <c:pt idx="39">
                  <c:v>1.000955</c:v>
                </c:pt>
                <c:pt idx="40">
                  <c:v>1.0000929999999999</c:v>
                </c:pt>
                <c:pt idx="41">
                  <c:v>1.000491</c:v>
                </c:pt>
                <c:pt idx="42">
                  <c:v>1.000453</c:v>
                </c:pt>
                <c:pt idx="43">
                  <c:v>1.0001610000000001</c:v>
                </c:pt>
                <c:pt idx="44">
                  <c:v>1.000205</c:v>
                </c:pt>
                <c:pt idx="45">
                  <c:v>1.0001230000000001</c:v>
                </c:pt>
                <c:pt idx="46">
                  <c:v>1.000208</c:v>
                </c:pt>
                <c:pt idx="47">
                  <c:v>1.0002599999999999</c:v>
                </c:pt>
                <c:pt idx="48">
                  <c:v>1.000097</c:v>
                </c:pt>
                <c:pt idx="49">
                  <c:v>1.000256</c:v>
                </c:pt>
                <c:pt idx="50">
                  <c:v>1.0001789999999999</c:v>
                </c:pt>
                <c:pt idx="51">
                  <c:v>1.0003690000000001</c:v>
                </c:pt>
                <c:pt idx="52">
                  <c:v>1.0002869999999999</c:v>
                </c:pt>
                <c:pt idx="53">
                  <c:v>1.0004109999999999</c:v>
                </c:pt>
                <c:pt idx="54">
                  <c:v>1.0003010000000001</c:v>
                </c:pt>
                <c:pt idx="55">
                  <c:v>1.0007269999999999</c:v>
                </c:pt>
                <c:pt idx="56">
                  <c:v>1.000434</c:v>
                </c:pt>
                <c:pt idx="57">
                  <c:v>1.000351</c:v>
                </c:pt>
                <c:pt idx="58">
                  <c:v>1.000413</c:v>
                </c:pt>
                <c:pt idx="59">
                  <c:v>1.00048</c:v>
                </c:pt>
                <c:pt idx="60">
                  <c:v>1.0002500000000001</c:v>
                </c:pt>
                <c:pt idx="61">
                  <c:v>1.0001819999999999</c:v>
                </c:pt>
                <c:pt idx="62">
                  <c:v>1.0001549999999999</c:v>
                </c:pt>
                <c:pt idx="63">
                  <c:v>1.0004980000000001</c:v>
                </c:pt>
                <c:pt idx="64">
                  <c:v>1.0004420000000001</c:v>
                </c:pt>
                <c:pt idx="65">
                  <c:v>1.0005949999999999</c:v>
                </c:pt>
                <c:pt idx="66">
                  <c:v>1.000632</c:v>
                </c:pt>
                <c:pt idx="67">
                  <c:v>1.000343</c:v>
                </c:pt>
                <c:pt idx="68">
                  <c:v>1.00034</c:v>
                </c:pt>
                <c:pt idx="69">
                  <c:v>1.0004550000000001</c:v>
                </c:pt>
                <c:pt idx="70">
                  <c:v>1.0003439999999999</c:v>
                </c:pt>
                <c:pt idx="71">
                  <c:v>1.000505</c:v>
                </c:pt>
                <c:pt idx="72">
                  <c:v>1.000427</c:v>
                </c:pt>
                <c:pt idx="73">
                  <c:v>1.00038</c:v>
                </c:pt>
                <c:pt idx="74">
                  <c:v>1.0003869999999999</c:v>
                </c:pt>
                <c:pt idx="75">
                  <c:v>1.000564</c:v>
                </c:pt>
                <c:pt idx="76">
                  <c:v>1.0005869999999999</c:v>
                </c:pt>
                <c:pt idx="77">
                  <c:v>1.000677</c:v>
                </c:pt>
                <c:pt idx="78">
                  <c:v>1.0005539999999999</c:v>
                </c:pt>
                <c:pt idx="79">
                  <c:v>1.000605</c:v>
                </c:pt>
                <c:pt idx="80">
                  <c:v>1.0007299999999999</c:v>
                </c:pt>
                <c:pt idx="81">
                  <c:v>1.0007299999999999</c:v>
                </c:pt>
                <c:pt idx="82">
                  <c:v>1.0007200000000001</c:v>
                </c:pt>
                <c:pt idx="83">
                  <c:v>1.000597</c:v>
                </c:pt>
                <c:pt idx="84">
                  <c:v>1.0004440000000001</c:v>
                </c:pt>
                <c:pt idx="85">
                  <c:v>1.000513</c:v>
                </c:pt>
                <c:pt idx="86">
                  <c:v>1.0005999999999999</c:v>
                </c:pt>
                <c:pt idx="87">
                  <c:v>1.0004029999999999</c:v>
                </c:pt>
                <c:pt idx="88">
                  <c:v>1.0005040000000001</c:v>
                </c:pt>
                <c:pt idx="89">
                  <c:v>1.0005459999999999</c:v>
                </c:pt>
                <c:pt idx="90">
                  <c:v>1.0005850000000001</c:v>
                </c:pt>
                <c:pt idx="91">
                  <c:v>1.000402</c:v>
                </c:pt>
                <c:pt idx="92">
                  <c:v>1.000459</c:v>
                </c:pt>
                <c:pt idx="93">
                  <c:v>1.000712</c:v>
                </c:pt>
                <c:pt idx="94">
                  <c:v>1.0005809999999999</c:v>
                </c:pt>
                <c:pt idx="95">
                  <c:v>1.0006409999999999</c:v>
                </c:pt>
                <c:pt idx="96">
                  <c:v>1.000486</c:v>
                </c:pt>
                <c:pt idx="97">
                  <c:v>1.0003930000000001</c:v>
                </c:pt>
                <c:pt idx="98">
                  <c:v>1.000507</c:v>
                </c:pt>
                <c:pt idx="99">
                  <c:v>1.000359</c:v>
                </c:pt>
                <c:pt idx="100">
                  <c:v>1.0004519999999999</c:v>
                </c:pt>
                <c:pt idx="101">
                  <c:v>1.0004729999999999</c:v>
                </c:pt>
                <c:pt idx="102">
                  <c:v>1.0000150000000001</c:v>
                </c:pt>
                <c:pt idx="103">
                  <c:v>1.000197</c:v>
                </c:pt>
                <c:pt idx="104">
                  <c:v>1.000272</c:v>
                </c:pt>
                <c:pt idx="105">
                  <c:v>1.000251</c:v>
                </c:pt>
                <c:pt idx="106">
                  <c:v>1.0000899999999999</c:v>
                </c:pt>
                <c:pt idx="107">
                  <c:v>1.0002850000000001</c:v>
                </c:pt>
                <c:pt idx="108">
                  <c:v>1.0002850000000001</c:v>
                </c:pt>
                <c:pt idx="109">
                  <c:v>1.00058</c:v>
                </c:pt>
                <c:pt idx="110">
                  <c:v>1.0002139999999999</c:v>
                </c:pt>
                <c:pt idx="111">
                  <c:v>1.000062</c:v>
                </c:pt>
                <c:pt idx="112">
                  <c:v>1.0001899999999999</c:v>
                </c:pt>
                <c:pt idx="113">
                  <c:v>1.000216</c:v>
                </c:pt>
                <c:pt idx="114">
                  <c:v>1.000332</c:v>
                </c:pt>
                <c:pt idx="115">
                  <c:v>1.0004280000000001</c:v>
                </c:pt>
                <c:pt idx="116">
                  <c:v>1.00048</c:v>
                </c:pt>
                <c:pt idx="117">
                  <c:v>1.0004869999999999</c:v>
                </c:pt>
                <c:pt idx="118">
                  <c:v>1.000505</c:v>
                </c:pt>
                <c:pt idx="119">
                  <c:v>1.0004169999999999</c:v>
                </c:pt>
                <c:pt idx="120">
                  <c:v>1.0003500000000001</c:v>
                </c:pt>
                <c:pt idx="121">
                  <c:v>1.0003500000000001</c:v>
                </c:pt>
                <c:pt idx="122">
                  <c:v>1.000453</c:v>
                </c:pt>
                <c:pt idx="123">
                  <c:v>1.000604</c:v>
                </c:pt>
                <c:pt idx="124">
                  <c:v>1.0004230000000001</c:v>
                </c:pt>
                <c:pt idx="125">
                  <c:v>1.0003610000000001</c:v>
                </c:pt>
                <c:pt idx="126">
                  <c:v>1.0003649999999999</c:v>
                </c:pt>
                <c:pt idx="127">
                  <c:v>1.0004059999999999</c:v>
                </c:pt>
                <c:pt idx="128">
                  <c:v>1.0004280000000001</c:v>
                </c:pt>
                <c:pt idx="129">
                  <c:v>1.000272</c:v>
                </c:pt>
                <c:pt idx="130">
                  <c:v>1.0003059999999999</c:v>
                </c:pt>
                <c:pt idx="131">
                  <c:v>1.0003690000000001</c:v>
                </c:pt>
                <c:pt idx="132">
                  <c:v>1.000348</c:v>
                </c:pt>
                <c:pt idx="133">
                  <c:v>1.0002759999999999</c:v>
                </c:pt>
                <c:pt idx="134">
                  <c:v>1.0002219999999999</c:v>
                </c:pt>
                <c:pt idx="135">
                  <c:v>1.0001990000000001</c:v>
                </c:pt>
                <c:pt idx="136">
                  <c:v>1.000149</c:v>
                </c:pt>
                <c:pt idx="137">
                  <c:v>1.0002610000000001</c:v>
                </c:pt>
                <c:pt idx="138">
                  <c:v>1.000284</c:v>
                </c:pt>
                <c:pt idx="139">
                  <c:v>1.000354</c:v>
                </c:pt>
                <c:pt idx="140">
                  <c:v>1.000299</c:v>
                </c:pt>
                <c:pt idx="141">
                  <c:v>1.000351</c:v>
                </c:pt>
                <c:pt idx="142">
                  <c:v>1.0004420000000001</c:v>
                </c:pt>
                <c:pt idx="143">
                  <c:v>1.0002759999999999</c:v>
                </c:pt>
                <c:pt idx="144">
                  <c:v>1.0001199999999999</c:v>
                </c:pt>
                <c:pt idx="145">
                  <c:v>1.000237</c:v>
                </c:pt>
                <c:pt idx="146">
                  <c:v>1.000291</c:v>
                </c:pt>
                <c:pt idx="147">
                  <c:v>1.000321</c:v>
                </c:pt>
                <c:pt idx="148">
                  <c:v>1.0002139999999999</c:v>
                </c:pt>
                <c:pt idx="149">
                  <c:v>1.000351</c:v>
                </c:pt>
                <c:pt idx="150">
                  <c:v>1.000203</c:v>
                </c:pt>
                <c:pt idx="151">
                  <c:v>1.0001420000000001</c:v>
                </c:pt>
                <c:pt idx="152">
                  <c:v>1.000221</c:v>
                </c:pt>
                <c:pt idx="153">
                  <c:v>1.0002180000000001</c:v>
                </c:pt>
                <c:pt idx="154">
                  <c:v>1.000346</c:v>
                </c:pt>
                <c:pt idx="155">
                  <c:v>1.0001310000000001</c:v>
                </c:pt>
                <c:pt idx="156">
                  <c:v>1.000059</c:v>
                </c:pt>
                <c:pt idx="157">
                  <c:v>1.0001549999999999</c:v>
                </c:pt>
                <c:pt idx="158">
                  <c:v>1.0002</c:v>
                </c:pt>
                <c:pt idx="159">
                  <c:v>1.0000009999999999</c:v>
                </c:pt>
                <c:pt idx="160">
                  <c:v>1.0001519999999999</c:v>
                </c:pt>
                <c:pt idx="161">
                  <c:v>1.0001</c:v>
                </c:pt>
                <c:pt idx="162">
                  <c:v>0.99995199999999995</c:v>
                </c:pt>
                <c:pt idx="163">
                  <c:v>1.000021</c:v>
                </c:pt>
                <c:pt idx="164">
                  <c:v>1.0000389999999999</c:v>
                </c:pt>
                <c:pt idx="165">
                  <c:v>0.99999000000000005</c:v>
                </c:pt>
                <c:pt idx="166">
                  <c:v>0.99997100000000005</c:v>
                </c:pt>
                <c:pt idx="167">
                  <c:v>0.999919</c:v>
                </c:pt>
                <c:pt idx="168">
                  <c:v>0.99987000000000004</c:v>
                </c:pt>
                <c:pt idx="169">
                  <c:v>0.99994499999999997</c:v>
                </c:pt>
                <c:pt idx="170">
                  <c:v>0.99978999999999996</c:v>
                </c:pt>
                <c:pt idx="171">
                  <c:v>0.99587899999999996</c:v>
                </c:pt>
                <c:pt idx="172">
                  <c:v>0.99752700000000005</c:v>
                </c:pt>
                <c:pt idx="173">
                  <c:v>0.99824199999999996</c:v>
                </c:pt>
                <c:pt idx="174">
                  <c:v>0.99878</c:v>
                </c:pt>
                <c:pt idx="175">
                  <c:v>0.99908399999999997</c:v>
                </c:pt>
                <c:pt idx="176">
                  <c:v>0.99877199999999999</c:v>
                </c:pt>
                <c:pt idx="177">
                  <c:v>0.99890199999999996</c:v>
                </c:pt>
                <c:pt idx="178">
                  <c:v>0.99878599999999995</c:v>
                </c:pt>
                <c:pt idx="179">
                  <c:v>0.99895599999999996</c:v>
                </c:pt>
                <c:pt idx="180">
                  <c:v>0.99889399999999995</c:v>
                </c:pt>
                <c:pt idx="181">
                  <c:v>0.99878699999999998</c:v>
                </c:pt>
                <c:pt idx="182">
                  <c:v>0.99906499999999998</c:v>
                </c:pt>
                <c:pt idx="183">
                  <c:v>0.99904800000000005</c:v>
                </c:pt>
                <c:pt idx="184">
                  <c:v>0.99909300000000001</c:v>
                </c:pt>
                <c:pt idx="185">
                  <c:v>0.99896700000000005</c:v>
                </c:pt>
                <c:pt idx="186">
                  <c:v>0.99890199999999996</c:v>
                </c:pt>
                <c:pt idx="187">
                  <c:v>0.99901099999999998</c:v>
                </c:pt>
                <c:pt idx="188">
                  <c:v>0.99900800000000001</c:v>
                </c:pt>
                <c:pt idx="189">
                  <c:v>0.99918700000000005</c:v>
                </c:pt>
                <c:pt idx="190">
                  <c:v>0.99937799999999999</c:v>
                </c:pt>
                <c:pt idx="191">
                  <c:v>0.99938099999999996</c:v>
                </c:pt>
                <c:pt idx="192">
                  <c:v>0.99923200000000001</c:v>
                </c:pt>
                <c:pt idx="193">
                  <c:v>0.99929500000000004</c:v>
                </c:pt>
                <c:pt idx="194">
                  <c:v>0.99917400000000001</c:v>
                </c:pt>
                <c:pt idx="195">
                  <c:v>0.999309</c:v>
                </c:pt>
                <c:pt idx="196">
                  <c:v>0.99928600000000001</c:v>
                </c:pt>
                <c:pt idx="197">
                  <c:v>0.99929800000000002</c:v>
                </c:pt>
                <c:pt idx="198">
                  <c:v>0.99941500000000005</c:v>
                </c:pt>
                <c:pt idx="199">
                  <c:v>0.99927299999999997</c:v>
                </c:pt>
                <c:pt idx="200">
                  <c:v>0.99935200000000002</c:v>
                </c:pt>
                <c:pt idx="201">
                  <c:v>0.99918200000000001</c:v>
                </c:pt>
                <c:pt idx="202">
                  <c:v>0.99901399999999996</c:v>
                </c:pt>
                <c:pt idx="203">
                  <c:v>0.99906899999999998</c:v>
                </c:pt>
                <c:pt idx="204">
                  <c:v>0.99860199999999999</c:v>
                </c:pt>
                <c:pt idx="205">
                  <c:v>0.99893399999999999</c:v>
                </c:pt>
                <c:pt idx="206">
                  <c:v>0.99892000000000003</c:v>
                </c:pt>
                <c:pt idx="207">
                  <c:v>0.99895100000000003</c:v>
                </c:pt>
                <c:pt idx="208">
                  <c:v>0.99901799999999996</c:v>
                </c:pt>
                <c:pt idx="209">
                  <c:v>0.99865599999999999</c:v>
                </c:pt>
                <c:pt idx="210">
                  <c:v>0.99894700000000003</c:v>
                </c:pt>
                <c:pt idx="211">
                  <c:v>0.99897100000000005</c:v>
                </c:pt>
                <c:pt idx="212">
                  <c:v>0.99909300000000001</c:v>
                </c:pt>
                <c:pt idx="213">
                  <c:v>0.99909599999999998</c:v>
                </c:pt>
                <c:pt idx="214">
                  <c:v>0.99925900000000001</c:v>
                </c:pt>
                <c:pt idx="215">
                  <c:v>0.999336</c:v>
                </c:pt>
                <c:pt idx="216">
                  <c:v>0.99955099999999997</c:v>
                </c:pt>
                <c:pt idx="217">
                  <c:v>0.99945799999999996</c:v>
                </c:pt>
                <c:pt idx="218">
                  <c:v>0.99910399999999999</c:v>
                </c:pt>
                <c:pt idx="219">
                  <c:v>0.99884399999999995</c:v>
                </c:pt>
                <c:pt idx="220">
                  <c:v>0.998888</c:v>
                </c:pt>
                <c:pt idx="221">
                  <c:v>0.99885999999999997</c:v>
                </c:pt>
                <c:pt idx="222">
                  <c:v>0.99885500000000005</c:v>
                </c:pt>
                <c:pt idx="223">
                  <c:v>0.99895299999999998</c:v>
                </c:pt>
                <c:pt idx="224">
                  <c:v>0.99907100000000004</c:v>
                </c:pt>
                <c:pt idx="225">
                  <c:v>0.99911799999999995</c:v>
                </c:pt>
                <c:pt idx="226">
                  <c:v>0.99909499999999996</c:v>
                </c:pt>
                <c:pt idx="227">
                  <c:v>0.999089</c:v>
                </c:pt>
                <c:pt idx="228">
                  <c:v>0.99941100000000005</c:v>
                </c:pt>
                <c:pt idx="229">
                  <c:v>0.99942200000000003</c:v>
                </c:pt>
                <c:pt idx="230">
                  <c:v>0.99953899999999996</c:v>
                </c:pt>
                <c:pt idx="231">
                  <c:v>0.99945600000000001</c:v>
                </c:pt>
                <c:pt idx="232">
                  <c:v>0.99922500000000003</c:v>
                </c:pt>
                <c:pt idx="233">
                  <c:v>0.99934199999999995</c:v>
                </c:pt>
                <c:pt idx="234">
                  <c:v>0.999394</c:v>
                </c:pt>
                <c:pt idx="235">
                  <c:v>0.99938499999999997</c:v>
                </c:pt>
                <c:pt idx="236">
                  <c:v>0.99970099999999995</c:v>
                </c:pt>
                <c:pt idx="237">
                  <c:v>0.99977899999999997</c:v>
                </c:pt>
                <c:pt idx="238">
                  <c:v>0.999726</c:v>
                </c:pt>
                <c:pt idx="239">
                  <c:v>0.99978500000000003</c:v>
                </c:pt>
                <c:pt idx="240">
                  <c:v>1.0000960000000001</c:v>
                </c:pt>
                <c:pt idx="241">
                  <c:v>1.0000530000000001</c:v>
                </c:pt>
                <c:pt idx="242">
                  <c:v>1.0000819999999999</c:v>
                </c:pt>
                <c:pt idx="243">
                  <c:v>1.0000519999999999</c:v>
                </c:pt>
                <c:pt idx="244">
                  <c:v>1.0000340000000001</c:v>
                </c:pt>
                <c:pt idx="245">
                  <c:v>1.000038</c:v>
                </c:pt>
                <c:pt idx="246">
                  <c:v>1.000067</c:v>
                </c:pt>
                <c:pt idx="247">
                  <c:v>1.000048</c:v>
                </c:pt>
                <c:pt idx="248">
                  <c:v>1.0002880000000001</c:v>
                </c:pt>
                <c:pt idx="249">
                  <c:v>1.000205</c:v>
                </c:pt>
                <c:pt idx="250">
                  <c:v>1.00031</c:v>
                </c:pt>
                <c:pt idx="251">
                  <c:v>1.0002800000000001</c:v>
                </c:pt>
                <c:pt idx="252">
                  <c:v>1.0003219999999999</c:v>
                </c:pt>
                <c:pt idx="253">
                  <c:v>1.00021</c:v>
                </c:pt>
                <c:pt idx="254">
                  <c:v>1.000148</c:v>
                </c:pt>
                <c:pt idx="255">
                  <c:v>1.0002070000000001</c:v>
                </c:pt>
                <c:pt idx="256">
                  <c:v>1.0001119999999999</c:v>
                </c:pt>
                <c:pt idx="257">
                  <c:v>1.000038</c:v>
                </c:pt>
                <c:pt idx="258">
                  <c:v>1.0001279999999999</c:v>
                </c:pt>
                <c:pt idx="259">
                  <c:v>1.000159</c:v>
                </c:pt>
                <c:pt idx="260">
                  <c:v>1.0001690000000001</c:v>
                </c:pt>
                <c:pt idx="261">
                  <c:v>1.000205</c:v>
                </c:pt>
                <c:pt idx="262">
                  <c:v>1.000251</c:v>
                </c:pt>
                <c:pt idx="263">
                  <c:v>1.0004010000000001</c:v>
                </c:pt>
                <c:pt idx="264">
                  <c:v>1.0003420000000001</c:v>
                </c:pt>
                <c:pt idx="265">
                  <c:v>1.000367</c:v>
                </c:pt>
                <c:pt idx="266">
                  <c:v>1.0002599999999999</c:v>
                </c:pt>
                <c:pt idx="267">
                  <c:v>1.0001690000000001</c:v>
                </c:pt>
                <c:pt idx="268">
                  <c:v>1.0001249999999999</c:v>
                </c:pt>
                <c:pt idx="269">
                  <c:v>1.0000720000000001</c:v>
                </c:pt>
                <c:pt idx="270">
                  <c:v>0.99999099999999996</c:v>
                </c:pt>
                <c:pt idx="271">
                  <c:v>1.0000530000000001</c:v>
                </c:pt>
                <c:pt idx="272">
                  <c:v>0.99997400000000003</c:v>
                </c:pt>
                <c:pt idx="273">
                  <c:v>0.99999899999999997</c:v>
                </c:pt>
                <c:pt idx="274">
                  <c:v>0.99998299999999996</c:v>
                </c:pt>
                <c:pt idx="275">
                  <c:v>0.99999199999999999</c:v>
                </c:pt>
                <c:pt idx="276">
                  <c:v>1.0000340000000001</c:v>
                </c:pt>
                <c:pt idx="277">
                  <c:v>1.000078</c:v>
                </c:pt>
                <c:pt idx="278">
                  <c:v>1.0000560000000001</c:v>
                </c:pt>
                <c:pt idx="279">
                  <c:v>1.0000150000000001</c:v>
                </c:pt>
                <c:pt idx="280">
                  <c:v>1.000051</c:v>
                </c:pt>
                <c:pt idx="281">
                  <c:v>1.0000389999999999</c:v>
                </c:pt>
                <c:pt idx="282">
                  <c:v>1.0000899999999999</c:v>
                </c:pt>
                <c:pt idx="283">
                  <c:v>1.000014</c:v>
                </c:pt>
                <c:pt idx="284">
                  <c:v>0.999996</c:v>
                </c:pt>
                <c:pt idx="285">
                  <c:v>1.000089</c:v>
                </c:pt>
                <c:pt idx="286">
                  <c:v>1.000076</c:v>
                </c:pt>
                <c:pt idx="287">
                  <c:v>1.000062</c:v>
                </c:pt>
                <c:pt idx="288">
                  <c:v>1.000027</c:v>
                </c:pt>
                <c:pt idx="289">
                  <c:v>1.000011</c:v>
                </c:pt>
                <c:pt idx="290">
                  <c:v>1.000097</c:v>
                </c:pt>
                <c:pt idx="291">
                  <c:v>1.0000960000000001</c:v>
                </c:pt>
                <c:pt idx="292">
                  <c:v>1.000235</c:v>
                </c:pt>
                <c:pt idx="293">
                  <c:v>1.0002789999999999</c:v>
                </c:pt>
                <c:pt idx="294">
                  <c:v>1.000281</c:v>
                </c:pt>
                <c:pt idx="295">
                  <c:v>1.0001610000000001</c:v>
                </c:pt>
                <c:pt idx="296">
                  <c:v>1.000038</c:v>
                </c:pt>
                <c:pt idx="297">
                  <c:v>1.000138</c:v>
                </c:pt>
                <c:pt idx="298">
                  <c:v>1.0000020000000001</c:v>
                </c:pt>
                <c:pt idx="299">
                  <c:v>0.99998200000000004</c:v>
                </c:pt>
                <c:pt idx="300">
                  <c:v>1.0000960000000001</c:v>
                </c:pt>
                <c:pt idx="301">
                  <c:v>1.000008</c:v>
                </c:pt>
                <c:pt idx="302">
                  <c:v>1.0001040000000001</c:v>
                </c:pt>
                <c:pt idx="303">
                  <c:v>1.0000549999999999</c:v>
                </c:pt>
                <c:pt idx="304">
                  <c:v>1.0001059999999999</c:v>
                </c:pt>
                <c:pt idx="305">
                  <c:v>0.99999400000000005</c:v>
                </c:pt>
                <c:pt idx="306">
                  <c:v>0.99998200000000004</c:v>
                </c:pt>
                <c:pt idx="307">
                  <c:v>1.0000530000000001</c:v>
                </c:pt>
                <c:pt idx="308">
                  <c:v>1.0000469999999999</c:v>
                </c:pt>
                <c:pt idx="309">
                  <c:v>0.99998399999999998</c:v>
                </c:pt>
                <c:pt idx="310">
                  <c:v>0.99997800000000003</c:v>
                </c:pt>
                <c:pt idx="311">
                  <c:v>0.99999700000000002</c:v>
                </c:pt>
                <c:pt idx="312">
                  <c:v>1.000076</c:v>
                </c:pt>
                <c:pt idx="313">
                  <c:v>1.000062</c:v>
                </c:pt>
                <c:pt idx="314">
                  <c:v>1.0000450000000001</c:v>
                </c:pt>
                <c:pt idx="315">
                  <c:v>1.0000560000000001</c:v>
                </c:pt>
                <c:pt idx="316">
                  <c:v>1.0000910000000001</c:v>
                </c:pt>
                <c:pt idx="317">
                  <c:v>1.0002500000000001</c:v>
                </c:pt>
                <c:pt idx="318">
                  <c:v>1.000105</c:v>
                </c:pt>
                <c:pt idx="319">
                  <c:v>1.000127</c:v>
                </c:pt>
                <c:pt idx="320">
                  <c:v>1.0001249999999999</c:v>
                </c:pt>
                <c:pt idx="321">
                  <c:v>1.000078</c:v>
                </c:pt>
                <c:pt idx="322">
                  <c:v>1.000159</c:v>
                </c:pt>
                <c:pt idx="323">
                  <c:v>1.0000089999999999</c:v>
                </c:pt>
                <c:pt idx="324">
                  <c:v>0.99992099999999995</c:v>
                </c:pt>
                <c:pt idx="325">
                  <c:v>0.99998299999999996</c:v>
                </c:pt>
                <c:pt idx="326">
                  <c:v>1.0000830000000001</c:v>
                </c:pt>
                <c:pt idx="327">
                  <c:v>1.000073</c:v>
                </c:pt>
                <c:pt idx="328">
                  <c:v>1.000084</c:v>
                </c:pt>
                <c:pt idx="329">
                  <c:v>1.0000599999999999</c:v>
                </c:pt>
                <c:pt idx="330">
                  <c:v>1.000068</c:v>
                </c:pt>
                <c:pt idx="331">
                  <c:v>1.000105</c:v>
                </c:pt>
                <c:pt idx="332">
                  <c:v>1.000068</c:v>
                </c:pt>
                <c:pt idx="333">
                  <c:v>1</c:v>
                </c:pt>
                <c:pt idx="334">
                  <c:v>1.000124</c:v>
                </c:pt>
                <c:pt idx="335">
                  <c:v>1.0000610000000001</c:v>
                </c:pt>
                <c:pt idx="336">
                  <c:v>1.00007</c:v>
                </c:pt>
                <c:pt idx="337">
                  <c:v>1.000046</c:v>
                </c:pt>
                <c:pt idx="338">
                  <c:v>1.0002</c:v>
                </c:pt>
                <c:pt idx="339">
                  <c:v>1.0002040000000001</c:v>
                </c:pt>
                <c:pt idx="340">
                  <c:v>1.000097</c:v>
                </c:pt>
                <c:pt idx="341">
                  <c:v>1.0001409999999999</c:v>
                </c:pt>
                <c:pt idx="342">
                  <c:v>1.0002260000000001</c:v>
                </c:pt>
                <c:pt idx="343">
                  <c:v>1.0001850000000001</c:v>
                </c:pt>
                <c:pt idx="344">
                  <c:v>0.99995599999999996</c:v>
                </c:pt>
                <c:pt idx="345">
                  <c:v>0.99991799999999997</c:v>
                </c:pt>
                <c:pt idx="346">
                  <c:v>0.99997899999999995</c:v>
                </c:pt>
                <c:pt idx="347">
                  <c:v>1.0000070000000001</c:v>
                </c:pt>
                <c:pt idx="348">
                  <c:v>1.000075</c:v>
                </c:pt>
                <c:pt idx="349">
                  <c:v>1.000121</c:v>
                </c:pt>
                <c:pt idx="350">
                  <c:v>1.0001009999999999</c:v>
                </c:pt>
                <c:pt idx="351">
                  <c:v>1.000094</c:v>
                </c:pt>
                <c:pt idx="352">
                  <c:v>1.000043</c:v>
                </c:pt>
                <c:pt idx="353">
                  <c:v>0.99863400000000002</c:v>
                </c:pt>
                <c:pt idx="354">
                  <c:v>0.99781399999999998</c:v>
                </c:pt>
                <c:pt idx="355">
                  <c:v>0.99819800000000003</c:v>
                </c:pt>
                <c:pt idx="356">
                  <c:v>0.99861699999999998</c:v>
                </c:pt>
                <c:pt idx="357">
                  <c:v>0.99875000000000003</c:v>
                </c:pt>
                <c:pt idx="358">
                  <c:v>0.99902100000000005</c:v>
                </c:pt>
                <c:pt idx="359">
                  <c:v>0.99913600000000002</c:v>
                </c:pt>
                <c:pt idx="360">
                  <c:v>0.99923099999999998</c:v>
                </c:pt>
                <c:pt idx="361">
                  <c:v>0.99939599999999995</c:v>
                </c:pt>
                <c:pt idx="362">
                  <c:v>0.99917500000000004</c:v>
                </c:pt>
                <c:pt idx="363">
                  <c:v>0.99908699999999995</c:v>
                </c:pt>
                <c:pt idx="364">
                  <c:v>0.99899499999999997</c:v>
                </c:pt>
                <c:pt idx="365">
                  <c:v>0.999081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AE-448E-A35C-777B8F365591}"/>
            </c:ext>
          </c:extLst>
        </c:ser>
        <c:ser>
          <c:idx val="4"/>
          <c:order val="4"/>
          <c:tx>
            <c:strRef>
              <c:f>worksheet!$AP$1</c:f>
              <c:strCache>
                <c:ptCount val="1"/>
                <c:pt idx="0">
                  <c:v>Usd coin Open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worksheet!$AK$2:$AK$367</c:f>
              <c:numCache>
                <c:formatCode>m/d/yyyy</c:formatCode>
                <c:ptCount val="366"/>
                <c:pt idx="0">
                  <c:v>44522</c:v>
                </c:pt>
                <c:pt idx="1">
                  <c:v>44523</c:v>
                </c:pt>
                <c:pt idx="2">
                  <c:v>44524</c:v>
                </c:pt>
                <c:pt idx="3">
                  <c:v>44525</c:v>
                </c:pt>
                <c:pt idx="4">
                  <c:v>44526</c:v>
                </c:pt>
                <c:pt idx="5">
                  <c:v>44527</c:v>
                </c:pt>
                <c:pt idx="6">
                  <c:v>44528</c:v>
                </c:pt>
                <c:pt idx="7">
                  <c:v>44529</c:v>
                </c:pt>
                <c:pt idx="8">
                  <c:v>44530</c:v>
                </c:pt>
                <c:pt idx="9">
                  <c:v>44531</c:v>
                </c:pt>
                <c:pt idx="10">
                  <c:v>44532</c:v>
                </c:pt>
                <c:pt idx="11">
                  <c:v>44533</c:v>
                </c:pt>
                <c:pt idx="12">
                  <c:v>44534</c:v>
                </c:pt>
                <c:pt idx="13">
                  <c:v>44535</c:v>
                </c:pt>
                <c:pt idx="14">
                  <c:v>44536</c:v>
                </c:pt>
                <c:pt idx="15">
                  <c:v>44537</c:v>
                </c:pt>
                <c:pt idx="16">
                  <c:v>44538</c:v>
                </c:pt>
                <c:pt idx="17">
                  <c:v>44539</c:v>
                </c:pt>
                <c:pt idx="18">
                  <c:v>44540</c:v>
                </c:pt>
                <c:pt idx="19">
                  <c:v>44541</c:v>
                </c:pt>
                <c:pt idx="20">
                  <c:v>44542</c:v>
                </c:pt>
                <c:pt idx="21">
                  <c:v>44543</c:v>
                </c:pt>
                <c:pt idx="22">
                  <c:v>44544</c:v>
                </c:pt>
                <c:pt idx="23">
                  <c:v>44545</c:v>
                </c:pt>
                <c:pt idx="24">
                  <c:v>44546</c:v>
                </c:pt>
                <c:pt idx="25">
                  <c:v>44547</c:v>
                </c:pt>
                <c:pt idx="26">
                  <c:v>44548</c:v>
                </c:pt>
                <c:pt idx="27">
                  <c:v>44549</c:v>
                </c:pt>
                <c:pt idx="28">
                  <c:v>44550</c:v>
                </c:pt>
                <c:pt idx="29">
                  <c:v>44551</c:v>
                </c:pt>
                <c:pt idx="30">
                  <c:v>44552</c:v>
                </c:pt>
                <c:pt idx="31">
                  <c:v>44553</c:v>
                </c:pt>
                <c:pt idx="32">
                  <c:v>44554</c:v>
                </c:pt>
                <c:pt idx="33">
                  <c:v>44555</c:v>
                </c:pt>
                <c:pt idx="34">
                  <c:v>44556</c:v>
                </c:pt>
                <c:pt idx="35">
                  <c:v>44557</c:v>
                </c:pt>
                <c:pt idx="36">
                  <c:v>44558</c:v>
                </c:pt>
                <c:pt idx="37">
                  <c:v>44559</c:v>
                </c:pt>
                <c:pt idx="38">
                  <c:v>44560</c:v>
                </c:pt>
                <c:pt idx="39">
                  <c:v>44561</c:v>
                </c:pt>
                <c:pt idx="40">
                  <c:v>44562</c:v>
                </c:pt>
                <c:pt idx="41">
                  <c:v>44563</c:v>
                </c:pt>
                <c:pt idx="42">
                  <c:v>44564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44569</c:v>
                </c:pt>
                <c:pt idx="48">
                  <c:v>44570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44576</c:v>
                </c:pt>
                <c:pt idx="55">
                  <c:v>44577</c:v>
                </c:pt>
                <c:pt idx="56">
                  <c:v>44578</c:v>
                </c:pt>
                <c:pt idx="57">
                  <c:v>44579</c:v>
                </c:pt>
                <c:pt idx="58">
                  <c:v>44580</c:v>
                </c:pt>
                <c:pt idx="59">
                  <c:v>44581</c:v>
                </c:pt>
                <c:pt idx="60">
                  <c:v>44582</c:v>
                </c:pt>
                <c:pt idx="61">
                  <c:v>44583</c:v>
                </c:pt>
                <c:pt idx="62">
                  <c:v>44584</c:v>
                </c:pt>
                <c:pt idx="63">
                  <c:v>44585</c:v>
                </c:pt>
                <c:pt idx="64">
                  <c:v>44586</c:v>
                </c:pt>
                <c:pt idx="65">
                  <c:v>44587</c:v>
                </c:pt>
                <c:pt idx="66">
                  <c:v>44588</c:v>
                </c:pt>
                <c:pt idx="67">
                  <c:v>44589</c:v>
                </c:pt>
                <c:pt idx="68">
                  <c:v>44590</c:v>
                </c:pt>
                <c:pt idx="69">
                  <c:v>44591</c:v>
                </c:pt>
                <c:pt idx="70">
                  <c:v>44592</c:v>
                </c:pt>
                <c:pt idx="71">
                  <c:v>44593</c:v>
                </c:pt>
                <c:pt idx="72">
                  <c:v>44594</c:v>
                </c:pt>
                <c:pt idx="73">
                  <c:v>44595</c:v>
                </c:pt>
                <c:pt idx="74">
                  <c:v>44596</c:v>
                </c:pt>
                <c:pt idx="75">
                  <c:v>44597</c:v>
                </c:pt>
                <c:pt idx="76">
                  <c:v>44598</c:v>
                </c:pt>
                <c:pt idx="77">
                  <c:v>44599</c:v>
                </c:pt>
                <c:pt idx="78">
                  <c:v>44600</c:v>
                </c:pt>
                <c:pt idx="79">
                  <c:v>44601</c:v>
                </c:pt>
                <c:pt idx="80">
                  <c:v>44602</c:v>
                </c:pt>
                <c:pt idx="81">
                  <c:v>44603</c:v>
                </c:pt>
                <c:pt idx="82">
                  <c:v>44604</c:v>
                </c:pt>
                <c:pt idx="83">
                  <c:v>44605</c:v>
                </c:pt>
                <c:pt idx="84">
                  <c:v>44606</c:v>
                </c:pt>
                <c:pt idx="85">
                  <c:v>44607</c:v>
                </c:pt>
                <c:pt idx="86">
                  <c:v>44608</c:v>
                </c:pt>
                <c:pt idx="87">
                  <c:v>44609</c:v>
                </c:pt>
                <c:pt idx="88">
                  <c:v>44610</c:v>
                </c:pt>
                <c:pt idx="89">
                  <c:v>44611</c:v>
                </c:pt>
                <c:pt idx="90">
                  <c:v>44612</c:v>
                </c:pt>
                <c:pt idx="91">
                  <c:v>44613</c:v>
                </c:pt>
                <c:pt idx="92">
                  <c:v>44614</c:v>
                </c:pt>
                <c:pt idx="93">
                  <c:v>44615</c:v>
                </c:pt>
                <c:pt idx="94">
                  <c:v>44616</c:v>
                </c:pt>
                <c:pt idx="95">
                  <c:v>44617</c:v>
                </c:pt>
                <c:pt idx="96">
                  <c:v>44618</c:v>
                </c:pt>
                <c:pt idx="97">
                  <c:v>44619</c:v>
                </c:pt>
                <c:pt idx="98">
                  <c:v>44620</c:v>
                </c:pt>
                <c:pt idx="99">
                  <c:v>44621</c:v>
                </c:pt>
                <c:pt idx="100">
                  <c:v>44622</c:v>
                </c:pt>
                <c:pt idx="101">
                  <c:v>44623</c:v>
                </c:pt>
                <c:pt idx="102">
                  <c:v>44624</c:v>
                </c:pt>
                <c:pt idx="103">
                  <c:v>44625</c:v>
                </c:pt>
                <c:pt idx="104">
                  <c:v>44626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44632</c:v>
                </c:pt>
                <c:pt idx="111">
                  <c:v>44633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44639</c:v>
                </c:pt>
                <c:pt idx="118">
                  <c:v>44640</c:v>
                </c:pt>
                <c:pt idx="119">
                  <c:v>44641</c:v>
                </c:pt>
                <c:pt idx="120">
                  <c:v>44642</c:v>
                </c:pt>
                <c:pt idx="121">
                  <c:v>44643</c:v>
                </c:pt>
                <c:pt idx="122">
                  <c:v>44644</c:v>
                </c:pt>
                <c:pt idx="123">
                  <c:v>44645</c:v>
                </c:pt>
                <c:pt idx="124">
                  <c:v>44646</c:v>
                </c:pt>
                <c:pt idx="125">
                  <c:v>44647</c:v>
                </c:pt>
                <c:pt idx="126">
                  <c:v>44648</c:v>
                </c:pt>
                <c:pt idx="127">
                  <c:v>44649</c:v>
                </c:pt>
                <c:pt idx="128">
                  <c:v>44650</c:v>
                </c:pt>
                <c:pt idx="129">
                  <c:v>44651</c:v>
                </c:pt>
                <c:pt idx="130">
                  <c:v>44652</c:v>
                </c:pt>
                <c:pt idx="131">
                  <c:v>44653</c:v>
                </c:pt>
                <c:pt idx="132">
                  <c:v>44654</c:v>
                </c:pt>
                <c:pt idx="133">
                  <c:v>44655</c:v>
                </c:pt>
                <c:pt idx="134">
                  <c:v>44656</c:v>
                </c:pt>
                <c:pt idx="135">
                  <c:v>44657</c:v>
                </c:pt>
                <c:pt idx="136">
                  <c:v>44658</c:v>
                </c:pt>
                <c:pt idx="137">
                  <c:v>44659</c:v>
                </c:pt>
                <c:pt idx="138">
                  <c:v>44660</c:v>
                </c:pt>
                <c:pt idx="139">
                  <c:v>44661</c:v>
                </c:pt>
                <c:pt idx="140">
                  <c:v>44662</c:v>
                </c:pt>
                <c:pt idx="141">
                  <c:v>44663</c:v>
                </c:pt>
                <c:pt idx="142">
                  <c:v>44664</c:v>
                </c:pt>
                <c:pt idx="143">
                  <c:v>44665</c:v>
                </c:pt>
                <c:pt idx="144">
                  <c:v>44666</c:v>
                </c:pt>
                <c:pt idx="145">
                  <c:v>44667</c:v>
                </c:pt>
                <c:pt idx="146">
                  <c:v>44668</c:v>
                </c:pt>
                <c:pt idx="147">
                  <c:v>44669</c:v>
                </c:pt>
                <c:pt idx="148">
                  <c:v>44670</c:v>
                </c:pt>
                <c:pt idx="149">
                  <c:v>44671</c:v>
                </c:pt>
                <c:pt idx="150">
                  <c:v>44672</c:v>
                </c:pt>
                <c:pt idx="151">
                  <c:v>44673</c:v>
                </c:pt>
                <c:pt idx="152">
                  <c:v>44674</c:v>
                </c:pt>
                <c:pt idx="153">
                  <c:v>44675</c:v>
                </c:pt>
                <c:pt idx="154">
                  <c:v>44676</c:v>
                </c:pt>
                <c:pt idx="155">
                  <c:v>44677</c:v>
                </c:pt>
                <c:pt idx="156">
                  <c:v>44678</c:v>
                </c:pt>
                <c:pt idx="157">
                  <c:v>44679</c:v>
                </c:pt>
                <c:pt idx="158">
                  <c:v>44680</c:v>
                </c:pt>
                <c:pt idx="159">
                  <c:v>44681</c:v>
                </c:pt>
                <c:pt idx="160">
                  <c:v>44682</c:v>
                </c:pt>
                <c:pt idx="161">
                  <c:v>44683</c:v>
                </c:pt>
                <c:pt idx="162">
                  <c:v>44684</c:v>
                </c:pt>
                <c:pt idx="163">
                  <c:v>44685</c:v>
                </c:pt>
                <c:pt idx="164">
                  <c:v>44686</c:v>
                </c:pt>
                <c:pt idx="165">
                  <c:v>44687</c:v>
                </c:pt>
                <c:pt idx="166">
                  <c:v>44688</c:v>
                </c:pt>
                <c:pt idx="167">
                  <c:v>44689</c:v>
                </c:pt>
                <c:pt idx="168">
                  <c:v>44690</c:v>
                </c:pt>
                <c:pt idx="169">
                  <c:v>44691</c:v>
                </c:pt>
                <c:pt idx="170">
                  <c:v>44692</c:v>
                </c:pt>
                <c:pt idx="171">
                  <c:v>44693</c:v>
                </c:pt>
                <c:pt idx="172">
                  <c:v>44694</c:v>
                </c:pt>
                <c:pt idx="173">
                  <c:v>44695</c:v>
                </c:pt>
                <c:pt idx="174">
                  <c:v>44696</c:v>
                </c:pt>
                <c:pt idx="175">
                  <c:v>44697</c:v>
                </c:pt>
                <c:pt idx="176">
                  <c:v>44698</c:v>
                </c:pt>
                <c:pt idx="177">
                  <c:v>44699</c:v>
                </c:pt>
                <c:pt idx="178">
                  <c:v>44700</c:v>
                </c:pt>
                <c:pt idx="179">
                  <c:v>44701</c:v>
                </c:pt>
                <c:pt idx="180">
                  <c:v>44702</c:v>
                </c:pt>
                <c:pt idx="181">
                  <c:v>44703</c:v>
                </c:pt>
                <c:pt idx="182">
                  <c:v>44704</c:v>
                </c:pt>
                <c:pt idx="183">
                  <c:v>44705</c:v>
                </c:pt>
                <c:pt idx="184">
                  <c:v>44706</c:v>
                </c:pt>
                <c:pt idx="185">
                  <c:v>44707</c:v>
                </c:pt>
                <c:pt idx="186">
                  <c:v>44708</c:v>
                </c:pt>
                <c:pt idx="187">
                  <c:v>44709</c:v>
                </c:pt>
                <c:pt idx="188">
                  <c:v>44710</c:v>
                </c:pt>
                <c:pt idx="189">
                  <c:v>44711</c:v>
                </c:pt>
                <c:pt idx="190">
                  <c:v>44712</c:v>
                </c:pt>
                <c:pt idx="191">
                  <c:v>44713</c:v>
                </c:pt>
                <c:pt idx="192">
                  <c:v>44714</c:v>
                </c:pt>
                <c:pt idx="193">
                  <c:v>44715</c:v>
                </c:pt>
                <c:pt idx="194">
                  <c:v>44716</c:v>
                </c:pt>
                <c:pt idx="195">
                  <c:v>44717</c:v>
                </c:pt>
                <c:pt idx="196">
                  <c:v>44718</c:v>
                </c:pt>
                <c:pt idx="197">
                  <c:v>44719</c:v>
                </c:pt>
                <c:pt idx="198">
                  <c:v>44720</c:v>
                </c:pt>
                <c:pt idx="199">
                  <c:v>44721</c:v>
                </c:pt>
                <c:pt idx="200">
                  <c:v>44722</c:v>
                </c:pt>
                <c:pt idx="201">
                  <c:v>44723</c:v>
                </c:pt>
                <c:pt idx="202">
                  <c:v>44724</c:v>
                </c:pt>
                <c:pt idx="203">
                  <c:v>44725</c:v>
                </c:pt>
                <c:pt idx="204">
                  <c:v>44726</c:v>
                </c:pt>
                <c:pt idx="205">
                  <c:v>44727</c:v>
                </c:pt>
                <c:pt idx="206">
                  <c:v>44728</c:v>
                </c:pt>
                <c:pt idx="207">
                  <c:v>44729</c:v>
                </c:pt>
                <c:pt idx="208">
                  <c:v>44730</c:v>
                </c:pt>
                <c:pt idx="209">
                  <c:v>44731</c:v>
                </c:pt>
                <c:pt idx="210">
                  <c:v>44732</c:v>
                </c:pt>
                <c:pt idx="211">
                  <c:v>44733</c:v>
                </c:pt>
                <c:pt idx="212">
                  <c:v>44734</c:v>
                </c:pt>
                <c:pt idx="213">
                  <c:v>44735</c:v>
                </c:pt>
                <c:pt idx="214">
                  <c:v>44736</c:v>
                </c:pt>
                <c:pt idx="215">
                  <c:v>44737</c:v>
                </c:pt>
                <c:pt idx="216">
                  <c:v>44738</c:v>
                </c:pt>
                <c:pt idx="217">
                  <c:v>44739</c:v>
                </c:pt>
                <c:pt idx="218">
                  <c:v>44740</c:v>
                </c:pt>
                <c:pt idx="219">
                  <c:v>44741</c:v>
                </c:pt>
                <c:pt idx="220">
                  <c:v>44742</c:v>
                </c:pt>
                <c:pt idx="221">
                  <c:v>44743</c:v>
                </c:pt>
                <c:pt idx="222">
                  <c:v>44744</c:v>
                </c:pt>
                <c:pt idx="223">
                  <c:v>44745</c:v>
                </c:pt>
                <c:pt idx="224">
                  <c:v>44746</c:v>
                </c:pt>
                <c:pt idx="225">
                  <c:v>44747</c:v>
                </c:pt>
                <c:pt idx="226">
                  <c:v>44748</c:v>
                </c:pt>
                <c:pt idx="227">
                  <c:v>44749</c:v>
                </c:pt>
                <c:pt idx="228">
                  <c:v>44750</c:v>
                </c:pt>
                <c:pt idx="229">
                  <c:v>44751</c:v>
                </c:pt>
                <c:pt idx="230">
                  <c:v>44752</c:v>
                </c:pt>
                <c:pt idx="231">
                  <c:v>44753</c:v>
                </c:pt>
                <c:pt idx="232">
                  <c:v>44754</c:v>
                </c:pt>
                <c:pt idx="233">
                  <c:v>44755</c:v>
                </c:pt>
                <c:pt idx="234">
                  <c:v>44756</c:v>
                </c:pt>
                <c:pt idx="235">
                  <c:v>44757</c:v>
                </c:pt>
                <c:pt idx="236">
                  <c:v>44758</c:v>
                </c:pt>
                <c:pt idx="237">
                  <c:v>44759</c:v>
                </c:pt>
                <c:pt idx="238">
                  <c:v>44760</c:v>
                </c:pt>
                <c:pt idx="239">
                  <c:v>44761</c:v>
                </c:pt>
                <c:pt idx="240">
                  <c:v>44762</c:v>
                </c:pt>
                <c:pt idx="241">
                  <c:v>44763</c:v>
                </c:pt>
                <c:pt idx="242">
                  <c:v>44764</c:v>
                </c:pt>
                <c:pt idx="243">
                  <c:v>44765</c:v>
                </c:pt>
                <c:pt idx="244">
                  <c:v>44766</c:v>
                </c:pt>
                <c:pt idx="245">
                  <c:v>44767</c:v>
                </c:pt>
                <c:pt idx="246">
                  <c:v>44768</c:v>
                </c:pt>
                <c:pt idx="247">
                  <c:v>44769</c:v>
                </c:pt>
                <c:pt idx="248">
                  <c:v>44770</c:v>
                </c:pt>
                <c:pt idx="249">
                  <c:v>44771</c:v>
                </c:pt>
                <c:pt idx="250">
                  <c:v>44772</c:v>
                </c:pt>
                <c:pt idx="251">
                  <c:v>44773</c:v>
                </c:pt>
                <c:pt idx="252">
                  <c:v>44774</c:v>
                </c:pt>
                <c:pt idx="253">
                  <c:v>44775</c:v>
                </c:pt>
                <c:pt idx="254">
                  <c:v>44776</c:v>
                </c:pt>
                <c:pt idx="255">
                  <c:v>44777</c:v>
                </c:pt>
                <c:pt idx="256">
                  <c:v>44778</c:v>
                </c:pt>
                <c:pt idx="257">
                  <c:v>44779</c:v>
                </c:pt>
                <c:pt idx="258">
                  <c:v>44780</c:v>
                </c:pt>
                <c:pt idx="259">
                  <c:v>44781</c:v>
                </c:pt>
                <c:pt idx="260">
                  <c:v>44782</c:v>
                </c:pt>
                <c:pt idx="261">
                  <c:v>44783</c:v>
                </c:pt>
                <c:pt idx="262">
                  <c:v>44784</c:v>
                </c:pt>
                <c:pt idx="263">
                  <c:v>44785</c:v>
                </c:pt>
                <c:pt idx="264">
                  <c:v>44786</c:v>
                </c:pt>
                <c:pt idx="265">
                  <c:v>44787</c:v>
                </c:pt>
                <c:pt idx="266">
                  <c:v>44788</c:v>
                </c:pt>
                <c:pt idx="267">
                  <c:v>44789</c:v>
                </c:pt>
                <c:pt idx="268">
                  <c:v>44790</c:v>
                </c:pt>
                <c:pt idx="269">
                  <c:v>44791</c:v>
                </c:pt>
                <c:pt idx="270">
                  <c:v>44792</c:v>
                </c:pt>
                <c:pt idx="271">
                  <c:v>44793</c:v>
                </c:pt>
                <c:pt idx="272">
                  <c:v>44794</c:v>
                </c:pt>
                <c:pt idx="273">
                  <c:v>44795</c:v>
                </c:pt>
                <c:pt idx="274">
                  <c:v>44796</c:v>
                </c:pt>
                <c:pt idx="275">
                  <c:v>44797</c:v>
                </c:pt>
                <c:pt idx="276">
                  <c:v>44798</c:v>
                </c:pt>
                <c:pt idx="277">
                  <c:v>44799</c:v>
                </c:pt>
                <c:pt idx="278">
                  <c:v>44800</c:v>
                </c:pt>
                <c:pt idx="279">
                  <c:v>44801</c:v>
                </c:pt>
                <c:pt idx="280">
                  <c:v>44802</c:v>
                </c:pt>
                <c:pt idx="281">
                  <c:v>44803</c:v>
                </c:pt>
                <c:pt idx="282">
                  <c:v>44804</c:v>
                </c:pt>
                <c:pt idx="283">
                  <c:v>44805</c:v>
                </c:pt>
                <c:pt idx="284">
                  <c:v>44806</c:v>
                </c:pt>
                <c:pt idx="285">
                  <c:v>44807</c:v>
                </c:pt>
                <c:pt idx="286">
                  <c:v>44808</c:v>
                </c:pt>
                <c:pt idx="287">
                  <c:v>44809</c:v>
                </c:pt>
                <c:pt idx="288">
                  <c:v>44810</c:v>
                </c:pt>
                <c:pt idx="289">
                  <c:v>44811</c:v>
                </c:pt>
                <c:pt idx="290">
                  <c:v>44812</c:v>
                </c:pt>
                <c:pt idx="291">
                  <c:v>44813</c:v>
                </c:pt>
                <c:pt idx="292">
                  <c:v>44814</c:v>
                </c:pt>
                <c:pt idx="293">
                  <c:v>44815</c:v>
                </c:pt>
                <c:pt idx="294">
                  <c:v>44816</c:v>
                </c:pt>
                <c:pt idx="295">
                  <c:v>44817</c:v>
                </c:pt>
                <c:pt idx="296">
                  <c:v>44818</c:v>
                </c:pt>
                <c:pt idx="297">
                  <c:v>44819</c:v>
                </c:pt>
                <c:pt idx="298">
                  <c:v>44820</c:v>
                </c:pt>
                <c:pt idx="299">
                  <c:v>44821</c:v>
                </c:pt>
                <c:pt idx="300">
                  <c:v>44822</c:v>
                </c:pt>
                <c:pt idx="301">
                  <c:v>44823</c:v>
                </c:pt>
                <c:pt idx="302">
                  <c:v>44824</c:v>
                </c:pt>
                <c:pt idx="303">
                  <c:v>44825</c:v>
                </c:pt>
                <c:pt idx="304">
                  <c:v>44826</c:v>
                </c:pt>
                <c:pt idx="305">
                  <c:v>44827</c:v>
                </c:pt>
                <c:pt idx="306">
                  <c:v>44828</c:v>
                </c:pt>
                <c:pt idx="307">
                  <c:v>44829</c:v>
                </c:pt>
                <c:pt idx="308">
                  <c:v>44830</c:v>
                </c:pt>
                <c:pt idx="309">
                  <c:v>44831</c:v>
                </c:pt>
                <c:pt idx="310">
                  <c:v>44832</c:v>
                </c:pt>
                <c:pt idx="311">
                  <c:v>44833</c:v>
                </c:pt>
                <c:pt idx="312">
                  <c:v>44834</c:v>
                </c:pt>
                <c:pt idx="313">
                  <c:v>44835</c:v>
                </c:pt>
                <c:pt idx="314">
                  <c:v>44836</c:v>
                </c:pt>
                <c:pt idx="315">
                  <c:v>44837</c:v>
                </c:pt>
                <c:pt idx="316">
                  <c:v>44838</c:v>
                </c:pt>
                <c:pt idx="317">
                  <c:v>44839</c:v>
                </c:pt>
                <c:pt idx="318">
                  <c:v>44840</c:v>
                </c:pt>
                <c:pt idx="319">
                  <c:v>44841</c:v>
                </c:pt>
                <c:pt idx="320">
                  <c:v>44842</c:v>
                </c:pt>
                <c:pt idx="321">
                  <c:v>44843</c:v>
                </c:pt>
                <c:pt idx="322">
                  <c:v>44844</c:v>
                </c:pt>
                <c:pt idx="323">
                  <c:v>44845</c:v>
                </c:pt>
                <c:pt idx="324">
                  <c:v>44846</c:v>
                </c:pt>
                <c:pt idx="325">
                  <c:v>44847</c:v>
                </c:pt>
                <c:pt idx="326">
                  <c:v>44848</c:v>
                </c:pt>
                <c:pt idx="327">
                  <c:v>44849</c:v>
                </c:pt>
                <c:pt idx="328">
                  <c:v>44850</c:v>
                </c:pt>
                <c:pt idx="329">
                  <c:v>44851</c:v>
                </c:pt>
                <c:pt idx="330">
                  <c:v>44852</c:v>
                </c:pt>
                <c:pt idx="331">
                  <c:v>44853</c:v>
                </c:pt>
                <c:pt idx="332">
                  <c:v>44854</c:v>
                </c:pt>
                <c:pt idx="333">
                  <c:v>44855</c:v>
                </c:pt>
                <c:pt idx="334">
                  <c:v>44856</c:v>
                </c:pt>
                <c:pt idx="335">
                  <c:v>44857</c:v>
                </c:pt>
                <c:pt idx="336">
                  <c:v>44858</c:v>
                </c:pt>
                <c:pt idx="337">
                  <c:v>44859</c:v>
                </c:pt>
                <c:pt idx="338">
                  <c:v>44860</c:v>
                </c:pt>
                <c:pt idx="339">
                  <c:v>44861</c:v>
                </c:pt>
                <c:pt idx="340">
                  <c:v>44862</c:v>
                </c:pt>
                <c:pt idx="341">
                  <c:v>44863</c:v>
                </c:pt>
                <c:pt idx="342">
                  <c:v>44864</c:v>
                </c:pt>
                <c:pt idx="343">
                  <c:v>44865</c:v>
                </c:pt>
                <c:pt idx="344">
                  <c:v>44866</c:v>
                </c:pt>
                <c:pt idx="345">
                  <c:v>44867</c:v>
                </c:pt>
                <c:pt idx="346">
                  <c:v>44868</c:v>
                </c:pt>
                <c:pt idx="347">
                  <c:v>44869</c:v>
                </c:pt>
                <c:pt idx="348">
                  <c:v>44870</c:v>
                </c:pt>
                <c:pt idx="349">
                  <c:v>44871</c:v>
                </c:pt>
                <c:pt idx="350">
                  <c:v>44872</c:v>
                </c:pt>
                <c:pt idx="351">
                  <c:v>44873</c:v>
                </c:pt>
                <c:pt idx="352">
                  <c:v>44874</c:v>
                </c:pt>
                <c:pt idx="353">
                  <c:v>44875</c:v>
                </c:pt>
                <c:pt idx="354">
                  <c:v>44876</c:v>
                </c:pt>
                <c:pt idx="355">
                  <c:v>44877</c:v>
                </c:pt>
                <c:pt idx="356">
                  <c:v>44878</c:v>
                </c:pt>
                <c:pt idx="357">
                  <c:v>44879</c:v>
                </c:pt>
                <c:pt idx="358">
                  <c:v>44880</c:v>
                </c:pt>
                <c:pt idx="359">
                  <c:v>44881</c:v>
                </c:pt>
                <c:pt idx="360">
                  <c:v>44882</c:v>
                </c:pt>
                <c:pt idx="361">
                  <c:v>44883</c:v>
                </c:pt>
                <c:pt idx="362">
                  <c:v>44884</c:v>
                </c:pt>
                <c:pt idx="363">
                  <c:v>44885</c:v>
                </c:pt>
                <c:pt idx="364">
                  <c:v>44886</c:v>
                </c:pt>
                <c:pt idx="365">
                  <c:v>44887</c:v>
                </c:pt>
              </c:numCache>
            </c:numRef>
          </c:cat>
          <c:val>
            <c:numRef>
              <c:f>worksheet!$AP$2:$AP$367</c:f>
              <c:numCache>
                <c:formatCode>General</c:formatCode>
                <c:ptCount val="366"/>
                <c:pt idx="0">
                  <c:v>1.000046</c:v>
                </c:pt>
                <c:pt idx="1">
                  <c:v>1.000076</c:v>
                </c:pt>
                <c:pt idx="2">
                  <c:v>0.99977199999999999</c:v>
                </c:pt>
                <c:pt idx="3">
                  <c:v>0.99939199999999995</c:v>
                </c:pt>
                <c:pt idx="4">
                  <c:v>1.00065</c:v>
                </c:pt>
                <c:pt idx="5">
                  <c:v>0.99978</c:v>
                </c:pt>
                <c:pt idx="6">
                  <c:v>1.001431</c:v>
                </c:pt>
                <c:pt idx="7">
                  <c:v>0.99990400000000002</c:v>
                </c:pt>
                <c:pt idx="8">
                  <c:v>0.99973500000000004</c:v>
                </c:pt>
                <c:pt idx="9">
                  <c:v>1.0002059999999999</c:v>
                </c:pt>
                <c:pt idx="10">
                  <c:v>0.99965999999999999</c:v>
                </c:pt>
                <c:pt idx="11">
                  <c:v>0.99903200000000003</c:v>
                </c:pt>
                <c:pt idx="12">
                  <c:v>1.0003169999999999</c:v>
                </c:pt>
                <c:pt idx="13">
                  <c:v>1.0001979999999999</c:v>
                </c:pt>
                <c:pt idx="14">
                  <c:v>0.99877000000000005</c:v>
                </c:pt>
                <c:pt idx="15">
                  <c:v>1.0002070000000001</c:v>
                </c:pt>
                <c:pt idx="16">
                  <c:v>1.00007</c:v>
                </c:pt>
                <c:pt idx="17">
                  <c:v>0.99890800000000002</c:v>
                </c:pt>
                <c:pt idx="18">
                  <c:v>1.0002629999999999</c:v>
                </c:pt>
                <c:pt idx="19">
                  <c:v>1.0010730000000001</c:v>
                </c:pt>
                <c:pt idx="20">
                  <c:v>1.000113</c:v>
                </c:pt>
                <c:pt idx="21">
                  <c:v>1.0001370000000001</c:v>
                </c:pt>
                <c:pt idx="22">
                  <c:v>1.000019</c:v>
                </c:pt>
                <c:pt idx="23">
                  <c:v>0.99962499999999999</c:v>
                </c:pt>
                <c:pt idx="24">
                  <c:v>1.0004960000000001</c:v>
                </c:pt>
                <c:pt idx="25">
                  <c:v>1.000011</c:v>
                </c:pt>
                <c:pt idx="26">
                  <c:v>0.99809800000000004</c:v>
                </c:pt>
                <c:pt idx="27">
                  <c:v>1.000016</c:v>
                </c:pt>
                <c:pt idx="28">
                  <c:v>1.0000560000000001</c:v>
                </c:pt>
                <c:pt idx="29">
                  <c:v>0.99918899999999999</c:v>
                </c:pt>
                <c:pt idx="30">
                  <c:v>1.0001469999999999</c:v>
                </c:pt>
                <c:pt idx="31">
                  <c:v>0.99826599999999999</c:v>
                </c:pt>
                <c:pt idx="32">
                  <c:v>1.0004</c:v>
                </c:pt>
                <c:pt idx="33">
                  <c:v>1.0005120000000001</c:v>
                </c:pt>
                <c:pt idx="34">
                  <c:v>0.99984399999999996</c:v>
                </c:pt>
                <c:pt idx="35">
                  <c:v>0.99921700000000002</c:v>
                </c:pt>
                <c:pt idx="36">
                  <c:v>0.99963299999999999</c:v>
                </c:pt>
                <c:pt idx="37">
                  <c:v>1.000758</c:v>
                </c:pt>
                <c:pt idx="38">
                  <c:v>0.99962200000000001</c:v>
                </c:pt>
                <c:pt idx="39">
                  <c:v>1.000383</c:v>
                </c:pt>
                <c:pt idx="40">
                  <c:v>1.0000830000000001</c:v>
                </c:pt>
                <c:pt idx="41">
                  <c:v>1.000081</c:v>
                </c:pt>
                <c:pt idx="42">
                  <c:v>0.999776</c:v>
                </c:pt>
                <c:pt idx="43">
                  <c:v>0.99981799999999998</c:v>
                </c:pt>
                <c:pt idx="44">
                  <c:v>1.000604</c:v>
                </c:pt>
                <c:pt idx="45">
                  <c:v>0.99975199999999997</c:v>
                </c:pt>
                <c:pt idx="46">
                  <c:v>0.999525</c:v>
                </c:pt>
                <c:pt idx="47">
                  <c:v>1.0004740000000001</c:v>
                </c:pt>
                <c:pt idx="48">
                  <c:v>0.99950600000000001</c:v>
                </c:pt>
                <c:pt idx="49">
                  <c:v>0.99983</c:v>
                </c:pt>
                <c:pt idx="50">
                  <c:v>1.000354</c:v>
                </c:pt>
                <c:pt idx="51">
                  <c:v>1.0002249999999999</c:v>
                </c:pt>
                <c:pt idx="52">
                  <c:v>0.99978599999999995</c:v>
                </c:pt>
                <c:pt idx="53">
                  <c:v>0.99909499999999996</c:v>
                </c:pt>
                <c:pt idx="54">
                  <c:v>1.000054</c:v>
                </c:pt>
                <c:pt idx="55">
                  <c:v>0.99949399999999999</c:v>
                </c:pt>
                <c:pt idx="56">
                  <c:v>0.99975000000000003</c:v>
                </c:pt>
                <c:pt idx="57">
                  <c:v>0.99966900000000003</c:v>
                </c:pt>
                <c:pt idx="58">
                  <c:v>1.0000979999999999</c:v>
                </c:pt>
                <c:pt idx="59">
                  <c:v>1.0003359999999999</c:v>
                </c:pt>
                <c:pt idx="60">
                  <c:v>1.000488</c:v>
                </c:pt>
                <c:pt idx="61">
                  <c:v>1.0004390000000001</c:v>
                </c:pt>
                <c:pt idx="62">
                  <c:v>1.0000899999999999</c:v>
                </c:pt>
                <c:pt idx="63">
                  <c:v>1.00017</c:v>
                </c:pt>
                <c:pt idx="64">
                  <c:v>1.000318</c:v>
                </c:pt>
                <c:pt idx="65">
                  <c:v>1.0004200000000001</c:v>
                </c:pt>
                <c:pt idx="66">
                  <c:v>0.99985000000000002</c:v>
                </c:pt>
                <c:pt idx="67">
                  <c:v>0.999749</c:v>
                </c:pt>
                <c:pt idx="68">
                  <c:v>0.99966299999999997</c:v>
                </c:pt>
                <c:pt idx="69">
                  <c:v>1.000405</c:v>
                </c:pt>
                <c:pt idx="70">
                  <c:v>1.0000849999999999</c:v>
                </c:pt>
                <c:pt idx="71">
                  <c:v>0.99951999999999996</c:v>
                </c:pt>
                <c:pt idx="72">
                  <c:v>0.99970599999999998</c:v>
                </c:pt>
                <c:pt idx="73">
                  <c:v>0.99990100000000004</c:v>
                </c:pt>
                <c:pt idx="74">
                  <c:v>1.0001869999999999</c:v>
                </c:pt>
                <c:pt idx="75">
                  <c:v>0.99958499999999995</c:v>
                </c:pt>
                <c:pt idx="76">
                  <c:v>1.0000910000000001</c:v>
                </c:pt>
                <c:pt idx="77">
                  <c:v>1.0003120000000001</c:v>
                </c:pt>
                <c:pt idx="78">
                  <c:v>0.99907699999999999</c:v>
                </c:pt>
                <c:pt idx="79">
                  <c:v>0.99911300000000003</c:v>
                </c:pt>
                <c:pt idx="80">
                  <c:v>0.99959200000000004</c:v>
                </c:pt>
                <c:pt idx="81">
                  <c:v>1.0001439999999999</c:v>
                </c:pt>
                <c:pt idx="82">
                  <c:v>0.99938300000000002</c:v>
                </c:pt>
                <c:pt idx="83">
                  <c:v>1.0001549999999999</c:v>
                </c:pt>
                <c:pt idx="84">
                  <c:v>0.99998500000000001</c:v>
                </c:pt>
                <c:pt idx="85">
                  <c:v>0.99933000000000005</c:v>
                </c:pt>
                <c:pt idx="86">
                  <c:v>0.99960899999999997</c:v>
                </c:pt>
                <c:pt idx="87">
                  <c:v>0.99969699999999995</c:v>
                </c:pt>
                <c:pt idx="88">
                  <c:v>0.99940399999999996</c:v>
                </c:pt>
                <c:pt idx="89">
                  <c:v>0.99973400000000001</c:v>
                </c:pt>
                <c:pt idx="90">
                  <c:v>0.99986399999999998</c:v>
                </c:pt>
                <c:pt idx="91">
                  <c:v>1.0000009999999999</c:v>
                </c:pt>
                <c:pt idx="92">
                  <c:v>0.999359</c:v>
                </c:pt>
                <c:pt idx="93">
                  <c:v>1.000046</c:v>
                </c:pt>
                <c:pt idx="94">
                  <c:v>0.99952099999999999</c:v>
                </c:pt>
                <c:pt idx="95">
                  <c:v>0.99994400000000006</c:v>
                </c:pt>
                <c:pt idx="96">
                  <c:v>0.99990400000000002</c:v>
                </c:pt>
                <c:pt idx="97">
                  <c:v>0.99993500000000002</c:v>
                </c:pt>
                <c:pt idx="98">
                  <c:v>0.99968800000000002</c:v>
                </c:pt>
                <c:pt idx="99">
                  <c:v>0.99983999999999995</c:v>
                </c:pt>
                <c:pt idx="100">
                  <c:v>0.999803</c:v>
                </c:pt>
                <c:pt idx="101">
                  <c:v>0.99956400000000001</c:v>
                </c:pt>
                <c:pt idx="102">
                  <c:v>0.99995900000000004</c:v>
                </c:pt>
                <c:pt idx="103">
                  <c:v>0.99992199999999998</c:v>
                </c:pt>
                <c:pt idx="104">
                  <c:v>0.99938000000000005</c:v>
                </c:pt>
                <c:pt idx="105">
                  <c:v>0.99987499999999996</c:v>
                </c:pt>
                <c:pt idx="106">
                  <c:v>0.99910100000000002</c:v>
                </c:pt>
                <c:pt idx="107">
                  <c:v>1.0002690000000001</c:v>
                </c:pt>
                <c:pt idx="108">
                  <c:v>1.00044</c:v>
                </c:pt>
                <c:pt idx="109">
                  <c:v>0.99980800000000003</c:v>
                </c:pt>
                <c:pt idx="110">
                  <c:v>0.99934699999999999</c:v>
                </c:pt>
                <c:pt idx="111">
                  <c:v>0.999699</c:v>
                </c:pt>
                <c:pt idx="112">
                  <c:v>0.99994700000000003</c:v>
                </c:pt>
                <c:pt idx="113">
                  <c:v>1.0002690000000001</c:v>
                </c:pt>
                <c:pt idx="114">
                  <c:v>0.99936199999999997</c:v>
                </c:pt>
                <c:pt idx="115">
                  <c:v>0.99990500000000004</c:v>
                </c:pt>
                <c:pt idx="116">
                  <c:v>0.999753</c:v>
                </c:pt>
                <c:pt idx="117">
                  <c:v>0.99980599999999997</c:v>
                </c:pt>
                <c:pt idx="118">
                  <c:v>0.99975499999999995</c:v>
                </c:pt>
                <c:pt idx="119">
                  <c:v>0.99992700000000001</c:v>
                </c:pt>
                <c:pt idx="120">
                  <c:v>0.99982000000000004</c:v>
                </c:pt>
                <c:pt idx="121">
                  <c:v>0.99988999999999995</c:v>
                </c:pt>
                <c:pt idx="122">
                  <c:v>0.999977</c:v>
                </c:pt>
                <c:pt idx="123">
                  <c:v>0.99970300000000001</c:v>
                </c:pt>
                <c:pt idx="124">
                  <c:v>0.99920299999999995</c:v>
                </c:pt>
                <c:pt idx="125">
                  <c:v>0.99992000000000003</c:v>
                </c:pt>
                <c:pt idx="126">
                  <c:v>1.0000450000000001</c:v>
                </c:pt>
                <c:pt idx="127">
                  <c:v>1.0000640000000001</c:v>
                </c:pt>
                <c:pt idx="128">
                  <c:v>0.999996</c:v>
                </c:pt>
                <c:pt idx="129">
                  <c:v>0.999448</c:v>
                </c:pt>
                <c:pt idx="130">
                  <c:v>0.99951599999999996</c:v>
                </c:pt>
                <c:pt idx="131">
                  <c:v>1.0000070000000001</c:v>
                </c:pt>
                <c:pt idx="132">
                  <c:v>0.99930399999999997</c:v>
                </c:pt>
                <c:pt idx="133">
                  <c:v>1.0000880000000001</c:v>
                </c:pt>
                <c:pt idx="134">
                  <c:v>1.000138</c:v>
                </c:pt>
                <c:pt idx="135">
                  <c:v>0.99965899999999996</c:v>
                </c:pt>
                <c:pt idx="136">
                  <c:v>0.99961199999999995</c:v>
                </c:pt>
                <c:pt idx="137">
                  <c:v>1.0001100000000001</c:v>
                </c:pt>
                <c:pt idx="138">
                  <c:v>0.99974600000000002</c:v>
                </c:pt>
                <c:pt idx="139">
                  <c:v>1.000084</c:v>
                </c:pt>
                <c:pt idx="140">
                  <c:v>0.99969600000000003</c:v>
                </c:pt>
                <c:pt idx="141">
                  <c:v>0.99981399999999998</c:v>
                </c:pt>
                <c:pt idx="142">
                  <c:v>0.99982899999999997</c:v>
                </c:pt>
                <c:pt idx="143">
                  <c:v>0.99972499999999997</c:v>
                </c:pt>
                <c:pt idx="144">
                  <c:v>0.99983100000000003</c:v>
                </c:pt>
                <c:pt idx="145">
                  <c:v>0.99973400000000001</c:v>
                </c:pt>
                <c:pt idx="146">
                  <c:v>1.000202</c:v>
                </c:pt>
                <c:pt idx="147">
                  <c:v>0.99927299999999997</c:v>
                </c:pt>
                <c:pt idx="148">
                  <c:v>0.99988299999999997</c:v>
                </c:pt>
                <c:pt idx="149">
                  <c:v>0.99990800000000002</c:v>
                </c:pt>
                <c:pt idx="150">
                  <c:v>0.99983900000000003</c:v>
                </c:pt>
                <c:pt idx="151">
                  <c:v>1.0002470000000001</c:v>
                </c:pt>
                <c:pt idx="152">
                  <c:v>1.000237</c:v>
                </c:pt>
                <c:pt idx="153">
                  <c:v>0.99979099999999999</c:v>
                </c:pt>
                <c:pt idx="154">
                  <c:v>0.99995999999999996</c:v>
                </c:pt>
                <c:pt idx="155">
                  <c:v>1.000192</c:v>
                </c:pt>
                <c:pt idx="156">
                  <c:v>1.000129</c:v>
                </c:pt>
                <c:pt idx="157">
                  <c:v>1.00031</c:v>
                </c:pt>
                <c:pt idx="158">
                  <c:v>1.0000070000000001</c:v>
                </c:pt>
                <c:pt idx="159">
                  <c:v>1.000008</c:v>
                </c:pt>
                <c:pt idx="160">
                  <c:v>1.0002789999999999</c:v>
                </c:pt>
                <c:pt idx="161">
                  <c:v>1.0003610000000001</c:v>
                </c:pt>
                <c:pt idx="162">
                  <c:v>1.0000560000000001</c:v>
                </c:pt>
                <c:pt idx="163">
                  <c:v>1.0001180000000001</c:v>
                </c:pt>
                <c:pt idx="164">
                  <c:v>1.0000659999999999</c:v>
                </c:pt>
                <c:pt idx="165">
                  <c:v>0.99994700000000003</c:v>
                </c:pt>
                <c:pt idx="166">
                  <c:v>1.000065</c:v>
                </c:pt>
                <c:pt idx="167">
                  <c:v>0.99991799999999997</c:v>
                </c:pt>
                <c:pt idx="168">
                  <c:v>0.99999400000000005</c:v>
                </c:pt>
                <c:pt idx="169">
                  <c:v>0.99957600000000002</c:v>
                </c:pt>
                <c:pt idx="170">
                  <c:v>0.99978500000000003</c:v>
                </c:pt>
                <c:pt idx="171">
                  <c:v>1.000777</c:v>
                </c:pt>
                <c:pt idx="172">
                  <c:v>1.0006010000000001</c:v>
                </c:pt>
                <c:pt idx="173">
                  <c:v>1.000418</c:v>
                </c:pt>
                <c:pt idx="174">
                  <c:v>1.0003679999999999</c:v>
                </c:pt>
                <c:pt idx="175">
                  <c:v>1.0001949999999999</c:v>
                </c:pt>
                <c:pt idx="176">
                  <c:v>1.000623</c:v>
                </c:pt>
                <c:pt idx="177">
                  <c:v>1.000219</c:v>
                </c:pt>
                <c:pt idx="178">
                  <c:v>0.99980999999999998</c:v>
                </c:pt>
                <c:pt idx="179">
                  <c:v>1.000278</c:v>
                </c:pt>
                <c:pt idx="180">
                  <c:v>0.99994400000000006</c:v>
                </c:pt>
                <c:pt idx="181">
                  <c:v>1.0002549999999999</c:v>
                </c:pt>
                <c:pt idx="182">
                  <c:v>1.0001150000000001</c:v>
                </c:pt>
                <c:pt idx="183">
                  <c:v>1.000149</c:v>
                </c:pt>
                <c:pt idx="184">
                  <c:v>1.0001770000000001</c:v>
                </c:pt>
                <c:pt idx="185">
                  <c:v>0.999838</c:v>
                </c:pt>
                <c:pt idx="186">
                  <c:v>0.99996399999999996</c:v>
                </c:pt>
                <c:pt idx="187">
                  <c:v>1.000251</c:v>
                </c:pt>
                <c:pt idx="188">
                  <c:v>1.000149</c:v>
                </c:pt>
                <c:pt idx="189">
                  <c:v>1.0005679999999999</c:v>
                </c:pt>
                <c:pt idx="190">
                  <c:v>1.0000800000000001</c:v>
                </c:pt>
                <c:pt idx="191">
                  <c:v>1.000216</c:v>
                </c:pt>
                <c:pt idx="192">
                  <c:v>1.00014</c:v>
                </c:pt>
                <c:pt idx="193">
                  <c:v>1.000272</c:v>
                </c:pt>
                <c:pt idx="194">
                  <c:v>1.000175</c:v>
                </c:pt>
                <c:pt idx="195">
                  <c:v>1.000205</c:v>
                </c:pt>
                <c:pt idx="196">
                  <c:v>1.00014</c:v>
                </c:pt>
                <c:pt idx="197">
                  <c:v>1.000089</c:v>
                </c:pt>
                <c:pt idx="198">
                  <c:v>1.0000439999999999</c:v>
                </c:pt>
                <c:pt idx="199">
                  <c:v>1.0002120000000001</c:v>
                </c:pt>
                <c:pt idx="200">
                  <c:v>1.000208</c:v>
                </c:pt>
                <c:pt idx="201">
                  <c:v>1.0000880000000001</c:v>
                </c:pt>
                <c:pt idx="202">
                  <c:v>1.0001949999999999</c:v>
                </c:pt>
                <c:pt idx="203">
                  <c:v>0.99997400000000003</c:v>
                </c:pt>
                <c:pt idx="204">
                  <c:v>1.0005029999999999</c:v>
                </c:pt>
                <c:pt idx="205">
                  <c:v>1.0006429999999999</c:v>
                </c:pt>
                <c:pt idx="206">
                  <c:v>1.0007109999999999</c:v>
                </c:pt>
                <c:pt idx="207">
                  <c:v>1.0004489999999999</c:v>
                </c:pt>
                <c:pt idx="208">
                  <c:v>1.000151</c:v>
                </c:pt>
                <c:pt idx="209">
                  <c:v>1.0002580000000001</c:v>
                </c:pt>
                <c:pt idx="210">
                  <c:v>1.0004090000000001</c:v>
                </c:pt>
                <c:pt idx="211">
                  <c:v>1.0001800000000001</c:v>
                </c:pt>
                <c:pt idx="212">
                  <c:v>0.99996399999999996</c:v>
                </c:pt>
                <c:pt idx="213">
                  <c:v>1.0000929999999999</c:v>
                </c:pt>
                <c:pt idx="214">
                  <c:v>1.0005599999999999</c:v>
                </c:pt>
                <c:pt idx="215">
                  <c:v>0.99992000000000003</c:v>
                </c:pt>
                <c:pt idx="216">
                  <c:v>1.0000830000000001</c:v>
                </c:pt>
                <c:pt idx="217">
                  <c:v>1.0000089999999999</c:v>
                </c:pt>
                <c:pt idx="218">
                  <c:v>1.0001230000000001</c:v>
                </c:pt>
                <c:pt idx="219">
                  <c:v>1.000121</c:v>
                </c:pt>
                <c:pt idx="220">
                  <c:v>1.0003930000000001</c:v>
                </c:pt>
                <c:pt idx="221">
                  <c:v>1.0000899999999999</c:v>
                </c:pt>
                <c:pt idx="222">
                  <c:v>1.000216</c:v>
                </c:pt>
                <c:pt idx="223">
                  <c:v>0.99995999999999996</c:v>
                </c:pt>
                <c:pt idx="224">
                  <c:v>1.0003569999999999</c:v>
                </c:pt>
                <c:pt idx="225">
                  <c:v>1.0003359999999999</c:v>
                </c:pt>
                <c:pt idx="226">
                  <c:v>1.0001119999999999</c:v>
                </c:pt>
                <c:pt idx="227">
                  <c:v>0.99989300000000003</c:v>
                </c:pt>
                <c:pt idx="228">
                  <c:v>1.000105</c:v>
                </c:pt>
                <c:pt idx="229">
                  <c:v>0.999915</c:v>
                </c:pt>
                <c:pt idx="230">
                  <c:v>1.0000599999999999</c:v>
                </c:pt>
                <c:pt idx="231">
                  <c:v>1.000046</c:v>
                </c:pt>
                <c:pt idx="232">
                  <c:v>1.0001709999999999</c:v>
                </c:pt>
                <c:pt idx="233">
                  <c:v>0.99990999999999997</c:v>
                </c:pt>
                <c:pt idx="234">
                  <c:v>1.0001640000000001</c:v>
                </c:pt>
                <c:pt idx="235">
                  <c:v>1.0000089999999999</c:v>
                </c:pt>
                <c:pt idx="236">
                  <c:v>0.999946</c:v>
                </c:pt>
                <c:pt idx="237">
                  <c:v>1.0001720000000001</c:v>
                </c:pt>
                <c:pt idx="238">
                  <c:v>1.0002420000000001</c:v>
                </c:pt>
                <c:pt idx="239">
                  <c:v>0.99987199999999998</c:v>
                </c:pt>
                <c:pt idx="240">
                  <c:v>0.99987300000000001</c:v>
                </c:pt>
                <c:pt idx="241">
                  <c:v>0.99988699999999997</c:v>
                </c:pt>
                <c:pt idx="242">
                  <c:v>1.0000789999999999</c:v>
                </c:pt>
                <c:pt idx="243">
                  <c:v>0.99995199999999995</c:v>
                </c:pt>
                <c:pt idx="244">
                  <c:v>1.0000070000000001</c:v>
                </c:pt>
                <c:pt idx="245">
                  <c:v>1.0000640000000001</c:v>
                </c:pt>
                <c:pt idx="246">
                  <c:v>0.99977700000000003</c:v>
                </c:pt>
                <c:pt idx="247">
                  <c:v>1.0001610000000001</c:v>
                </c:pt>
                <c:pt idx="248">
                  <c:v>1.0001409999999999</c:v>
                </c:pt>
                <c:pt idx="249">
                  <c:v>1.000024</c:v>
                </c:pt>
                <c:pt idx="250">
                  <c:v>0.99972000000000005</c:v>
                </c:pt>
                <c:pt idx="251">
                  <c:v>0.99974799999999997</c:v>
                </c:pt>
                <c:pt idx="252">
                  <c:v>0.99975800000000004</c:v>
                </c:pt>
                <c:pt idx="253">
                  <c:v>0.99985599999999997</c:v>
                </c:pt>
                <c:pt idx="254">
                  <c:v>0.99996700000000005</c:v>
                </c:pt>
                <c:pt idx="255">
                  <c:v>1.0000340000000001</c:v>
                </c:pt>
                <c:pt idx="256">
                  <c:v>1.0000370000000001</c:v>
                </c:pt>
                <c:pt idx="257">
                  <c:v>1.000121</c:v>
                </c:pt>
                <c:pt idx="258">
                  <c:v>0.99984799999999996</c:v>
                </c:pt>
                <c:pt idx="259">
                  <c:v>0.99993799999999999</c:v>
                </c:pt>
                <c:pt idx="260">
                  <c:v>1.0000800000000001</c:v>
                </c:pt>
                <c:pt idx="261">
                  <c:v>0.99977199999999999</c:v>
                </c:pt>
                <c:pt idx="262">
                  <c:v>1.0001359999999999</c:v>
                </c:pt>
                <c:pt idx="263">
                  <c:v>0.999884</c:v>
                </c:pt>
                <c:pt idx="264">
                  <c:v>1.000041</c:v>
                </c:pt>
                <c:pt idx="265">
                  <c:v>0.99995199999999995</c:v>
                </c:pt>
                <c:pt idx="266">
                  <c:v>0.99988200000000005</c:v>
                </c:pt>
                <c:pt idx="267">
                  <c:v>0.999915</c:v>
                </c:pt>
                <c:pt idx="268">
                  <c:v>1.0000640000000001</c:v>
                </c:pt>
                <c:pt idx="269">
                  <c:v>0.99997499999999995</c:v>
                </c:pt>
                <c:pt idx="270">
                  <c:v>0.99993699999999996</c:v>
                </c:pt>
                <c:pt idx="271">
                  <c:v>0.99995400000000001</c:v>
                </c:pt>
                <c:pt idx="272">
                  <c:v>1.0001880000000001</c:v>
                </c:pt>
                <c:pt idx="273">
                  <c:v>1.0001139999999999</c:v>
                </c:pt>
                <c:pt idx="274">
                  <c:v>1.0000500000000001</c:v>
                </c:pt>
                <c:pt idx="275">
                  <c:v>1.000105</c:v>
                </c:pt>
                <c:pt idx="276">
                  <c:v>1.00013</c:v>
                </c:pt>
                <c:pt idx="277">
                  <c:v>1.0001389999999999</c:v>
                </c:pt>
                <c:pt idx="278">
                  <c:v>1.00014</c:v>
                </c:pt>
                <c:pt idx="279">
                  <c:v>1.0000869999999999</c:v>
                </c:pt>
                <c:pt idx="280">
                  <c:v>1.0000910000000001</c:v>
                </c:pt>
                <c:pt idx="281">
                  <c:v>1.0002340000000001</c:v>
                </c:pt>
                <c:pt idx="282">
                  <c:v>1.0001629999999999</c:v>
                </c:pt>
                <c:pt idx="283">
                  <c:v>1.0001169999999999</c:v>
                </c:pt>
                <c:pt idx="284">
                  <c:v>1.0001199999999999</c:v>
                </c:pt>
                <c:pt idx="285">
                  <c:v>1.0001199999999999</c:v>
                </c:pt>
                <c:pt idx="286">
                  <c:v>1.0001009999999999</c:v>
                </c:pt>
                <c:pt idx="287">
                  <c:v>1.000092</c:v>
                </c:pt>
                <c:pt idx="288">
                  <c:v>1.0000929999999999</c:v>
                </c:pt>
                <c:pt idx="289">
                  <c:v>1.000178</c:v>
                </c:pt>
                <c:pt idx="290">
                  <c:v>1.000173</c:v>
                </c:pt>
                <c:pt idx="291">
                  <c:v>1.0003029999999999</c:v>
                </c:pt>
                <c:pt idx="292">
                  <c:v>1.0004200000000001</c:v>
                </c:pt>
                <c:pt idx="293">
                  <c:v>1.000343</c:v>
                </c:pt>
                <c:pt idx="294">
                  <c:v>1.0003230000000001</c:v>
                </c:pt>
                <c:pt idx="295">
                  <c:v>1.00034</c:v>
                </c:pt>
                <c:pt idx="296">
                  <c:v>1.000213</c:v>
                </c:pt>
                <c:pt idx="297">
                  <c:v>1.000275</c:v>
                </c:pt>
                <c:pt idx="298">
                  <c:v>1.000095</c:v>
                </c:pt>
                <c:pt idx="299">
                  <c:v>1.0001370000000001</c:v>
                </c:pt>
                <c:pt idx="300">
                  <c:v>1.0001450000000001</c:v>
                </c:pt>
                <c:pt idx="301">
                  <c:v>1.000175</c:v>
                </c:pt>
                <c:pt idx="302">
                  <c:v>1.000194</c:v>
                </c:pt>
                <c:pt idx="303">
                  <c:v>1.000194</c:v>
                </c:pt>
                <c:pt idx="304">
                  <c:v>1.0001720000000001</c:v>
                </c:pt>
                <c:pt idx="305">
                  <c:v>1.000048</c:v>
                </c:pt>
                <c:pt idx="306">
                  <c:v>1.000102</c:v>
                </c:pt>
                <c:pt idx="307">
                  <c:v>1.0001370000000001</c:v>
                </c:pt>
                <c:pt idx="308">
                  <c:v>1.000157</c:v>
                </c:pt>
                <c:pt idx="309">
                  <c:v>1.0000960000000001</c:v>
                </c:pt>
                <c:pt idx="310">
                  <c:v>1.0000519999999999</c:v>
                </c:pt>
                <c:pt idx="311">
                  <c:v>1.000097</c:v>
                </c:pt>
                <c:pt idx="312">
                  <c:v>1.000165</c:v>
                </c:pt>
                <c:pt idx="313">
                  <c:v>1.0001070000000001</c:v>
                </c:pt>
                <c:pt idx="314">
                  <c:v>1.0001059999999999</c:v>
                </c:pt>
                <c:pt idx="315">
                  <c:v>1.0001580000000001</c:v>
                </c:pt>
                <c:pt idx="316">
                  <c:v>1.000256</c:v>
                </c:pt>
                <c:pt idx="317">
                  <c:v>1.000305</c:v>
                </c:pt>
                <c:pt idx="318">
                  <c:v>1.000224</c:v>
                </c:pt>
                <c:pt idx="319">
                  <c:v>1.0002120000000001</c:v>
                </c:pt>
                <c:pt idx="320">
                  <c:v>1.0001899999999999</c:v>
                </c:pt>
                <c:pt idx="321">
                  <c:v>1.0001819999999999</c:v>
                </c:pt>
                <c:pt idx="322">
                  <c:v>1.000189</c:v>
                </c:pt>
                <c:pt idx="323">
                  <c:v>1.000065</c:v>
                </c:pt>
                <c:pt idx="324">
                  <c:v>1.0000439999999999</c:v>
                </c:pt>
                <c:pt idx="325">
                  <c:v>1.0001359999999999</c:v>
                </c:pt>
                <c:pt idx="326">
                  <c:v>1.0001530000000001</c:v>
                </c:pt>
                <c:pt idx="327">
                  <c:v>1.000159</c:v>
                </c:pt>
                <c:pt idx="328">
                  <c:v>1.000149</c:v>
                </c:pt>
                <c:pt idx="329">
                  <c:v>1.000148</c:v>
                </c:pt>
                <c:pt idx="330">
                  <c:v>1.0001979999999999</c:v>
                </c:pt>
                <c:pt idx="331">
                  <c:v>1.00021</c:v>
                </c:pt>
                <c:pt idx="332">
                  <c:v>1.000159</c:v>
                </c:pt>
                <c:pt idx="333">
                  <c:v>1.0001409999999999</c:v>
                </c:pt>
                <c:pt idx="334">
                  <c:v>1.0001960000000001</c:v>
                </c:pt>
                <c:pt idx="335">
                  <c:v>1.000203</c:v>
                </c:pt>
                <c:pt idx="336">
                  <c:v>1.000175</c:v>
                </c:pt>
                <c:pt idx="337">
                  <c:v>1.0002549999999999</c:v>
                </c:pt>
                <c:pt idx="338">
                  <c:v>1.0002770000000001</c:v>
                </c:pt>
                <c:pt idx="339">
                  <c:v>1.0002629999999999</c:v>
                </c:pt>
                <c:pt idx="340">
                  <c:v>1.0002249999999999</c:v>
                </c:pt>
                <c:pt idx="341">
                  <c:v>1.000346</c:v>
                </c:pt>
                <c:pt idx="342">
                  <c:v>1.000346</c:v>
                </c:pt>
                <c:pt idx="343">
                  <c:v>1.0002519999999999</c:v>
                </c:pt>
                <c:pt idx="344">
                  <c:v>0.99998500000000001</c:v>
                </c:pt>
                <c:pt idx="345">
                  <c:v>1.0000789999999999</c:v>
                </c:pt>
                <c:pt idx="346">
                  <c:v>1.000048</c:v>
                </c:pt>
                <c:pt idx="347">
                  <c:v>1.000119</c:v>
                </c:pt>
                <c:pt idx="348">
                  <c:v>1.0001800000000001</c:v>
                </c:pt>
                <c:pt idx="349">
                  <c:v>1.0001640000000001</c:v>
                </c:pt>
                <c:pt idx="350">
                  <c:v>1.000165</c:v>
                </c:pt>
                <c:pt idx="351">
                  <c:v>1.000515</c:v>
                </c:pt>
                <c:pt idx="352">
                  <c:v>1.000043</c:v>
                </c:pt>
                <c:pt idx="353">
                  <c:v>0.99863400000000002</c:v>
                </c:pt>
                <c:pt idx="354">
                  <c:v>0.99781399999999998</c:v>
                </c:pt>
                <c:pt idx="355">
                  <c:v>0.99819800000000003</c:v>
                </c:pt>
                <c:pt idx="356">
                  <c:v>0.99861699999999998</c:v>
                </c:pt>
                <c:pt idx="357">
                  <c:v>0.99875000000000003</c:v>
                </c:pt>
                <c:pt idx="358">
                  <c:v>0.99902100000000005</c:v>
                </c:pt>
                <c:pt idx="359">
                  <c:v>0.99913600000000002</c:v>
                </c:pt>
                <c:pt idx="360">
                  <c:v>0.99923099999999998</c:v>
                </c:pt>
                <c:pt idx="361">
                  <c:v>0.99939599999999995</c:v>
                </c:pt>
                <c:pt idx="362">
                  <c:v>0.99917500000000004</c:v>
                </c:pt>
                <c:pt idx="363">
                  <c:v>0.99908699999999995</c:v>
                </c:pt>
                <c:pt idx="364">
                  <c:v>0.99899499999999997</c:v>
                </c:pt>
                <c:pt idx="365">
                  <c:v>0.999081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AE-448E-A35C-777B8F365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392216"/>
        <c:axId val="387390904"/>
      </c:lineChart>
      <c:dateAx>
        <c:axId val="3873922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90904"/>
        <c:crosses val="autoZero"/>
        <c:auto val="1"/>
        <c:lblOffset val="100"/>
        <c:baseTimeUnit val="days"/>
      </c:dateAx>
      <c:valAx>
        <c:axId val="38739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92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CRYPTO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worksheet!$AL$1</c:f>
              <c:strCache>
                <c:ptCount val="1"/>
                <c:pt idx="0">
                  <c:v>etherum Open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worksheet!$AK$2:$AK$367</c:f>
              <c:numCache>
                <c:formatCode>m/d/yyyy</c:formatCode>
                <c:ptCount val="366"/>
                <c:pt idx="0">
                  <c:v>44522</c:v>
                </c:pt>
                <c:pt idx="1">
                  <c:v>44523</c:v>
                </c:pt>
                <c:pt idx="2">
                  <c:v>44524</c:v>
                </c:pt>
                <c:pt idx="3">
                  <c:v>44525</c:v>
                </c:pt>
                <c:pt idx="4">
                  <c:v>44526</c:v>
                </c:pt>
                <c:pt idx="5">
                  <c:v>44527</c:v>
                </c:pt>
                <c:pt idx="6">
                  <c:v>44528</c:v>
                </c:pt>
                <c:pt idx="7">
                  <c:v>44529</c:v>
                </c:pt>
                <c:pt idx="8">
                  <c:v>44530</c:v>
                </c:pt>
                <c:pt idx="9">
                  <c:v>44531</c:v>
                </c:pt>
                <c:pt idx="10">
                  <c:v>44532</c:v>
                </c:pt>
                <c:pt idx="11">
                  <c:v>44533</c:v>
                </c:pt>
                <c:pt idx="12">
                  <c:v>44534</c:v>
                </c:pt>
                <c:pt idx="13">
                  <c:v>44535</c:v>
                </c:pt>
                <c:pt idx="14">
                  <c:v>44536</c:v>
                </c:pt>
                <c:pt idx="15">
                  <c:v>44537</c:v>
                </c:pt>
                <c:pt idx="16">
                  <c:v>44538</c:v>
                </c:pt>
                <c:pt idx="17">
                  <c:v>44539</c:v>
                </c:pt>
                <c:pt idx="18">
                  <c:v>44540</c:v>
                </c:pt>
                <c:pt idx="19">
                  <c:v>44541</c:v>
                </c:pt>
                <c:pt idx="20">
                  <c:v>44542</c:v>
                </c:pt>
                <c:pt idx="21">
                  <c:v>44543</c:v>
                </c:pt>
                <c:pt idx="22">
                  <c:v>44544</c:v>
                </c:pt>
                <c:pt idx="23">
                  <c:v>44545</c:v>
                </c:pt>
                <c:pt idx="24">
                  <c:v>44546</c:v>
                </c:pt>
                <c:pt idx="25">
                  <c:v>44547</c:v>
                </c:pt>
                <c:pt idx="26">
                  <c:v>44548</c:v>
                </c:pt>
                <c:pt idx="27">
                  <c:v>44549</c:v>
                </c:pt>
                <c:pt idx="28">
                  <c:v>44550</c:v>
                </c:pt>
                <c:pt idx="29">
                  <c:v>44551</c:v>
                </c:pt>
                <c:pt idx="30">
                  <c:v>44552</c:v>
                </c:pt>
                <c:pt idx="31">
                  <c:v>44553</c:v>
                </c:pt>
                <c:pt idx="32">
                  <c:v>44554</c:v>
                </c:pt>
                <c:pt idx="33">
                  <c:v>44555</c:v>
                </c:pt>
                <c:pt idx="34">
                  <c:v>44556</c:v>
                </c:pt>
                <c:pt idx="35">
                  <c:v>44557</c:v>
                </c:pt>
                <c:pt idx="36">
                  <c:v>44558</c:v>
                </c:pt>
                <c:pt idx="37">
                  <c:v>44559</c:v>
                </c:pt>
                <c:pt idx="38">
                  <c:v>44560</c:v>
                </c:pt>
                <c:pt idx="39">
                  <c:v>44561</c:v>
                </c:pt>
                <c:pt idx="40">
                  <c:v>44562</c:v>
                </c:pt>
                <c:pt idx="41">
                  <c:v>44563</c:v>
                </c:pt>
                <c:pt idx="42">
                  <c:v>44564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44569</c:v>
                </c:pt>
                <c:pt idx="48">
                  <c:v>44570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44576</c:v>
                </c:pt>
                <c:pt idx="55">
                  <c:v>44577</c:v>
                </c:pt>
                <c:pt idx="56">
                  <c:v>44578</c:v>
                </c:pt>
                <c:pt idx="57">
                  <c:v>44579</c:v>
                </c:pt>
                <c:pt idx="58">
                  <c:v>44580</c:v>
                </c:pt>
                <c:pt idx="59">
                  <c:v>44581</c:v>
                </c:pt>
                <c:pt idx="60">
                  <c:v>44582</c:v>
                </c:pt>
                <c:pt idx="61">
                  <c:v>44583</c:v>
                </c:pt>
                <c:pt idx="62">
                  <c:v>44584</c:v>
                </c:pt>
                <c:pt idx="63">
                  <c:v>44585</c:v>
                </c:pt>
                <c:pt idx="64">
                  <c:v>44586</c:v>
                </c:pt>
                <c:pt idx="65">
                  <c:v>44587</c:v>
                </c:pt>
                <c:pt idx="66">
                  <c:v>44588</c:v>
                </c:pt>
                <c:pt idx="67">
                  <c:v>44589</c:v>
                </c:pt>
                <c:pt idx="68">
                  <c:v>44590</c:v>
                </c:pt>
                <c:pt idx="69">
                  <c:v>44591</c:v>
                </c:pt>
                <c:pt idx="70">
                  <c:v>44592</c:v>
                </c:pt>
                <c:pt idx="71">
                  <c:v>44593</c:v>
                </c:pt>
                <c:pt idx="72">
                  <c:v>44594</c:v>
                </c:pt>
                <c:pt idx="73">
                  <c:v>44595</c:v>
                </c:pt>
                <c:pt idx="74">
                  <c:v>44596</c:v>
                </c:pt>
                <c:pt idx="75">
                  <c:v>44597</c:v>
                </c:pt>
                <c:pt idx="76">
                  <c:v>44598</c:v>
                </c:pt>
                <c:pt idx="77">
                  <c:v>44599</c:v>
                </c:pt>
                <c:pt idx="78">
                  <c:v>44600</c:v>
                </c:pt>
                <c:pt idx="79">
                  <c:v>44601</c:v>
                </c:pt>
                <c:pt idx="80">
                  <c:v>44602</c:v>
                </c:pt>
                <c:pt idx="81">
                  <c:v>44603</c:v>
                </c:pt>
                <c:pt idx="82">
                  <c:v>44604</c:v>
                </c:pt>
                <c:pt idx="83">
                  <c:v>44605</c:v>
                </c:pt>
                <c:pt idx="84">
                  <c:v>44606</c:v>
                </c:pt>
                <c:pt idx="85">
                  <c:v>44607</c:v>
                </c:pt>
                <c:pt idx="86">
                  <c:v>44608</c:v>
                </c:pt>
                <c:pt idx="87">
                  <c:v>44609</c:v>
                </c:pt>
                <c:pt idx="88">
                  <c:v>44610</c:v>
                </c:pt>
                <c:pt idx="89">
                  <c:v>44611</c:v>
                </c:pt>
                <c:pt idx="90">
                  <c:v>44612</c:v>
                </c:pt>
                <c:pt idx="91">
                  <c:v>44613</c:v>
                </c:pt>
                <c:pt idx="92">
                  <c:v>44614</c:v>
                </c:pt>
                <c:pt idx="93">
                  <c:v>44615</c:v>
                </c:pt>
                <c:pt idx="94">
                  <c:v>44616</c:v>
                </c:pt>
                <c:pt idx="95">
                  <c:v>44617</c:v>
                </c:pt>
                <c:pt idx="96">
                  <c:v>44618</c:v>
                </c:pt>
                <c:pt idx="97">
                  <c:v>44619</c:v>
                </c:pt>
                <c:pt idx="98">
                  <c:v>44620</c:v>
                </c:pt>
                <c:pt idx="99">
                  <c:v>44621</c:v>
                </c:pt>
                <c:pt idx="100">
                  <c:v>44622</c:v>
                </c:pt>
                <c:pt idx="101">
                  <c:v>44623</c:v>
                </c:pt>
                <c:pt idx="102">
                  <c:v>44624</c:v>
                </c:pt>
                <c:pt idx="103">
                  <c:v>44625</c:v>
                </c:pt>
                <c:pt idx="104">
                  <c:v>44626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44632</c:v>
                </c:pt>
                <c:pt idx="111">
                  <c:v>44633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44639</c:v>
                </c:pt>
                <c:pt idx="118">
                  <c:v>44640</c:v>
                </c:pt>
                <c:pt idx="119">
                  <c:v>44641</c:v>
                </c:pt>
                <c:pt idx="120">
                  <c:v>44642</c:v>
                </c:pt>
                <c:pt idx="121">
                  <c:v>44643</c:v>
                </c:pt>
                <c:pt idx="122">
                  <c:v>44644</c:v>
                </c:pt>
                <c:pt idx="123">
                  <c:v>44645</c:v>
                </c:pt>
                <c:pt idx="124">
                  <c:v>44646</c:v>
                </c:pt>
                <c:pt idx="125">
                  <c:v>44647</c:v>
                </c:pt>
                <c:pt idx="126">
                  <c:v>44648</c:v>
                </c:pt>
                <c:pt idx="127">
                  <c:v>44649</c:v>
                </c:pt>
                <c:pt idx="128">
                  <c:v>44650</c:v>
                </c:pt>
                <c:pt idx="129">
                  <c:v>44651</c:v>
                </c:pt>
                <c:pt idx="130">
                  <c:v>44652</c:v>
                </c:pt>
                <c:pt idx="131">
                  <c:v>44653</c:v>
                </c:pt>
                <c:pt idx="132">
                  <c:v>44654</c:v>
                </c:pt>
                <c:pt idx="133">
                  <c:v>44655</c:v>
                </c:pt>
                <c:pt idx="134">
                  <c:v>44656</c:v>
                </c:pt>
                <c:pt idx="135">
                  <c:v>44657</c:v>
                </c:pt>
                <c:pt idx="136">
                  <c:v>44658</c:v>
                </c:pt>
                <c:pt idx="137">
                  <c:v>44659</c:v>
                </c:pt>
                <c:pt idx="138">
                  <c:v>44660</c:v>
                </c:pt>
                <c:pt idx="139">
                  <c:v>44661</c:v>
                </c:pt>
                <c:pt idx="140">
                  <c:v>44662</c:v>
                </c:pt>
                <c:pt idx="141">
                  <c:v>44663</c:v>
                </c:pt>
                <c:pt idx="142">
                  <c:v>44664</c:v>
                </c:pt>
                <c:pt idx="143">
                  <c:v>44665</c:v>
                </c:pt>
                <c:pt idx="144">
                  <c:v>44666</c:v>
                </c:pt>
                <c:pt idx="145">
                  <c:v>44667</c:v>
                </c:pt>
                <c:pt idx="146">
                  <c:v>44668</c:v>
                </c:pt>
                <c:pt idx="147">
                  <c:v>44669</c:v>
                </c:pt>
                <c:pt idx="148">
                  <c:v>44670</c:v>
                </c:pt>
                <c:pt idx="149">
                  <c:v>44671</c:v>
                </c:pt>
                <c:pt idx="150">
                  <c:v>44672</c:v>
                </c:pt>
                <c:pt idx="151">
                  <c:v>44673</c:v>
                </c:pt>
                <c:pt idx="152">
                  <c:v>44674</c:v>
                </c:pt>
                <c:pt idx="153">
                  <c:v>44675</c:v>
                </c:pt>
                <c:pt idx="154">
                  <c:v>44676</c:v>
                </c:pt>
                <c:pt idx="155">
                  <c:v>44677</c:v>
                </c:pt>
                <c:pt idx="156">
                  <c:v>44678</c:v>
                </c:pt>
                <c:pt idx="157">
                  <c:v>44679</c:v>
                </c:pt>
                <c:pt idx="158">
                  <c:v>44680</c:v>
                </c:pt>
                <c:pt idx="159">
                  <c:v>44681</c:v>
                </c:pt>
                <c:pt idx="160">
                  <c:v>44682</c:v>
                </c:pt>
                <c:pt idx="161">
                  <c:v>44683</c:v>
                </c:pt>
                <c:pt idx="162">
                  <c:v>44684</c:v>
                </c:pt>
                <c:pt idx="163">
                  <c:v>44685</c:v>
                </c:pt>
                <c:pt idx="164">
                  <c:v>44686</c:v>
                </c:pt>
                <c:pt idx="165">
                  <c:v>44687</c:v>
                </c:pt>
                <c:pt idx="166">
                  <c:v>44688</c:v>
                </c:pt>
                <c:pt idx="167">
                  <c:v>44689</c:v>
                </c:pt>
                <c:pt idx="168">
                  <c:v>44690</c:v>
                </c:pt>
                <c:pt idx="169">
                  <c:v>44691</c:v>
                </c:pt>
                <c:pt idx="170">
                  <c:v>44692</c:v>
                </c:pt>
                <c:pt idx="171">
                  <c:v>44693</c:v>
                </c:pt>
                <c:pt idx="172">
                  <c:v>44694</c:v>
                </c:pt>
                <c:pt idx="173">
                  <c:v>44695</c:v>
                </c:pt>
                <c:pt idx="174">
                  <c:v>44696</c:v>
                </c:pt>
                <c:pt idx="175">
                  <c:v>44697</c:v>
                </c:pt>
                <c:pt idx="176">
                  <c:v>44698</c:v>
                </c:pt>
                <c:pt idx="177">
                  <c:v>44699</c:v>
                </c:pt>
                <c:pt idx="178">
                  <c:v>44700</c:v>
                </c:pt>
                <c:pt idx="179">
                  <c:v>44701</c:v>
                </c:pt>
                <c:pt idx="180">
                  <c:v>44702</c:v>
                </c:pt>
                <c:pt idx="181">
                  <c:v>44703</c:v>
                </c:pt>
                <c:pt idx="182">
                  <c:v>44704</c:v>
                </c:pt>
                <c:pt idx="183">
                  <c:v>44705</c:v>
                </c:pt>
                <c:pt idx="184">
                  <c:v>44706</c:v>
                </c:pt>
                <c:pt idx="185">
                  <c:v>44707</c:v>
                </c:pt>
                <c:pt idx="186">
                  <c:v>44708</c:v>
                </c:pt>
                <c:pt idx="187">
                  <c:v>44709</c:v>
                </c:pt>
                <c:pt idx="188">
                  <c:v>44710</c:v>
                </c:pt>
                <c:pt idx="189">
                  <c:v>44711</c:v>
                </c:pt>
                <c:pt idx="190">
                  <c:v>44712</c:v>
                </c:pt>
                <c:pt idx="191">
                  <c:v>44713</c:v>
                </c:pt>
                <c:pt idx="192">
                  <c:v>44714</c:v>
                </c:pt>
                <c:pt idx="193">
                  <c:v>44715</c:v>
                </c:pt>
                <c:pt idx="194">
                  <c:v>44716</c:v>
                </c:pt>
                <c:pt idx="195">
                  <c:v>44717</c:v>
                </c:pt>
                <c:pt idx="196">
                  <c:v>44718</c:v>
                </c:pt>
                <c:pt idx="197">
                  <c:v>44719</c:v>
                </c:pt>
                <c:pt idx="198">
                  <c:v>44720</c:v>
                </c:pt>
                <c:pt idx="199">
                  <c:v>44721</c:v>
                </c:pt>
                <c:pt idx="200">
                  <c:v>44722</c:v>
                </c:pt>
                <c:pt idx="201">
                  <c:v>44723</c:v>
                </c:pt>
                <c:pt idx="202">
                  <c:v>44724</c:v>
                </c:pt>
                <c:pt idx="203">
                  <c:v>44725</c:v>
                </c:pt>
                <c:pt idx="204">
                  <c:v>44726</c:v>
                </c:pt>
                <c:pt idx="205">
                  <c:v>44727</c:v>
                </c:pt>
                <c:pt idx="206">
                  <c:v>44728</c:v>
                </c:pt>
                <c:pt idx="207">
                  <c:v>44729</c:v>
                </c:pt>
                <c:pt idx="208">
                  <c:v>44730</c:v>
                </c:pt>
                <c:pt idx="209">
                  <c:v>44731</c:v>
                </c:pt>
                <c:pt idx="210">
                  <c:v>44732</c:v>
                </c:pt>
                <c:pt idx="211">
                  <c:v>44733</c:v>
                </c:pt>
                <c:pt idx="212">
                  <c:v>44734</c:v>
                </c:pt>
                <c:pt idx="213">
                  <c:v>44735</c:v>
                </c:pt>
                <c:pt idx="214">
                  <c:v>44736</c:v>
                </c:pt>
                <c:pt idx="215">
                  <c:v>44737</c:v>
                </c:pt>
                <c:pt idx="216">
                  <c:v>44738</c:v>
                </c:pt>
                <c:pt idx="217">
                  <c:v>44739</c:v>
                </c:pt>
                <c:pt idx="218">
                  <c:v>44740</c:v>
                </c:pt>
                <c:pt idx="219">
                  <c:v>44741</c:v>
                </c:pt>
                <c:pt idx="220">
                  <c:v>44742</c:v>
                </c:pt>
                <c:pt idx="221">
                  <c:v>44743</c:v>
                </c:pt>
                <c:pt idx="222">
                  <c:v>44744</c:v>
                </c:pt>
                <c:pt idx="223">
                  <c:v>44745</c:v>
                </c:pt>
                <c:pt idx="224">
                  <c:v>44746</c:v>
                </c:pt>
                <c:pt idx="225">
                  <c:v>44747</c:v>
                </c:pt>
                <c:pt idx="226">
                  <c:v>44748</c:v>
                </c:pt>
                <c:pt idx="227">
                  <c:v>44749</c:v>
                </c:pt>
                <c:pt idx="228">
                  <c:v>44750</c:v>
                </c:pt>
                <c:pt idx="229">
                  <c:v>44751</c:v>
                </c:pt>
                <c:pt idx="230">
                  <c:v>44752</c:v>
                </c:pt>
                <c:pt idx="231">
                  <c:v>44753</c:v>
                </c:pt>
                <c:pt idx="232">
                  <c:v>44754</c:v>
                </c:pt>
                <c:pt idx="233">
                  <c:v>44755</c:v>
                </c:pt>
                <c:pt idx="234">
                  <c:v>44756</c:v>
                </c:pt>
                <c:pt idx="235">
                  <c:v>44757</c:v>
                </c:pt>
                <c:pt idx="236">
                  <c:v>44758</c:v>
                </c:pt>
                <c:pt idx="237">
                  <c:v>44759</c:v>
                </c:pt>
                <c:pt idx="238">
                  <c:v>44760</c:v>
                </c:pt>
                <c:pt idx="239">
                  <c:v>44761</c:v>
                </c:pt>
                <c:pt idx="240">
                  <c:v>44762</c:v>
                </c:pt>
                <c:pt idx="241">
                  <c:v>44763</c:v>
                </c:pt>
                <c:pt idx="242">
                  <c:v>44764</c:v>
                </c:pt>
                <c:pt idx="243">
                  <c:v>44765</c:v>
                </c:pt>
                <c:pt idx="244">
                  <c:v>44766</c:v>
                </c:pt>
                <c:pt idx="245">
                  <c:v>44767</c:v>
                </c:pt>
                <c:pt idx="246">
                  <c:v>44768</c:v>
                </c:pt>
                <c:pt idx="247">
                  <c:v>44769</c:v>
                </c:pt>
                <c:pt idx="248">
                  <c:v>44770</c:v>
                </c:pt>
                <c:pt idx="249">
                  <c:v>44771</c:v>
                </c:pt>
                <c:pt idx="250">
                  <c:v>44772</c:v>
                </c:pt>
                <c:pt idx="251">
                  <c:v>44773</c:v>
                </c:pt>
                <c:pt idx="252">
                  <c:v>44774</c:v>
                </c:pt>
                <c:pt idx="253">
                  <c:v>44775</c:v>
                </c:pt>
                <c:pt idx="254">
                  <c:v>44776</c:v>
                </c:pt>
                <c:pt idx="255">
                  <c:v>44777</c:v>
                </c:pt>
                <c:pt idx="256">
                  <c:v>44778</c:v>
                </c:pt>
                <c:pt idx="257">
                  <c:v>44779</c:v>
                </c:pt>
                <c:pt idx="258">
                  <c:v>44780</c:v>
                </c:pt>
                <c:pt idx="259">
                  <c:v>44781</c:v>
                </c:pt>
                <c:pt idx="260">
                  <c:v>44782</c:v>
                </c:pt>
                <c:pt idx="261">
                  <c:v>44783</c:v>
                </c:pt>
                <c:pt idx="262">
                  <c:v>44784</c:v>
                </c:pt>
                <c:pt idx="263">
                  <c:v>44785</c:v>
                </c:pt>
                <c:pt idx="264">
                  <c:v>44786</c:v>
                </c:pt>
                <c:pt idx="265">
                  <c:v>44787</c:v>
                </c:pt>
                <c:pt idx="266">
                  <c:v>44788</c:v>
                </c:pt>
                <c:pt idx="267">
                  <c:v>44789</c:v>
                </c:pt>
                <c:pt idx="268">
                  <c:v>44790</c:v>
                </c:pt>
                <c:pt idx="269">
                  <c:v>44791</c:v>
                </c:pt>
                <c:pt idx="270">
                  <c:v>44792</c:v>
                </c:pt>
                <c:pt idx="271">
                  <c:v>44793</c:v>
                </c:pt>
                <c:pt idx="272">
                  <c:v>44794</c:v>
                </c:pt>
                <c:pt idx="273">
                  <c:v>44795</c:v>
                </c:pt>
                <c:pt idx="274">
                  <c:v>44796</c:v>
                </c:pt>
                <c:pt idx="275">
                  <c:v>44797</c:v>
                </c:pt>
                <c:pt idx="276">
                  <c:v>44798</c:v>
                </c:pt>
                <c:pt idx="277">
                  <c:v>44799</c:v>
                </c:pt>
                <c:pt idx="278">
                  <c:v>44800</c:v>
                </c:pt>
                <c:pt idx="279">
                  <c:v>44801</c:v>
                </c:pt>
                <c:pt idx="280">
                  <c:v>44802</c:v>
                </c:pt>
                <c:pt idx="281">
                  <c:v>44803</c:v>
                </c:pt>
                <c:pt idx="282">
                  <c:v>44804</c:v>
                </c:pt>
                <c:pt idx="283">
                  <c:v>44805</c:v>
                </c:pt>
                <c:pt idx="284">
                  <c:v>44806</c:v>
                </c:pt>
                <c:pt idx="285">
                  <c:v>44807</c:v>
                </c:pt>
                <c:pt idx="286">
                  <c:v>44808</c:v>
                </c:pt>
                <c:pt idx="287">
                  <c:v>44809</c:v>
                </c:pt>
                <c:pt idx="288">
                  <c:v>44810</c:v>
                </c:pt>
                <c:pt idx="289">
                  <c:v>44811</c:v>
                </c:pt>
                <c:pt idx="290">
                  <c:v>44812</c:v>
                </c:pt>
                <c:pt idx="291">
                  <c:v>44813</c:v>
                </c:pt>
                <c:pt idx="292">
                  <c:v>44814</c:v>
                </c:pt>
                <c:pt idx="293">
                  <c:v>44815</c:v>
                </c:pt>
                <c:pt idx="294">
                  <c:v>44816</c:v>
                </c:pt>
                <c:pt idx="295">
                  <c:v>44817</c:v>
                </c:pt>
                <c:pt idx="296">
                  <c:v>44818</c:v>
                </c:pt>
                <c:pt idx="297">
                  <c:v>44819</c:v>
                </c:pt>
                <c:pt idx="298">
                  <c:v>44820</c:v>
                </c:pt>
                <c:pt idx="299">
                  <c:v>44821</c:v>
                </c:pt>
                <c:pt idx="300">
                  <c:v>44822</c:v>
                </c:pt>
                <c:pt idx="301">
                  <c:v>44823</c:v>
                </c:pt>
                <c:pt idx="302">
                  <c:v>44824</c:v>
                </c:pt>
                <c:pt idx="303">
                  <c:v>44825</c:v>
                </c:pt>
                <c:pt idx="304">
                  <c:v>44826</c:v>
                </c:pt>
                <c:pt idx="305">
                  <c:v>44827</c:v>
                </c:pt>
                <c:pt idx="306">
                  <c:v>44828</c:v>
                </c:pt>
                <c:pt idx="307">
                  <c:v>44829</c:v>
                </c:pt>
                <c:pt idx="308">
                  <c:v>44830</c:v>
                </c:pt>
                <c:pt idx="309">
                  <c:v>44831</c:v>
                </c:pt>
                <c:pt idx="310">
                  <c:v>44832</c:v>
                </c:pt>
                <c:pt idx="311">
                  <c:v>44833</c:v>
                </c:pt>
                <c:pt idx="312">
                  <c:v>44834</c:v>
                </c:pt>
                <c:pt idx="313">
                  <c:v>44835</c:v>
                </c:pt>
                <c:pt idx="314">
                  <c:v>44836</c:v>
                </c:pt>
                <c:pt idx="315">
                  <c:v>44837</c:v>
                </c:pt>
                <c:pt idx="316">
                  <c:v>44838</c:v>
                </c:pt>
                <c:pt idx="317">
                  <c:v>44839</c:v>
                </c:pt>
                <c:pt idx="318">
                  <c:v>44840</c:v>
                </c:pt>
                <c:pt idx="319">
                  <c:v>44841</c:v>
                </c:pt>
                <c:pt idx="320">
                  <c:v>44842</c:v>
                </c:pt>
                <c:pt idx="321">
                  <c:v>44843</c:v>
                </c:pt>
                <c:pt idx="322">
                  <c:v>44844</c:v>
                </c:pt>
                <c:pt idx="323">
                  <c:v>44845</c:v>
                </c:pt>
                <c:pt idx="324">
                  <c:v>44846</c:v>
                </c:pt>
                <c:pt idx="325">
                  <c:v>44847</c:v>
                </c:pt>
                <c:pt idx="326">
                  <c:v>44848</c:v>
                </c:pt>
                <c:pt idx="327">
                  <c:v>44849</c:v>
                </c:pt>
                <c:pt idx="328">
                  <c:v>44850</c:v>
                </c:pt>
                <c:pt idx="329">
                  <c:v>44851</c:v>
                </c:pt>
                <c:pt idx="330">
                  <c:v>44852</c:v>
                </c:pt>
                <c:pt idx="331">
                  <c:v>44853</c:v>
                </c:pt>
                <c:pt idx="332">
                  <c:v>44854</c:v>
                </c:pt>
                <c:pt idx="333">
                  <c:v>44855</c:v>
                </c:pt>
                <c:pt idx="334">
                  <c:v>44856</c:v>
                </c:pt>
                <c:pt idx="335">
                  <c:v>44857</c:v>
                </c:pt>
                <c:pt idx="336">
                  <c:v>44858</c:v>
                </c:pt>
                <c:pt idx="337">
                  <c:v>44859</c:v>
                </c:pt>
                <c:pt idx="338">
                  <c:v>44860</c:v>
                </c:pt>
                <c:pt idx="339">
                  <c:v>44861</c:v>
                </c:pt>
                <c:pt idx="340">
                  <c:v>44862</c:v>
                </c:pt>
                <c:pt idx="341">
                  <c:v>44863</c:v>
                </c:pt>
                <c:pt idx="342">
                  <c:v>44864</c:v>
                </c:pt>
                <c:pt idx="343">
                  <c:v>44865</c:v>
                </c:pt>
                <c:pt idx="344">
                  <c:v>44866</c:v>
                </c:pt>
                <c:pt idx="345">
                  <c:v>44867</c:v>
                </c:pt>
                <c:pt idx="346">
                  <c:v>44868</c:v>
                </c:pt>
                <c:pt idx="347">
                  <c:v>44869</c:v>
                </c:pt>
                <c:pt idx="348">
                  <c:v>44870</c:v>
                </c:pt>
                <c:pt idx="349">
                  <c:v>44871</c:v>
                </c:pt>
                <c:pt idx="350">
                  <c:v>44872</c:v>
                </c:pt>
                <c:pt idx="351">
                  <c:v>44873</c:v>
                </c:pt>
                <c:pt idx="352">
                  <c:v>44874</c:v>
                </c:pt>
                <c:pt idx="353">
                  <c:v>44875</c:v>
                </c:pt>
                <c:pt idx="354">
                  <c:v>44876</c:v>
                </c:pt>
                <c:pt idx="355">
                  <c:v>44877</c:v>
                </c:pt>
                <c:pt idx="356">
                  <c:v>44878</c:v>
                </c:pt>
                <c:pt idx="357">
                  <c:v>44879</c:v>
                </c:pt>
                <c:pt idx="358">
                  <c:v>44880</c:v>
                </c:pt>
                <c:pt idx="359">
                  <c:v>44881</c:v>
                </c:pt>
                <c:pt idx="360">
                  <c:v>44882</c:v>
                </c:pt>
                <c:pt idx="361">
                  <c:v>44883</c:v>
                </c:pt>
                <c:pt idx="362">
                  <c:v>44884</c:v>
                </c:pt>
                <c:pt idx="363">
                  <c:v>44885</c:v>
                </c:pt>
                <c:pt idx="364">
                  <c:v>44886</c:v>
                </c:pt>
                <c:pt idx="365">
                  <c:v>44887</c:v>
                </c:pt>
              </c:numCache>
            </c:numRef>
          </c:cat>
          <c:val>
            <c:numRef>
              <c:f>worksheet!$AL$2:$AL$367</c:f>
              <c:numCache>
                <c:formatCode>General</c:formatCode>
                <c:ptCount val="366"/>
                <c:pt idx="0">
                  <c:v>4266.5092770000001</c:v>
                </c:pt>
                <c:pt idx="1">
                  <c:v>4089.6804200000001</c:v>
                </c:pt>
                <c:pt idx="2">
                  <c:v>4340.0361329999996</c:v>
                </c:pt>
                <c:pt idx="3">
                  <c:v>4271.3945309999999</c:v>
                </c:pt>
                <c:pt idx="4">
                  <c:v>4522.2089839999999</c:v>
                </c:pt>
                <c:pt idx="5">
                  <c:v>4042.9990229999999</c:v>
                </c:pt>
                <c:pt idx="6">
                  <c:v>4101.6489259999998</c:v>
                </c:pt>
                <c:pt idx="7">
                  <c:v>4296.9467770000001</c:v>
                </c:pt>
                <c:pt idx="8">
                  <c:v>4447.7680659999996</c:v>
                </c:pt>
                <c:pt idx="9">
                  <c:v>4623.6796880000002</c:v>
                </c:pt>
                <c:pt idx="10">
                  <c:v>4586.3330079999996</c:v>
                </c:pt>
                <c:pt idx="11">
                  <c:v>4514.3559569999998</c:v>
                </c:pt>
                <c:pt idx="12">
                  <c:v>4227.7622069999998</c:v>
                </c:pt>
                <c:pt idx="13">
                  <c:v>4119.6289059999999</c:v>
                </c:pt>
                <c:pt idx="14">
                  <c:v>4199</c:v>
                </c:pt>
                <c:pt idx="15">
                  <c:v>4358.5869140000004</c:v>
                </c:pt>
                <c:pt idx="16">
                  <c:v>4311.6743159999996</c:v>
                </c:pt>
                <c:pt idx="17">
                  <c:v>4433.0249020000001</c:v>
                </c:pt>
                <c:pt idx="18">
                  <c:v>4113.5883789999998</c:v>
                </c:pt>
                <c:pt idx="19">
                  <c:v>3909.6677249999998</c:v>
                </c:pt>
                <c:pt idx="20">
                  <c:v>4084.811279</c:v>
                </c:pt>
                <c:pt idx="21">
                  <c:v>4136.3598629999997</c:v>
                </c:pt>
                <c:pt idx="22">
                  <c:v>3782.8227539999998</c:v>
                </c:pt>
                <c:pt idx="23">
                  <c:v>3862.2514649999998</c:v>
                </c:pt>
                <c:pt idx="24">
                  <c:v>4020.415039</c:v>
                </c:pt>
                <c:pt idx="25">
                  <c:v>3959.0124510000001</c:v>
                </c:pt>
                <c:pt idx="26">
                  <c:v>3880.2915039999998</c:v>
                </c:pt>
                <c:pt idx="27">
                  <c:v>3960.8723140000002</c:v>
                </c:pt>
                <c:pt idx="28">
                  <c:v>3923.6958009999998</c:v>
                </c:pt>
                <c:pt idx="29">
                  <c:v>3938.4638669999999</c:v>
                </c:pt>
                <c:pt idx="30">
                  <c:v>4018.6958009999998</c:v>
                </c:pt>
                <c:pt idx="31">
                  <c:v>3981.9616700000001</c:v>
                </c:pt>
                <c:pt idx="32">
                  <c:v>4111.3452150000003</c:v>
                </c:pt>
                <c:pt idx="33">
                  <c:v>4049.781982</c:v>
                </c:pt>
                <c:pt idx="34">
                  <c:v>4094.1516109999998</c:v>
                </c:pt>
                <c:pt idx="35">
                  <c:v>4064.7463379999999</c:v>
                </c:pt>
                <c:pt idx="36">
                  <c:v>4037.538086</c:v>
                </c:pt>
                <c:pt idx="37">
                  <c:v>3797.436279</c:v>
                </c:pt>
                <c:pt idx="38">
                  <c:v>3632.2197270000001</c:v>
                </c:pt>
                <c:pt idx="39">
                  <c:v>3713.4301759999998</c:v>
                </c:pt>
                <c:pt idx="40">
                  <c:v>3683.0471189999998</c:v>
                </c:pt>
                <c:pt idx="41">
                  <c:v>3769.2983399999998</c:v>
                </c:pt>
                <c:pt idx="42">
                  <c:v>3829.5356449999999</c:v>
                </c:pt>
                <c:pt idx="43">
                  <c:v>3761.3615719999998</c:v>
                </c:pt>
                <c:pt idx="44">
                  <c:v>3794.2690429999998</c:v>
                </c:pt>
                <c:pt idx="45">
                  <c:v>3549.7089839999999</c:v>
                </c:pt>
                <c:pt idx="46">
                  <c:v>3417.8378910000001</c:v>
                </c:pt>
                <c:pt idx="47">
                  <c:v>3193.5024410000001</c:v>
                </c:pt>
                <c:pt idx="48">
                  <c:v>3091.696289</c:v>
                </c:pt>
                <c:pt idx="49">
                  <c:v>3157.570557</c:v>
                </c:pt>
                <c:pt idx="50">
                  <c:v>3082.9909670000002</c:v>
                </c:pt>
                <c:pt idx="51">
                  <c:v>3238.4499510000001</c:v>
                </c:pt>
                <c:pt idx="52">
                  <c:v>3372.1049800000001</c:v>
                </c:pt>
                <c:pt idx="53">
                  <c:v>3248.648682</c:v>
                </c:pt>
                <c:pt idx="54">
                  <c:v>3309.8442380000001</c:v>
                </c:pt>
                <c:pt idx="55">
                  <c:v>3330.3872070000002</c:v>
                </c:pt>
                <c:pt idx="56">
                  <c:v>3350.9472660000001</c:v>
                </c:pt>
                <c:pt idx="57">
                  <c:v>3212.2875979999999</c:v>
                </c:pt>
                <c:pt idx="58">
                  <c:v>3163.8503420000002</c:v>
                </c:pt>
                <c:pt idx="59">
                  <c:v>3095.2717290000001</c:v>
                </c:pt>
                <c:pt idx="60">
                  <c:v>3002.9567870000001</c:v>
                </c:pt>
                <c:pt idx="61">
                  <c:v>2561.1452640000002</c:v>
                </c:pt>
                <c:pt idx="62">
                  <c:v>2406.9243160000001</c:v>
                </c:pt>
                <c:pt idx="63">
                  <c:v>2535.8911130000001</c:v>
                </c:pt>
                <c:pt idx="64">
                  <c:v>2440.3935550000001</c:v>
                </c:pt>
                <c:pt idx="65">
                  <c:v>2455.5791020000001</c:v>
                </c:pt>
                <c:pt idx="66">
                  <c:v>2467.1884770000001</c:v>
                </c:pt>
                <c:pt idx="67">
                  <c:v>2421.6469729999999</c:v>
                </c:pt>
                <c:pt idx="68">
                  <c:v>2546.5905760000001</c:v>
                </c:pt>
                <c:pt idx="69">
                  <c:v>2598.5649410000001</c:v>
                </c:pt>
                <c:pt idx="70">
                  <c:v>2603.2634280000002</c:v>
                </c:pt>
                <c:pt idx="71">
                  <c:v>2687.8989259999998</c:v>
                </c:pt>
                <c:pt idx="72">
                  <c:v>2791.9589839999999</c:v>
                </c:pt>
                <c:pt idx="73">
                  <c:v>2682.2260740000002</c:v>
                </c:pt>
                <c:pt idx="74">
                  <c:v>2681.0576169999999</c:v>
                </c:pt>
                <c:pt idx="75">
                  <c:v>2984.4460450000001</c:v>
                </c:pt>
                <c:pt idx="76">
                  <c:v>3014.9597170000002</c:v>
                </c:pt>
                <c:pt idx="77">
                  <c:v>3057.4221189999998</c:v>
                </c:pt>
                <c:pt idx="78">
                  <c:v>3143.0085450000001</c:v>
                </c:pt>
                <c:pt idx="79">
                  <c:v>3121.1826169999999</c:v>
                </c:pt>
                <c:pt idx="80">
                  <c:v>3240.1130370000001</c:v>
                </c:pt>
                <c:pt idx="81">
                  <c:v>3077.413086</c:v>
                </c:pt>
                <c:pt idx="82">
                  <c:v>2927.3864749999998</c:v>
                </c:pt>
                <c:pt idx="83">
                  <c:v>2916.7895509999998</c:v>
                </c:pt>
                <c:pt idx="84">
                  <c:v>2880.1877439999998</c:v>
                </c:pt>
                <c:pt idx="85">
                  <c:v>2933.7290039999998</c:v>
                </c:pt>
                <c:pt idx="86">
                  <c:v>3180.4467770000001</c:v>
                </c:pt>
                <c:pt idx="87">
                  <c:v>3126.8583979999999</c:v>
                </c:pt>
                <c:pt idx="88">
                  <c:v>2884.3405760000001</c:v>
                </c:pt>
                <c:pt idx="89">
                  <c:v>2784.8728030000002</c:v>
                </c:pt>
                <c:pt idx="90">
                  <c:v>2763.7565920000002</c:v>
                </c:pt>
                <c:pt idx="91">
                  <c:v>2627.6655270000001</c:v>
                </c:pt>
                <c:pt idx="92">
                  <c:v>2572.898682</c:v>
                </c:pt>
                <c:pt idx="93">
                  <c:v>2639.4470209999999</c:v>
                </c:pt>
                <c:pt idx="94">
                  <c:v>2588.16626</c:v>
                </c:pt>
                <c:pt idx="95">
                  <c:v>2598.436279</c:v>
                </c:pt>
                <c:pt idx="96">
                  <c:v>2764.9895019999999</c:v>
                </c:pt>
                <c:pt idx="97">
                  <c:v>2780.5043949999999</c:v>
                </c:pt>
                <c:pt idx="98">
                  <c:v>2621.1721189999998</c:v>
                </c:pt>
                <c:pt idx="99">
                  <c:v>2919.7758789999998</c:v>
                </c:pt>
                <c:pt idx="100">
                  <c:v>2972.4719239999999</c:v>
                </c:pt>
                <c:pt idx="101">
                  <c:v>2950.1567380000001</c:v>
                </c:pt>
                <c:pt idx="102">
                  <c:v>2834.9873050000001</c:v>
                </c:pt>
                <c:pt idx="103">
                  <c:v>2618.4736330000001</c:v>
                </c:pt>
                <c:pt idx="104">
                  <c:v>2664.9436040000001</c:v>
                </c:pt>
                <c:pt idx="105">
                  <c:v>2555.297607</c:v>
                </c:pt>
                <c:pt idx="106">
                  <c:v>2497.7214359999998</c:v>
                </c:pt>
                <c:pt idx="107">
                  <c:v>2577.1652829999998</c:v>
                </c:pt>
                <c:pt idx="108">
                  <c:v>2729.1164549999999</c:v>
                </c:pt>
                <c:pt idx="109">
                  <c:v>2608.27124</c:v>
                </c:pt>
                <c:pt idx="110">
                  <c:v>2559.6606449999999</c:v>
                </c:pt>
                <c:pt idx="111">
                  <c:v>2573.4880370000001</c:v>
                </c:pt>
                <c:pt idx="112">
                  <c:v>2518.486328</c:v>
                </c:pt>
                <c:pt idx="113">
                  <c:v>2590.6689449999999</c:v>
                </c:pt>
                <c:pt idx="114">
                  <c:v>2620.0285640000002</c:v>
                </c:pt>
                <c:pt idx="115">
                  <c:v>2771.9641109999998</c:v>
                </c:pt>
                <c:pt idx="116">
                  <c:v>2814.4345699999999</c:v>
                </c:pt>
                <c:pt idx="117">
                  <c:v>2944.7216800000001</c:v>
                </c:pt>
                <c:pt idx="118">
                  <c:v>2946.547607</c:v>
                </c:pt>
                <c:pt idx="119">
                  <c:v>2860.1032709999999</c:v>
                </c:pt>
                <c:pt idx="120">
                  <c:v>2897.7741700000001</c:v>
                </c:pt>
                <c:pt idx="121">
                  <c:v>2973.1450199999999</c:v>
                </c:pt>
                <c:pt idx="122">
                  <c:v>3031.0607909999999</c:v>
                </c:pt>
                <c:pt idx="123">
                  <c:v>3108.4489749999998</c:v>
                </c:pt>
                <c:pt idx="124">
                  <c:v>3106.4052729999999</c:v>
                </c:pt>
                <c:pt idx="125">
                  <c:v>3143.795654</c:v>
                </c:pt>
                <c:pt idx="126">
                  <c:v>3292.32251</c:v>
                </c:pt>
                <c:pt idx="127">
                  <c:v>3335.02124</c:v>
                </c:pt>
                <c:pt idx="128">
                  <c:v>3401.5261230000001</c:v>
                </c:pt>
                <c:pt idx="129">
                  <c:v>3385.289307</c:v>
                </c:pt>
                <c:pt idx="130">
                  <c:v>3282.576172</c:v>
                </c:pt>
                <c:pt idx="131">
                  <c:v>3449.7885740000002</c:v>
                </c:pt>
                <c:pt idx="132">
                  <c:v>3444.810547</c:v>
                </c:pt>
                <c:pt idx="133">
                  <c:v>3522.36499</c:v>
                </c:pt>
                <c:pt idx="134">
                  <c:v>3521.2397460000002</c:v>
                </c:pt>
                <c:pt idx="135">
                  <c:v>3411.6721189999998</c:v>
                </c:pt>
                <c:pt idx="136">
                  <c:v>3172.1972660000001</c:v>
                </c:pt>
                <c:pt idx="137">
                  <c:v>3233.272461</c:v>
                </c:pt>
                <c:pt idx="138">
                  <c:v>3191.9760740000002</c:v>
                </c:pt>
                <c:pt idx="139">
                  <c:v>3261.2915039999998</c:v>
                </c:pt>
                <c:pt idx="140">
                  <c:v>3209.576904</c:v>
                </c:pt>
                <c:pt idx="141">
                  <c:v>2981.420654</c:v>
                </c:pt>
                <c:pt idx="142">
                  <c:v>3029.8779300000001</c:v>
                </c:pt>
                <c:pt idx="143">
                  <c:v>3117.8217770000001</c:v>
                </c:pt>
                <c:pt idx="144">
                  <c:v>3020.1345209999999</c:v>
                </c:pt>
                <c:pt idx="145">
                  <c:v>3041.1232909999999</c:v>
                </c:pt>
                <c:pt idx="146">
                  <c:v>3061.881836</c:v>
                </c:pt>
                <c:pt idx="147">
                  <c:v>2993.4838869999999</c:v>
                </c:pt>
                <c:pt idx="148">
                  <c:v>3057.5703130000002</c:v>
                </c:pt>
                <c:pt idx="149">
                  <c:v>3103.9350589999999</c:v>
                </c:pt>
                <c:pt idx="150">
                  <c:v>3077.829346</c:v>
                </c:pt>
                <c:pt idx="151">
                  <c:v>2986.938721</c:v>
                </c:pt>
                <c:pt idx="152">
                  <c:v>2964.8022460000002</c:v>
                </c:pt>
                <c:pt idx="153">
                  <c:v>2937.3471679999998</c:v>
                </c:pt>
                <c:pt idx="154">
                  <c:v>2922.9902339999999</c:v>
                </c:pt>
                <c:pt idx="155">
                  <c:v>3008.946289</c:v>
                </c:pt>
                <c:pt idx="156">
                  <c:v>2808.6459960000002</c:v>
                </c:pt>
                <c:pt idx="157">
                  <c:v>2888.8498540000001</c:v>
                </c:pt>
                <c:pt idx="158">
                  <c:v>2936.7766109999998</c:v>
                </c:pt>
                <c:pt idx="159">
                  <c:v>2815.5334469999998</c:v>
                </c:pt>
                <c:pt idx="160">
                  <c:v>2729.9941410000001</c:v>
                </c:pt>
                <c:pt idx="161">
                  <c:v>2827.6140140000002</c:v>
                </c:pt>
                <c:pt idx="162">
                  <c:v>2857.1523440000001</c:v>
                </c:pt>
                <c:pt idx="163">
                  <c:v>2783.1311040000001</c:v>
                </c:pt>
                <c:pt idx="164">
                  <c:v>2940.2265630000002</c:v>
                </c:pt>
                <c:pt idx="165">
                  <c:v>2748.9316410000001</c:v>
                </c:pt>
                <c:pt idx="166">
                  <c:v>2694.991943</c:v>
                </c:pt>
                <c:pt idx="167">
                  <c:v>2636.1218260000001</c:v>
                </c:pt>
                <c:pt idx="168">
                  <c:v>2518.5083009999998</c:v>
                </c:pt>
                <c:pt idx="169">
                  <c:v>2242.6503910000001</c:v>
                </c:pt>
                <c:pt idx="170">
                  <c:v>2342.7541500000002</c:v>
                </c:pt>
                <c:pt idx="171">
                  <c:v>2072.5046390000002</c:v>
                </c:pt>
                <c:pt idx="172">
                  <c:v>1960.1225589999999</c:v>
                </c:pt>
                <c:pt idx="173">
                  <c:v>2014.2806399999999</c:v>
                </c:pt>
                <c:pt idx="174">
                  <c:v>2056.1831050000001</c:v>
                </c:pt>
                <c:pt idx="175">
                  <c:v>2145.836914</c:v>
                </c:pt>
                <c:pt idx="176">
                  <c:v>2022.8823239999999</c:v>
                </c:pt>
                <c:pt idx="177">
                  <c:v>2090.459961</c:v>
                </c:pt>
                <c:pt idx="178">
                  <c:v>1916.1495359999999</c:v>
                </c:pt>
                <c:pt idx="179">
                  <c:v>2018.0001219999999</c:v>
                </c:pt>
                <c:pt idx="180">
                  <c:v>1961.0179439999999</c:v>
                </c:pt>
                <c:pt idx="181">
                  <c:v>1974.670654</c:v>
                </c:pt>
                <c:pt idx="182">
                  <c:v>2042.3447269999999</c:v>
                </c:pt>
                <c:pt idx="183">
                  <c:v>1972.3908690000001</c:v>
                </c:pt>
                <c:pt idx="184">
                  <c:v>1978.6770019999999</c:v>
                </c:pt>
                <c:pt idx="185">
                  <c:v>1945.0333250000001</c:v>
                </c:pt>
                <c:pt idx="186">
                  <c:v>1802.543823</c:v>
                </c:pt>
                <c:pt idx="187">
                  <c:v>1724.635986</c:v>
                </c:pt>
                <c:pt idx="188">
                  <c:v>1792.184448</c:v>
                </c:pt>
                <c:pt idx="189">
                  <c:v>1811.885986</c:v>
                </c:pt>
                <c:pt idx="190">
                  <c:v>1996.408081</c:v>
                </c:pt>
                <c:pt idx="191">
                  <c:v>1942.050659</c:v>
                </c:pt>
                <c:pt idx="192">
                  <c:v>1822.4121090000001</c:v>
                </c:pt>
                <c:pt idx="193">
                  <c:v>1834.13501</c:v>
                </c:pt>
                <c:pt idx="194">
                  <c:v>1775.2208250000001</c:v>
                </c:pt>
                <c:pt idx="195">
                  <c:v>1801.81897</c:v>
                </c:pt>
                <c:pt idx="196">
                  <c:v>1805.635986</c:v>
                </c:pt>
                <c:pt idx="197">
                  <c:v>1859.33374</c:v>
                </c:pt>
                <c:pt idx="198">
                  <c:v>1814.1007079999999</c:v>
                </c:pt>
                <c:pt idx="199">
                  <c:v>1793.512817</c:v>
                </c:pt>
                <c:pt idx="200">
                  <c:v>1789.6899410000001</c:v>
                </c:pt>
                <c:pt idx="201">
                  <c:v>1665.2178960000001</c:v>
                </c:pt>
                <c:pt idx="202">
                  <c:v>1530.189697</c:v>
                </c:pt>
                <c:pt idx="203">
                  <c:v>1443.8354489999999</c:v>
                </c:pt>
                <c:pt idx="204">
                  <c:v>1204.555298</c:v>
                </c:pt>
                <c:pt idx="205">
                  <c:v>1211.365967</c:v>
                </c:pt>
                <c:pt idx="206">
                  <c:v>1233.6035159999999</c:v>
                </c:pt>
                <c:pt idx="207">
                  <c:v>1067.9876710000001</c:v>
                </c:pt>
                <c:pt idx="208">
                  <c:v>1086.3779300000001</c:v>
                </c:pt>
                <c:pt idx="209">
                  <c:v>993.40063499999997</c:v>
                </c:pt>
                <c:pt idx="210">
                  <c:v>1127.65625</c:v>
                </c:pt>
                <c:pt idx="211">
                  <c:v>1127.511841</c:v>
                </c:pt>
                <c:pt idx="212">
                  <c:v>1125.3729249999999</c:v>
                </c:pt>
                <c:pt idx="213">
                  <c:v>1051.329346</c:v>
                </c:pt>
                <c:pt idx="214">
                  <c:v>1143.204712</c:v>
                </c:pt>
                <c:pt idx="215">
                  <c:v>1226.724731</c:v>
                </c:pt>
                <c:pt idx="216">
                  <c:v>1242.9875489999999</c:v>
                </c:pt>
                <c:pt idx="217">
                  <c:v>1199.713135</c:v>
                </c:pt>
                <c:pt idx="218">
                  <c:v>1193.2540280000001</c:v>
                </c:pt>
                <c:pt idx="219">
                  <c:v>1144.524414</c:v>
                </c:pt>
                <c:pt idx="220">
                  <c:v>1099.353149</c:v>
                </c:pt>
                <c:pt idx="221">
                  <c:v>1068.3167719999999</c:v>
                </c:pt>
                <c:pt idx="222">
                  <c:v>1060.121216</c:v>
                </c:pt>
                <c:pt idx="223">
                  <c:v>1066.4674070000001</c:v>
                </c:pt>
                <c:pt idx="224">
                  <c:v>1073.794312</c:v>
                </c:pt>
                <c:pt idx="225">
                  <c:v>1150.5097659999999</c:v>
                </c:pt>
                <c:pt idx="226">
                  <c:v>1134.8222659999999</c:v>
                </c:pt>
                <c:pt idx="227">
                  <c:v>1186.9609379999999</c:v>
                </c:pt>
                <c:pt idx="228">
                  <c:v>1237.580322</c:v>
                </c:pt>
                <c:pt idx="229">
                  <c:v>1222.306885</c:v>
                </c:pt>
                <c:pt idx="230">
                  <c:v>1216.904419</c:v>
                </c:pt>
                <c:pt idx="231">
                  <c:v>1168.139038</c:v>
                </c:pt>
                <c:pt idx="232">
                  <c:v>1097.259155</c:v>
                </c:pt>
                <c:pt idx="233">
                  <c:v>1038.1866460000001</c:v>
                </c:pt>
                <c:pt idx="234">
                  <c:v>1113.5157469999999</c:v>
                </c:pt>
                <c:pt idx="235">
                  <c:v>1191.6748050000001</c:v>
                </c:pt>
                <c:pt idx="236">
                  <c:v>1232.791626</c:v>
                </c:pt>
                <c:pt idx="237">
                  <c:v>1353.205078</c:v>
                </c:pt>
                <c:pt idx="238">
                  <c:v>1338.80603</c:v>
                </c:pt>
                <c:pt idx="239">
                  <c:v>1578.3839109999999</c:v>
                </c:pt>
                <c:pt idx="240">
                  <c:v>1542.954346</c:v>
                </c:pt>
                <c:pt idx="241">
                  <c:v>1520.3745120000001</c:v>
                </c:pt>
                <c:pt idx="242">
                  <c:v>1576.745361</c:v>
                </c:pt>
                <c:pt idx="243">
                  <c:v>1536.4573969999999</c:v>
                </c:pt>
                <c:pt idx="244">
                  <c:v>1549.222534</c:v>
                </c:pt>
                <c:pt idx="245">
                  <c:v>1599.1572269999999</c:v>
                </c:pt>
                <c:pt idx="246">
                  <c:v>1445.1511230000001</c:v>
                </c:pt>
                <c:pt idx="247">
                  <c:v>1443.726807</c:v>
                </c:pt>
                <c:pt idx="248">
                  <c:v>1636.2319339999999</c:v>
                </c:pt>
                <c:pt idx="249">
                  <c:v>1725.6239009999999</c:v>
                </c:pt>
                <c:pt idx="250">
                  <c:v>1727.0618899999999</c:v>
                </c:pt>
                <c:pt idx="251">
                  <c:v>1695.8847659999999</c:v>
                </c:pt>
                <c:pt idx="252">
                  <c:v>1681.445557</c:v>
                </c:pt>
                <c:pt idx="253">
                  <c:v>1634.645874</c:v>
                </c:pt>
                <c:pt idx="254">
                  <c:v>1633.0512699999999</c:v>
                </c:pt>
                <c:pt idx="255">
                  <c:v>1618.8867190000001</c:v>
                </c:pt>
                <c:pt idx="256">
                  <c:v>1607.5239260000001</c:v>
                </c:pt>
                <c:pt idx="257">
                  <c:v>1732.6611330000001</c:v>
                </c:pt>
                <c:pt idx="258">
                  <c:v>1691.7779539999999</c:v>
                </c:pt>
                <c:pt idx="259">
                  <c:v>1699.693481</c:v>
                </c:pt>
                <c:pt idx="260">
                  <c:v>1776.071289</c:v>
                </c:pt>
                <c:pt idx="261">
                  <c:v>1702.9064940000001</c:v>
                </c:pt>
                <c:pt idx="262">
                  <c:v>1851.8283690000001</c:v>
                </c:pt>
                <c:pt idx="263">
                  <c:v>1880.8991699999999</c:v>
                </c:pt>
                <c:pt idx="264">
                  <c:v>1957.3339840000001</c:v>
                </c:pt>
                <c:pt idx="265">
                  <c:v>1981.782471</c:v>
                </c:pt>
                <c:pt idx="266">
                  <c:v>1936.7604980000001</c:v>
                </c:pt>
                <c:pt idx="267">
                  <c:v>1902.83313</c:v>
                </c:pt>
                <c:pt idx="268">
                  <c:v>1877.9343260000001</c:v>
                </c:pt>
                <c:pt idx="269">
                  <c:v>1833.7155760000001</c:v>
                </c:pt>
                <c:pt idx="270">
                  <c:v>1847.095337</c:v>
                </c:pt>
                <c:pt idx="271">
                  <c:v>1612.650635</c:v>
                </c:pt>
                <c:pt idx="272">
                  <c:v>1576.5435789999999</c:v>
                </c:pt>
                <c:pt idx="273">
                  <c:v>1619.16687</c:v>
                </c:pt>
                <c:pt idx="274">
                  <c:v>1622.939331</c:v>
                </c:pt>
                <c:pt idx="275">
                  <c:v>1662.6954350000001</c:v>
                </c:pt>
                <c:pt idx="276">
                  <c:v>1657.336548</c:v>
                </c:pt>
                <c:pt idx="277">
                  <c:v>1696.3245850000001</c:v>
                </c:pt>
                <c:pt idx="278">
                  <c:v>1508.156982</c:v>
                </c:pt>
                <c:pt idx="279">
                  <c:v>1491.2067870000001</c:v>
                </c:pt>
                <c:pt idx="280">
                  <c:v>1430.439453</c:v>
                </c:pt>
                <c:pt idx="281">
                  <c:v>1553.1889650000001</c:v>
                </c:pt>
                <c:pt idx="282">
                  <c:v>1524.286499</c:v>
                </c:pt>
                <c:pt idx="283">
                  <c:v>1553.7563479999999</c:v>
                </c:pt>
                <c:pt idx="284">
                  <c:v>1586.0179439999999</c:v>
                </c:pt>
                <c:pt idx="285">
                  <c:v>1577.213745</c:v>
                </c:pt>
                <c:pt idx="286">
                  <c:v>1556.895874</c:v>
                </c:pt>
                <c:pt idx="287">
                  <c:v>1577.884033</c:v>
                </c:pt>
                <c:pt idx="288">
                  <c:v>1617.2402340000001</c:v>
                </c:pt>
                <c:pt idx="289">
                  <c:v>1560.9067379999999</c:v>
                </c:pt>
                <c:pt idx="290">
                  <c:v>1629.8051760000001</c:v>
                </c:pt>
                <c:pt idx="291">
                  <c:v>1635.1877440000001</c:v>
                </c:pt>
                <c:pt idx="292">
                  <c:v>1718.9613039999999</c:v>
                </c:pt>
                <c:pt idx="293">
                  <c:v>1775.9760739999999</c:v>
                </c:pt>
                <c:pt idx="294">
                  <c:v>1762.0848390000001</c:v>
                </c:pt>
                <c:pt idx="295">
                  <c:v>1713.962524</c:v>
                </c:pt>
                <c:pt idx="296">
                  <c:v>1574.858154</c:v>
                </c:pt>
                <c:pt idx="297">
                  <c:v>1635.0830080000001</c:v>
                </c:pt>
                <c:pt idx="298">
                  <c:v>1471.928345</c:v>
                </c:pt>
                <c:pt idx="299">
                  <c:v>1432.8764650000001</c:v>
                </c:pt>
                <c:pt idx="300">
                  <c:v>1469.7054439999999</c:v>
                </c:pt>
                <c:pt idx="301">
                  <c:v>1335.2707519999999</c:v>
                </c:pt>
                <c:pt idx="302">
                  <c:v>1377.619019</c:v>
                </c:pt>
                <c:pt idx="303">
                  <c:v>1324.2155760000001</c:v>
                </c:pt>
                <c:pt idx="304">
                  <c:v>1251.5673830000001</c:v>
                </c:pt>
                <c:pt idx="305">
                  <c:v>1327.4812010000001</c:v>
                </c:pt>
                <c:pt idx="306">
                  <c:v>1328.244629</c:v>
                </c:pt>
                <c:pt idx="307">
                  <c:v>1317.9384769999999</c:v>
                </c:pt>
                <c:pt idx="308">
                  <c:v>1294.3861079999999</c:v>
                </c:pt>
                <c:pt idx="309">
                  <c:v>1335.3370359999999</c:v>
                </c:pt>
                <c:pt idx="310">
                  <c:v>1329.5413820000001</c:v>
                </c:pt>
                <c:pt idx="311">
                  <c:v>1337.554443</c:v>
                </c:pt>
                <c:pt idx="312">
                  <c:v>1335.6464840000001</c:v>
                </c:pt>
                <c:pt idx="313">
                  <c:v>1328.193726</c:v>
                </c:pt>
                <c:pt idx="314">
                  <c:v>1311.753418</c:v>
                </c:pt>
                <c:pt idx="315">
                  <c:v>1276.163452</c:v>
                </c:pt>
                <c:pt idx="316">
                  <c:v>1323.2783199999999</c:v>
                </c:pt>
                <c:pt idx="317">
                  <c:v>1361.9729</c:v>
                </c:pt>
                <c:pt idx="318">
                  <c:v>1352.8066409999999</c:v>
                </c:pt>
                <c:pt idx="319">
                  <c:v>1351.8364260000001</c:v>
                </c:pt>
                <c:pt idx="320">
                  <c:v>1332.3713379999999</c:v>
                </c:pt>
                <c:pt idx="321">
                  <c:v>1315.4602050000001</c:v>
                </c:pt>
                <c:pt idx="322">
                  <c:v>1322.6186520000001</c:v>
                </c:pt>
                <c:pt idx="323">
                  <c:v>1291.1096190000001</c:v>
                </c:pt>
                <c:pt idx="324">
                  <c:v>1279.7322999999999</c:v>
                </c:pt>
                <c:pt idx="325">
                  <c:v>1294.9173579999999</c:v>
                </c:pt>
                <c:pt idx="326">
                  <c:v>1288.048706</c:v>
                </c:pt>
                <c:pt idx="327">
                  <c:v>1297.305908</c:v>
                </c:pt>
                <c:pt idx="328">
                  <c:v>1275.0054929999999</c:v>
                </c:pt>
                <c:pt idx="329">
                  <c:v>1306.3095699999999</c:v>
                </c:pt>
                <c:pt idx="330">
                  <c:v>1331.669922</c:v>
                </c:pt>
                <c:pt idx="331">
                  <c:v>1310.5631100000001</c:v>
                </c:pt>
                <c:pt idx="332">
                  <c:v>1285.6602780000001</c:v>
                </c:pt>
                <c:pt idx="333">
                  <c:v>1283.1881100000001</c:v>
                </c:pt>
                <c:pt idx="334">
                  <c:v>1299.9023440000001</c:v>
                </c:pt>
                <c:pt idx="335">
                  <c:v>1314.2495120000001</c:v>
                </c:pt>
                <c:pt idx="336">
                  <c:v>1363.4918210000001</c:v>
                </c:pt>
                <c:pt idx="337">
                  <c:v>1344.7113039999999</c:v>
                </c:pt>
                <c:pt idx="338">
                  <c:v>1461.1331789999999</c:v>
                </c:pt>
                <c:pt idx="339">
                  <c:v>1566.8414310000001</c:v>
                </c:pt>
                <c:pt idx="340">
                  <c:v>1514.32312</c:v>
                </c:pt>
                <c:pt idx="341">
                  <c:v>1555.274658</c:v>
                </c:pt>
                <c:pt idx="342">
                  <c:v>1619.697876</c:v>
                </c:pt>
                <c:pt idx="343">
                  <c:v>1590.481323</c:v>
                </c:pt>
                <c:pt idx="344">
                  <c:v>1572.6453859999999</c:v>
                </c:pt>
                <c:pt idx="345">
                  <c:v>1579.4979249999999</c:v>
                </c:pt>
                <c:pt idx="346">
                  <c:v>1519.7248540000001</c:v>
                </c:pt>
                <c:pt idx="347">
                  <c:v>1531.3975829999999</c:v>
                </c:pt>
                <c:pt idx="348">
                  <c:v>1645.1564940000001</c:v>
                </c:pt>
                <c:pt idx="349">
                  <c:v>1627.9011230000001</c:v>
                </c:pt>
                <c:pt idx="350">
                  <c:v>1572.0169679999999</c:v>
                </c:pt>
                <c:pt idx="351">
                  <c:v>1568.3295900000001</c:v>
                </c:pt>
                <c:pt idx="352">
                  <c:v>1333.122437</c:v>
                </c:pt>
                <c:pt idx="353">
                  <c:v>1100.107178</c:v>
                </c:pt>
                <c:pt idx="354">
                  <c:v>1298.8824460000001</c:v>
                </c:pt>
                <c:pt idx="355">
                  <c:v>1287.4383539999999</c:v>
                </c:pt>
                <c:pt idx="356">
                  <c:v>1255.441284</c:v>
                </c:pt>
                <c:pt idx="357">
                  <c:v>1221.8955080000001</c:v>
                </c:pt>
                <c:pt idx="358">
                  <c:v>1241.6777340000001</c:v>
                </c:pt>
                <c:pt idx="359">
                  <c:v>1251.8088379999999</c:v>
                </c:pt>
                <c:pt idx="360">
                  <c:v>1215.8486330000001</c:v>
                </c:pt>
                <c:pt idx="361">
                  <c:v>1200.802124</c:v>
                </c:pt>
                <c:pt idx="362">
                  <c:v>1212.2154539999999</c:v>
                </c:pt>
                <c:pt idx="363">
                  <c:v>1218.436279</c:v>
                </c:pt>
                <c:pt idx="364">
                  <c:v>1142.3957519999999</c:v>
                </c:pt>
                <c:pt idx="365">
                  <c:v>1105.525879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32-4108-A363-2C8ABBEACC3F}"/>
            </c:ext>
          </c:extLst>
        </c:ser>
        <c:ser>
          <c:idx val="1"/>
          <c:order val="1"/>
          <c:tx>
            <c:strRef>
              <c:f>worksheet!$AM$1</c:f>
              <c:strCache>
                <c:ptCount val="1"/>
                <c:pt idx="0">
                  <c:v>bitcoin Open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worksheet!$AK$2:$AK$367</c:f>
              <c:numCache>
                <c:formatCode>m/d/yyyy</c:formatCode>
                <c:ptCount val="366"/>
                <c:pt idx="0">
                  <c:v>44522</c:v>
                </c:pt>
                <c:pt idx="1">
                  <c:v>44523</c:v>
                </c:pt>
                <c:pt idx="2">
                  <c:v>44524</c:v>
                </c:pt>
                <c:pt idx="3">
                  <c:v>44525</c:v>
                </c:pt>
                <c:pt idx="4">
                  <c:v>44526</c:v>
                </c:pt>
                <c:pt idx="5">
                  <c:v>44527</c:v>
                </c:pt>
                <c:pt idx="6">
                  <c:v>44528</c:v>
                </c:pt>
                <c:pt idx="7">
                  <c:v>44529</c:v>
                </c:pt>
                <c:pt idx="8">
                  <c:v>44530</c:v>
                </c:pt>
                <c:pt idx="9">
                  <c:v>44531</c:v>
                </c:pt>
                <c:pt idx="10">
                  <c:v>44532</c:v>
                </c:pt>
                <c:pt idx="11">
                  <c:v>44533</c:v>
                </c:pt>
                <c:pt idx="12">
                  <c:v>44534</c:v>
                </c:pt>
                <c:pt idx="13">
                  <c:v>44535</c:v>
                </c:pt>
                <c:pt idx="14">
                  <c:v>44536</c:v>
                </c:pt>
                <c:pt idx="15">
                  <c:v>44537</c:v>
                </c:pt>
                <c:pt idx="16">
                  <c:v>44538</c:v>
                </c:pt>
                <c:pt idx="17">
                  <c:v>44539</c:v>
                </c:pt>
                <c:pt idx="18">
                  <c:v>44540</c:v>
                </c:pt>
                <c:pt idx="19">
                  <c:v>44541</c:v>
                </c:pt>
                <c:pt idx="20">
                  <c:v>44542</c:v>
                </c:pt>
                <c:pt idx="21">
                  <c:v>44543</c:v>
                </c:pt>
                <c:pt idx="22">
                  <c:v>44544</c:v>
                </c:pt>
                <c:pt idx="23">
                  <c:v>44545</c:v>
                </c:pt>
                <c:pt idx="24">
                  <c:v>44546</c:v>
                </c:pt>
                <c:pt idx="25">
                  <c:v>44547</c:v>
                </c:pt>
                <c:pt idx="26">
                  <c:v>44548</c:v>
                </c:pt>
                <c:pt idx="27">
                  <c:v>44549</c:v>
                </c:pt>
                <c:pt idx="28">
                  <c:v>44550</c:v>
                </c:pt>
                <c:pt idx="29">
                  <c:v>44551</c:v>
                </c:pt>
                <c:pt idx="30">
                  <c:v>44552</c:v>
                </c:pt>
                <c:pt idx="31">
                  <c:v>44553</c:v>
                </c:pt>
                <c:pt idx="32">
                  <c:v>44554</c:v>
                </c:pt>
                <c:pt idx="33">
                  <c:v>44555</c:v>
                </c:pt>
                <c:pt idx="34">
                  <c:v>44556</c:v>
                </c:pt>
                <c:pt idx="35">
                  <c:v>44557</c:v>
                </c:pt>
                <c:pt idx="36">
                  <c:v>44558</c:v>
                </c:pt>
                <c:pt idx="37">
                  <c:v>44559</c:v>
                </c:pt>
                <c:pt idx="38">
                  <c:v>44560</c:v>
                </c:pt>
                <c:pt idx="39">
                  <c:v>44561</c:v>
                </c:pt>
                <c:pt idx="40">
                  <c:v>44562</c:v>
                </c:pt>
                <c:pt idx="41">
                  <c:v>44563</c:v>
                </c:pt>
                <c:pt idx="42">
                  <c:v>44564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44569</c:v>
                </c:pt>
                <c:pt idx="48">
                  <c:v>44570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44576</c:v>
                </c:pt>
                <c:pt idx="55">
                  <c:v>44577</c:v>
                </c:pt>
                <c:pt idx="56">
                  <c:v>44578</c:v>
                </c:pt>
                <c:pt idx="57">
                  <c:v>44579</c:v>
                </c:pt>
                <c:pt idx="58">
                  <c:v>44580</c:v>
                </c:pt>
                <c:pt idx="59">
                  <c:v>44581</c:v>
                </c:pt>
                <c:pt idx="60">
                  <c:v>44582</c:v>
                </c:pt>
                <c:pt idx="61">
                  <c:v>44583</c:v>
                </c:pt>
                <c:pt idx="62">
                  <c:v>44584</c:v>
                </c:pt>
                <c:pt idx="63">
                  <c:v>44585</c:v>
                </c:pt>
                <c:pt idx="64">
                  <c:v>44586</c:v>
                </c:pt>
                <c:pt idx="65">
                  <c:v>44587</c:v>
                </c:pt>
                <c:pt idx="66">
                  <c:v>44588</c:v>
                </c:pt>
                <c:pt idx="67">
                  <c:v>44589</c:v>
                </c:pt>
                <c:pt idx="68">
                  <c:v>44590</c:v>
                </c:pt>
                <c:pt idx="69">
                  <c:v>44591</c:v>
                </c:pt>
                <c:pt idx="70">
                  <c:v>44592</c:v>
                </c:pt>
                <c:pt idx="71">
                  <c:v>44593</c:v>
                </c:pt>
                <c:pt idx="72">
                  <c:v>44594</c:v>
                </c:pt>
                <c:pt idx="73">
                  <c:v>44595</c:v>
                </c:pt>
                <c:pt idx="74">
                  <c:v>44596</c:v>
                </c:pt>
                <c:pt idx="75">
                  <c:v>44597</c:v>
                </c:pt>
                <c:pt idx="76">
                  <c:v>44598</c:v>
                </c:pt>
                <c:pt idx="77">
                  <c:v>44599</c:v>
                </c:pt>
                <c:pt idx="78">
                  <c:v>44600</c:v>
                </c:pt>
                <c:pt idx="79">
                  <c:v>44601</c:v>
                </c:pt>
                <c:pt idx="80">
                  <c:v>44602</c:v>
                </c:pt>
                <c:pt idx="81">
                  <c:v>44603</c:v>
                </c:pt>
                <c:pt idx="82">
                  <c:v>44604</c:v>
                </c:pt>
                <c:pt idx="83">
                  <c:v>44605</c:v>
                </c:pt>
                <c:pt idx="84">
                  <c:v>44606</c:v>
                </c:pt>
                <c:pt idx="85">
                  <c:v>44607</c:v>
                </c:pt>
                <c:pt idx="86">
                  <c:v>44608</c:v>
                </c:pt>
                <c:pt idx="87">
                  <c:v>44609</c:v>
                </c:pt>
                <c:pt idx="88">
                  <c:v>44610</c:v>
                </c:pt>
                <c:pt idx="89">
                  <c:v>44611</c:v>
                </c:pt>
                <c:pt idx="90">
                  <c:v>44612</c:v>
                </c:pt>
                <c:pt idx="91">
                  <c:v>44613</c:v>
                </c:pt>
                <c:pt idx="92">
                  <c:v>44614</c:v>
                </c:pt>
                <c:pt idx="93">
                  <c:v>44615</c:v>
                </c:pt>
                <c:pt idx="94">
                  <c:v>44616</c:v>
                </c:pt>
                <c:pt idx="95">
                  <c:v>44617</c:v>
                </c:pt>
                <c:pt idx="96">
                  <c:v>44618</c:v>
                </c:pt>
                <c:pt idx="97">
                  <c:v>44619</c:v>
                </c:pt>
                <c:pt idx="98">
                  <c:v>44620</c:v>
                </c:pt>
                <c:pt idx="99">
                  <c:v>44621</c:v>
                </c:pt>
                <c:pt idx="100">
                  <c:v>44622</c:v>
                </c:pt>
                <c:pt idx="101">
                  <c:v>44623</c:v>
                </c:pt>
                <c:pt idx="102">
                  <c:v>44624</c:v>
                </c:pt>
                <c:pt idx="103">
                  <c:v>44625</c:v>
                </c:pt>
                <c:pt idx="104">
                  <c:v>44626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44632</c:v>
                </c:pt>
                <c:pt idx="111">
                  <c:v>44633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44639</c:v>
                </c:pt>
                <c:pt idx="118">
                  <c:v>44640</c:v>
                </c:pt>
                <c:pt idx="119">
                  <c:v>44641</c:v>
                </c:pt>
                <c:pt idx="120">
                  <c:v>44642</c:v>
                </c:pt>
                <c:pt idx="121">
                  <c:v>44643</c:v>
                </c:pt>
                <c:pt idx="122">
                  <c:v>44644</c:v>
                </c:pt>
                <c:pt idx="123">
                  <c:v>44645</c:v>
                </c:pt>
                <c:pt idx="124">
                  <c:v>44646</c:v>
                </c:pt>
                <c:pt idx="125">
                  <c:v>44647</c:v>
                </c:pt>
                <c:pt idx="126">
                  <c:v>44648</c:v>
                </c:pt>
                <c:pt idx="127">
                  <c:v>44649</c:v>
                </c:pt>
                <c:pt idx="128">
                  <c:v>44650</c:v>
                </c:pt>
                <c:pt idx="129">
                  <c:v>44651</c:v>
                </c:pt>
                <c:pt idx="130">
                  <c:v>44652</c:v>
                </c:pt>
                <c:pt idx="131">
                  <c:v>44653</c:v>
                </c:pt>
                <c:pt idx="132">
                  <c:v>44654</c:v>
                </c:pt>
                <c:pt idx="133">
                  <c:v>44655</c:v>
                </c:pt>
                <c:pt idx="134">
                  <c:v>44656</c:v>
                </c:pt>
                <c:pt idx="135">
                  <c:v>44657</c:v>
                </c:pt>
                <c:pt idx="136">
                  <c:v>44658</c:v>
                </c:pt>
                <c:pt idx="137">
                  <c:v>44659</c:v>
                </c:pt>
                <c:pt idx="138">
                  <c:v>44660</c:v>
                </c:pt>
                <c:pt idx="139">
                  <c:v>44661</c:v>
                </c:pt>
                <c:pt idx="140">
                  <c:v>44662</c:v>
                </c:pt>
                <c:pt idx="141">
                  <c:v>44663</c:v>
                </c:pt>
                <c:pt idx="142">
                  <c:v>44664</c:v>
                </c:pt>
                <c:pt idx="143">
                  <c:v>44665</c:v>
                </c:pt>
                <c:pt idx="144">
                  <c:v>44666</c:v>
                </c:pt>
                <c:pt idx="145">
                  <c:v>44667</c:v>
                </c:pt>
                <c:pt idx="146">
                  <c:v>44668</c:v>
                </c:pt>
                <c:pt idx="147">
                  <c:v>44669</c:v>
                </c:pt>
                <c:pt idx="148">
                  <c:v>44670</c:v>
                </c:pt>
                <c:pt idx="149">
                  <c:v>44671</c:v>
                </c:pt>
                <c:pt idx="150">
                  <c:v>44672</c:v>
                </c:pt>
                <c:pt idx="151">
                  <c:v>44673</c:v>
                </c:pt>
                <c:pt idx="152">
                  <c:v>44674</c:v>
                </c:pt>
                <c:pt idx="153">
                  <c:v>44675</c:v>
                </c:pt>
                <c:pt idx="154">
                  <c:v>44676</c:v>
                </c:pt>
                <c:pt idx="155">
                  <c:v>44677</c:v>
                </c:pt>
                <c:pt idx="156">
                  <c:v>44678</c:v>
                </c:pt>
                <c:pt idx="157">
                  <c:v>44679</c:v>
                </c:pt>
                <c:pt idx="158">
                  <c:v>44680</c:v>
                </c:pt>
                <c:pt idx="159">
                  <c:v>44681</c:v>
                </c:pt>
                <c:pt idx="160">
                  <c:v>44682</c:v>
                </c:pt>
                <c:pt idx="161">
                  <c:v>44683</c:v>
                </c:pt>
                <c:pt idx="162">
                  <c:v>44684</c:v>
                </c:pt>
                <c:pt idx="163">
                  <c:v>44685</c:v>
                </c:pt>
                <c:pt idx="164">
                  <c:v>44686</c:v>
                </c:pt>
                <c:pt idx="165">
                  <c:v>44687</c:v>
                </c:pt>
                <c:pt idx="166">
                  <c:v>44688</c:v>
                </c:pt>
                <c:pt idx="167">
                  <c:v>44689</c:v>
                </c:pt>
                <c:pt idx="168">
                  <c:v>44690</c:v>
                </c:pt>
                <c:pt idx="169">
                  <c:v>44691</c:v>
                </c:pt>
                <c:pt idx="170">
                  <c:v>44692</c:v>
                </c:pt>
                <c:pt idx="171">
                  <c:v>44693</c:v>
                </c:pt>
                <c:pt idx="172">
                  <c:v>44694</c:v>
                </c:pt>
                <c:pt idx="173">
                  <c:v>44695</c:v>
                </c:pt>
                <c:pt idx="174">
                  <c:v>44696</c:v>
                </c:pt>
                <c:pt idx="175">
                  <c:v>44697</c:v>
                </c:pt>
                <c:pt idx="176">
                  <c:v>44698</c:v>
                </c:pt>
                <c:pt idx="177">
                  <c:v>44699</c:v>
                </c:pt>
                <c:pt idx="178">
                  <c:v>44700</c:v>
                </c:pt>
                <c:pt idx="179">
                  <c:v>44701</c:v>
                </c:pt>
                <c:pt idx="180">
                  <c:v>44702</c:v>
                </c:pt>
                <c:pt idx="181">
                  <c:v>44703</c:v>
                </c:pt>
                <c:pt idx="182">
                  <c:v>44704</c:v>
                </c:pt>
                <c:pt idx="183">
                  <c:v>44705</c:v>
                </c:pt>
                <c:pt idx="184">
                  <c:v>44706</c:v>
                </c:pt>
                <c:pt idx="185">
                  <c:v>44707</c:v>
                </c:pt>
                <c:pt idx="186">
                  <c:v>44708</c:v>
                </c:pt>
                <c:pt idx="187">
                  <c:v>44709</c:v>
                </c:pt>
                <c:pt idx="188">
                  <c:v>44710</c:v>
                </c:pt>
                <c:pt idx="189">
                  <c:v>44711</c:v>
                </c:pt>
                <c:pt idx="190">
                  <c:v>44712</c:v>
                </c:pt>
                <c:pt idx="191">
                  <c:v>44713</c:v>
                </c:pt>
                <c:pt idx="192">
                  <c:v>44714</c:v>
                </c:pt>
                <c:pt idx="193">
                  <c:v>44715</c:v>
                </c:pt>
                <c:pt idx="194">
                  <c:v>44716</c:v>
                </c:pt>
                <c:pt idx="195">
                  <c:v>44717</c:v>
                </c:pt>
                <c:pt idx="196">
                  <c:v>44718</c:v>
                </c:pt>
                <c:pt idx="197">
                  <c:v>44719</c:v>
                </c:pt>
                <c:pt idx="198">
                  <c:v>44720</c:v>
                </c:pt>
                <c:pt idx="199">
                  <c:v>44721</c:v>
                </c:pt>
                <c:pt idx="200">
                  <c:v>44722</c:v>
                </c:pt>
                <c:pt idx="201">
                  <c:v>44723</c:v>
                </c:pt>
                <c:pt idx="202">
                  <c:v>44724</c:v>
                </c:pt>
                <c:pt idx="203">
                  <c:v>44725</c:v>
                </c:pt>
                <c:pt idx="204">
                  <c:v>44726</c:v>
                </c:pt>
                <c:pt idx="205">
                  <c:v>44727</c:v>
                </c:pt>
                <c:pt idx="206">
                  <c:v>44728</c:v>
                </c:pt>
                <c:pt idx="207">
                  <c:v>44729</c:v>
                </c:pt>
                <c:pt idx="208">
                  <c:v>44730</c:v>
                </c:pt>
                <c:pt idx="209">
                  <c:v>44731</c:v>
                </c:pt>
                <c:pt idx="210">
                  <c:v>44732</c:v>
                </c:pt>
                <c:pt idx="211">
                  <c:v>44733</c:v>
                </c:pt>
                <c:pt idx="212">
                  <c:v>44734</c:v>
                </c:pt>
                <c:pt idx="213">
                  <c:v>44735</c:v>
                </c:pt>
                <c:pt idx="214">
                  <c:v>44736</c:v>
                </c:pt>
                <c:pt idx="215">
                  <c:v>44737</c:v>
                </c:pt>
                <c:pt idx="216">
                  <c:v>44738</c:v>
                </c:pt>
                <c:pt idx="217">
                  <c:v>44739</c:v>
                </c:pt>
                <c:pt idx="218">
                  <c:v>44740</c:v>
                </c:pt>
                <c:pt idx="219">
                  <c:v>44741</c:v>
                </c:pt>
                <c:pt idx="220">
                  <c:v>44742</c:v>
                </c:pt>
                <c:pt idx="221">
                  <c:v>44743</c:v>
                </c:pt>
                <c:pt idx="222">
                  <c:v>44744</c:v>
                </c:pt>
                <c:pt idx="223">
                  <c:v>44745</c:v>
                </c:pt>
                <c:pt idx="224">
                  <c:v>44746</c:v>
                </c:pt>
                <c:pt idx="225">
                  <c:v>44747</c:v>
                </c:pt>
                <c:pt idx="226">
                  <c:v>44748</c:v>
                </c:pt>
                <c:pt idx="227">
                  <c:v>44749</c:v>
                </c:pt>
                <c:pt idx="228">
                  <c:v>44750</c:v>
                </c:pt>
                <c:pt idx="229">
                  <c:v>44751</c:v>
                </c:pt>
                <c:pt idx="230">
                  <c:v>44752</c:v>
                </c:pt>
                <c:pt idx="231">
                  <c:v>44753</c:v>
                </c:pt>
                <c:pt idx="232">
                  <c:v>44754</c:v>
                </c:pt>
                <c:pt idx="233">
                  <c:v>44755</c:v>
                </c:pt>
                <c:pt idx="234">
                  <c:v>44756</c:v>
                </c:pt>
                <c:pt idx="235">
                  <c:v>44757</c:v>
                </c:pt>
                <c:pt idx="236">
                  <c:v>44758</c:v>
                </c:pt>
                <c:pt idx="237">
                  <c:v>44759</c:v>
                </c:pt>
                <c:pt idx="238">
                  <c:v>44760</c:v>
                </c:pt>
                <c:pt idx="239">
                  <c:v>44761</c:v>
                </c:pt>
                <c:pt idx="240">
                  <c:v>44762</c:v>
                </c:pt>
                <c:pt idx="241">
                  <c:v>44763</c:v>
                </c:pt>
                <c:pt idx="242">
                  <c:v>44764</c:v>
                </c:pt>
                <c:pt idx="243">
                  <c:v>44765</c:v>
                </c:pt>
                <c:pt idx="244">
                  <c:v>44766</c:v>
                </c:pt>
                <c:pt idx="245">
                  <c:v>44767</c:v>
                </c:pt>
                <c:pt idx="246">
                  <c:v>44768</c:v>
                </c:pt>
                <c:pt idx="247">
                  <c:v>44769</c:v>
                </c:pt>
                <c:pt idx="248">
                  <c:v>44770</c:v>
                </c:pt>
                <c:pt idx="249">
                  <c:v>44771</c:v>
                </c:pt>
                <c:pt idx="250">
                  <c:v>44772</c:v>
                </c:pt>
                <c:pt idx="251">
                  <c:v>44773</c:v>
                </c:pt>
                <c:pt idx="252">
                  <c:v>44774</c:v>
                </c:pt>
                <c:pt idx="253">
                  <c:v>44775</c:v>
                </c:pt>
                <c:pt idx="254">
                  <c:v>44776</c:v>
                </c:pt>
                <c:pt idx="255">
                  <c:v>44777</c:v>
                </c:pt>
                <c:pt idx="256">
                  <c:v>44778</c:v>
                </c:pt>
                <c:pt idx="257">
                  <c:v>44779</c:v>
                </c:pt>
                <c:pt idx="258">
                  <c:v>44780</c:v>
                </c:pt>
                <c:pt idx="259">
                  <c:v>44781</c:v>
                </c:pt>
                <c:pt idx="260">
                  <c:v>44782</c:v>
                </c:pt>
                <c:pt idx="261">
                  <c:v>44783</c:v>
                </c:pt>
                <c:pt idx="262">
                  <c:v>44784</c:v>
                </c:pt>
                <c:pt idx="263">
                  <c:v>44785</c:v>
                </c:pt>
                <c:pt idx="264">
                  <c:v>44786</c:v>
                </c:pt>
                <c:pt idx="265">
                  <c:v>44787</c:v>
                </c:pt>
                <c:pt idx="266">
                  <c:v>44788</c:v>
                </c:pt>
                <c:pt idx="267">
                  <c:v>44789</c:v>
                </c:pt>
                <c:pt idx="268">
                  <c:v>44790</c:v>
                </c:pt>
                <c:pt idx="269">
                  <c:v>44791</c:v>
                </c:pt>
                <c:pt idx="270">
                  <c:v>44792</c:v>
                </c:pt>
                <c:pt idx="271">
                  <c:v>44793</c:v>
                </c:pt>
                <c:pt idx="272">
                  <c:v>44794</c:v>
                </c:pt>
                <c:pt idx="273">
                  <c:v>44795</c:v>
                </c:pt>
                <c:pt idx="274">
                  <c:v>44796</c:v>
                </c:pt>
                <c:pt idx="275">
                  <c:v>44797</c:v>
                </c:pt>
                <c:pt idx="276">
                  <c:v>44798</c:v>
                </c:pt>
                <c:pt idx="277">
                  <c:v>44799</c:v>
                </c:pt>
                <c:pt idx="278">
                  <c:v>44800</c:v>
                </c:pt>
                <c:pt idx="279">
                  <c:v>44801</c:v>
                </c:pt>
                <c:pt idx="280">
                  <c:v>44802</c:v>
                </c:pt>
                <c:pt idx="281">
                  <c:v>44803</c:v>
                </c:pt>
                <c:pt idx="282">
                  <c:v>44804</c:v>
                </c:pt>
                <c:pt idx="283">
                  <c:v>44805</c:v>
                </c:pt>
                <c:pt idx="284">
                  <c:v>44806</c:v>
                </c:pt>
                <c:pt idx="285">
                  <c:v>44807</c:v>
                </c:pt>
                <c:pt idx="286">
                  <c:v>44808</c:v>
                </c:pt>
                <c:pt idx="287">
                  <c:v>44809</c:v>
                </c:pt>
                <c:pt idx="288">
                  <c:v>44810</c:v>
                </c:pt>
                <c:pt idx="289">
                  <c:v>44811</c:v>
                </c:pt>
                <c:pt idx="290">
                  <c:v>44812</c:v>
                </c:pt>
                <c:pt idx="291">
                  <c:v>44813</c:v>
                </c:pt>
                <c:pt idx="292">
                  <c:v>44814</c:v>
                </c:pt>
                <c:pt idx="293">
                  <c:v>44815</c:v>
                </c:pt>
                <c:pt idx="294">
                  <c:v>44816</c:v>
                </c:pt>
                <c:pt idx="295">
                  <c:v>44817</c:v>
                </c:pt>
                <c:pt idx="296">
                  <c:v>44818</c:v>
                </c:pt>
                <c:pt idx="297">
                  <c:v>44819</c:v>
                </c:pt>
                <c:pt idx="298">
                  <c:v>44820</c:v>
                </c:pt>
                <c:pt idx="299">
                  <c:v>44821</c:v>
                </c:pt>
                <c:pt idx="300">
                  <c:v>44822</c:v>
                </c:pt>
                <c:pt idx="301">
                  <c:v>44823</c:v>
                </c:pt>
                <c:pt idx="302">
                  <c:v>44824</c:v>
                </c:pt>
                <c:pt idx="303">
                  <c:v>44825</c:v>
                </c:pt>
                <c:pt idx="304">
                  <c:v>44826</c:v>
                </c:pt>
                <c:pt idx="305">
                  <c:v>44827</c:v>
                </c:pt>
                <c:pt idx="306">
                  <c:v>44828</c:v>
                </c:pt>
                <c:pt idx="307">
                  <c:v>44829</c:v>
                </c:pt>
                <c:pt idx="308">
                  <c:v>44830</c:v>
                </c:pt>
                <c:pt idx="309">
                  <c:v>44831</c:v>
                </c:pt>
                <c:pt idx="310">
                  <c:v>44832</c:v>
                </c:pt>
                <c:pt idx="311">
                  <c:v>44833</c:v>
                </c:pt>
                <c:pt idx="312">
                  <c:v>44834</c:v>
                </c:pt>
                <c:pt idx="313">
                  <c:v>44835</c:v>
                </c:pt>
                <c:pt idx="314">
                  <c:v>44836</c:v>
                </c:pt>
                <c:pt idx="315">
                  <c:v>44837</c:v>
                </c:pt>
                <c:pt idx="316">
                  <c:v>44838</c:v>
                </c:pt>
                <c:pt idx="317">
                  <c:v>44839</c:v>
                </c:pt>
                <c:pt idx="318">
                  <c:v>44840</c:v>
                </c:pt>
                <c:pt idx="319">
                  <c:v>44841</c:v>
                </c:pt>
                <c:pt idx="320">
                  <c:v>44842</c:v>
                </c:pt>
                <c:pt idx="321">
                  <c:v>44843</c:v>
                </c:pt>
                <c:pt idx="322">
                  <c:v>44844</c:v>
                </c:pt>
                <c:pt idx="323">
                  <c:v>44845</c:v>
                </c:pt>
                <c:pt idx="324">
                  <c:v>44846</c:v>
                </c:pt>
                <c:pt idx="325">
                  <c:v>44847</c:v>
                </c:pt>
                <c:pt idx="326">
                  <c:v>44848</c:v>
                </c:pt>
                <c:pt idx="327">
                  <c:v>44849</c:v>
                </c:pt>
                <c:pt idx="328">
                  <c:v>44850</c:v>
                </c:pt>
                <c:pt idx="329">
                  <c:v>44851</c:v>
                </c:pt>
                <c:pt idx="330">
                  <c:v>44852</c:v>
                </c:pt>
                <c:pt idx="331">
                  <c:v>44853</c:v>
                </c:pt>
                <c:pt idx="332">
                  <c:v>44854</c:v>
                </c:pt>
                <c:pt idx="333">
                  <c:v>44855</c:v>
                </c:pt>
                <c:pt idx="334">
                  <c:v>44856</c:v>
                </c:pt>
                <c:pt idx="335">
                  <c:v>44857</c:v>
                </c:pt>
                <c:pt idx="336">
                  <c:v>44858</c:v>
                </c:pt>
                <c:pt idx="337">
                  <c:v>44859</c:v>
                </c:pt>
                <c:pt idx="338">
                  <c:v>44860</c:v>
                </c:pt>
                <c:pt idx="339">
                  <c:v>44861</c:v>
                </c:pt>
                <c:pt idx="340">
                  <c:v>44862</c:v>
                </c:pt>
                <c:pt idx="341">
                  <c:v>44863</c:v>
                </c:pt>
                <c:pt idx="342">
                  <c:v>44864</c:v>
                </c:pt>
                <c:pt idx="343">
                  <c:v>44865</c:v>
                </c:pt>
                <c:pt idx="344">
                  <c:v>44866</c:v>
                </c:pt>
                <c:pt idx="345">
                  <c:v>44867</c:v>
                </c:pt>
                <c:pt idx="346">
                  <c:v>44868</c:v>
                </c:pt>
                <c:pt idx="347">
                  <c:v>44869</c:v>
                </c:pt>
                <c:pt idx="348">
                  <c:v>44870</c:v>
                </c:pt>
                <c:pt idx="349">
                  <c:v>44871</c:v>
                </c:pt>
                <c:pt idx="350">
                  <c:v>44872</c:v>
                </c:pt>
                <c:pt idx="351">
                  <c:v>44873</c:v>
                </c:pt>
                <c:pt idx="352">
                  <c:v>44874</c:v>
                </c:pt>
                <c:pt idx="353">
                  <c:v>44875</c:v>
                </c:pt>
                <c:pt idx="354">
                  <c:v>44876</c:v>
                </c:pt>
                <c:pt idx="355">
                  <c:v>44877</c:v>
                </c:pt>
                <c:pt idx="356">
                  <c:v>44878</c:v>
                </c:pt>
                <c:pt idx="357">
                  <c:v>44879</c:v>
                </c:pt>
                <c:pt idx="358">
                  <c:v>44880</c:v>
                </c:pt>
                <c:pt idx="359">
                  <c:v>44881</c:v>
                </c:pt>
                <c:pt idx="360">
                  <c:v>44882</c:v>
                </c:pt>
                <c:pt idx="361">
                  <c:v>44883</c:v>
                </c:pt>
                <c:pt idx="362">
                  <c:v>44884</c:v>
                </c:pt>
                <c:pt idx="363">
                  <c:v>44885</c:v>
                </c:pt>
                <c:pt idx="364">
                  <c:v>44886</c:v>
                </c:pt>
                <c:pt idx="365">
                  <c:v>44887</c:v>
                </c:pt>
              </c:numCache>
            </c:numRef>
          </c:cat>
          <c:val>
            <c:numRef>
              <c:f>worksheet!$AM$2:$AM$367</c:f>
              <c:numCache>
                <c:formatCode>General</c:formatCode>
                <c:ptCount val="366"/>
                <c:pt idx="0">
                  <c:v>58706.847655999998</c:v>
                </c:pt>
                <c:pt idx="1">
                  <c:v>56304.554687999997</c:v>
                </c:pt>
                <c:pt idx="2">
                  <c:v>57565.851562999997</c:v>
                </c:pt>
                <c:pt idx="3">
                  <c:v>57165.417969000002</c:v>
                </c:pt>
                <c:pt idx="4">
                  <c:v>58960.285155999998</c:v>
                </c:pt>
                <c:pt idx="5">
                  <c:v>53736.429687999997</c:v>
                </c:pt>
                <c:pt idx="6">
                  <c:v>54813.023437999997</c:v>
                </c:pt>
                <c:pt idx="7">
                  <c:v>57291.90625</c:v>
                </c:pt>
                <c:pt idx="8">
                  <c:v>57830.113280999998</c:v>
                </c:pt>
                <c:pt idx="9">
                  <c:v>56907.964844000002</c:v>
                </c:pt>
                <c:pt idx="10">
                  <c:v>57217.371094000002</c:v>
                </c:pt>
                <c:pt idx="11">
                  <c:v>56509.164062999997</c:v>
                </c:pt>
                <c:pt idx="12">
                  <c:v>53727.878905999998</c:v>
                </c:pt>
                <c:pt idx="13">
                  <c:v>49201.519530999998</c:v>
                </c:pt>
                <c:pt idx="14">
                  <c:v>49413.480469000002</c:v>
                </c:pt>
                <c:pt idx="15">
                  <c:v>50581.828125</c:v>
                </c:pt>
                <c:pt idx="16">
                  <c:v>50667.648437999997</c:v>
                </c:pt>
                <c:pt idx="17">
                  <c:v>50450.082030999998</c:v>
                </c:pt>
                <c:pt idx="18">
                  <c:v>47642.144530999998</c:v>
                </c:pt>
                <c:pt idx="19">
                  <c:v>47264.632812999997</c:v>
                </c:pt>
                <c:pt idx="20">
                  <c:v>49354.855469000002</c:v>
                </c:pt>
                <c:pt idx="21">
                  <c:v>50114.742187999997</c:v>
                </c:pt>
                <c:pt idx="22">
                  <c:v>46709.824219000002</c:v>
                </c:pt>
                <c:pt idx="23">
                  <c:v>48379.753905999998</c:v>
                </c:pt>
                <c:pt idx="24">
                  <c:v>48900.464844000002</c:v>
                </c:pt>
                <c:pt idx="25">
                  <c:v>47653.730469000002</c:v>
                </c:pt>
                <c:pt idx="26">
                  <c:v>46219.253905999998</c:v>
                </c:pt>
                <c:pt idx="27">
                  <c:v>46853.867187999997</c:v>
                </c:pt>
                <c:pt idx="28">
                  <c:v>46707.0625</c:v>
                </c:pt>
                <c:pt idx="29">
                  <c:v>46886.078125</c:v>
                </c:pt>
                <c:pt idx="30">
                  <c:v>48937.097655999998</c:v>
                </c:pt>
                <c:pt idx="31">
                  <c:v>48626.34375</c:v>
                </c:pt>
                <c:pt idx="32">
                  <c:v>50806.050780999998</c:v>
                </c:pt>
                <c:pt idx="33">
                  <c:v>50854.917969000002</c:v>
                </c:pt>
                <c:pt idx="34">
                  <c:v>50428.691405999998</c:v>
                </c:pt>
                <c:pt idx="35">
                  <c:v>50802.609375</c:v>
                </c:pt>
                <c:pt idx="36">
                  <c:v>50679.859375</c:v>
                </c:pt>
                <c:pt idx="37">
                  <c:v>47623.871094000002</c:v>
                </c:pt>
                <c:pt idx="38">
                  <c:v>46490.605469000002</c:v>
                </c:pt>
                <c:pt idx="39">
                  <c:v>47169.371094000002</c:v>
                </c:pt>
                <c:pt idx="40">
                  <c:v>46311.746094000002</c:v>
                </c:pt>
                <c:pt idx="41">
                  <c:v>47680.925780999998</c:v>
                </c:pt>
                <c:pt idx="42">
                  <c:v>47343.542969000002</c:v>
                </c:pt>
                <c:pt idx="43">
                  <c:v>46458.851562999997</c:v>
                </c:pt>
                <c:pt idx="44">
                  <c:v>45899.359375</c:v>
                </c:pt>
                <c:pt idx="45">
                  <c:v>43565.511719000002</c:v>
                </c:pt>
                <c:pt idx="46">
                  <c:v>43153.570312999997</c:v>
                </c:pt>
                <c:pt idx="47">
                  <c:v>41561.464844000002</c:v>
                </c:pt>
                <c:pt idx="48">
                  <c:v>41734.726562999997</c:v>
                </c:pt>
                <c:pt idx="49">
                  <c:v>41910.230469000002</c:v>
                </c:pt>
                <c:pt idx="50">
                  <c:v>41819.507812999997</c:v>
                </c:pt>
                <c:pt idx="51">
                  <c:v>42742.179687999997</c:v>
                </c:pt>
                <c:pt idx="52">
                  <c:v>43946.742187999997</c:v>
                </c:pt>
                <c:pt idx="53">
                  <c:v>42598.871094000002</c:v>
                </c:pt>
                <c:pt idx="54">
                  <c:v>43101.898437999997</c:v>
                </c:pt>
                <c:pt idx="55">
                  <c:v>43172.039062999997</c:v>
                </c:pt>
                <c:pt idx="56">
                  <c:v>43118.121094000002</c:v>
                </c:pt>
                <c:pt idx="57">
                  <c:v>42250.074219000002</c:v>
                </c:pt>
                <c:pt idx="58">
                  <c:v>42374.039062999997</c:v>
                </c:pt>
                <c:pt idx="59">
                  <c:v>41744.027344000002</c:v>
                </c:pt>
                <c:pt idx="60">
                  <c:v>40699.605469000002</c:v>
                </c:pt>
                <c:pt idx="61">
                  <c:v>36471.589844000002</c:v>
                </c:pt>
                <c:pt idx="62">
                  <c:v>35047.359375</c:v>
                </c:pt>
                <c:pt idx="63">
                  <c:v>36275.734375</c:v>
                </c:pt>
                <c:pt idx="64">
                  <c:v>36654.804687999997</c:v>
                </c:pt>
                <c:pt idx="65">
                  <c:v>36950.515625</c:v>
                </c:pt>
                <c:pt idx="66">
                  <c:v>36841.878905999998</c:v>
                </c:pt>
                <c:pt idx="67">
                  <c:v>37128.445312999997</c:v>
                </c:pt>
                <c:pt idx="68">
                  <c:v>37780.714844000002</c:v>
                </c:pt>
                <c:pt idx="69">
                  <c:v>38151.917969000002</c:v>
                </c:pt>
                <c:pt idx="70">
                  <c:v>37920.28125</c:v>
                </c:pt>
                <c:pt idx="71">
                  <c:v>38481.765625</c:v>
                </c:pt>
                <c:pt idx="72">
                  <c:v>38743.714844000002</c:v>
                </c:pt>
                <c:pt idx="73">
                  <c:v>36944.804687999997</c:v>
                </c:pt>
                <c:pt idx="74">
                  <c:v>37149.265625</c:v>
                </c:pt>
                <c:pt idx="75">
                  <c:v>41501.480469000002</c:v>
                </c:pt>
                <c:pt idx="76">
                  <c:v>41441.121094000002</c:v>
                </c:pt>
                <c:pt idx="77">
                  <c:v>42406.78125</c:v>
                </c:pt>
                <c:pt idx="78">
                  <c:v>43854.652344000002</c:v>
                </c:pt>
                <c:pt idx="79">
                  <c:v>44096.703125</c:v>
                </c:pt>
                <c:pt idx="80">
                  <c:v>44347.800780999998</c:v>
                </c:pt>
                <c:pt idx="81">
                  <c:v>43571.128905999998</c:v>
                </c:pt>
                <c:pt idx="82">
                  <c:v>42412.300780999998</c:v>
                </c:pt>
                <c:pt idx="83">
                  <c:v>42236.566405999998</c:v>
                </c:pt>
                <c:pt idx="84">
                  <c:v>42157.398437999997</c:v>
                </c:pt>
                <c:pt idx="85">
                  <c:v>42586.464844000002</c:v>
                </c:pt>
                <c:pt idx="86">
                  <c:v>44578.277344000002</c:v>
                </c:pt>
                <c:pt idx="87">
                  <c:v>43937.070312999997</c:v>
                </c:pt>
                <c:pt idx="88">
                  <c:v>40552.132812999997</c:v>
                </c:pt>
                <c:pt idx="89">
                  <c:v>40026.023437999997</c:v>
                </c:pt>
                <c:pt idx="90">
                  <c:v>40118.101562999997</c:v>
                </c:pt>
                <c:pt idx="91">
                  <c:v>38423.210937999997</c:v>
                </c:pt>
                <c:pt idx="92">
                  <c:v>37068.769530999998</c:v>
                </c:pt>
                <c:pt idx="93">
                  <c:v>38285.28125</c:v>
                </c:pt>
                <c:pt idx="94">
                  <c:v>37278.566405999998</c:v>
                </c:pt>
                <c:pt idx="95">
                  <c:v>38333.746094000002</c:v>
                </c:pt>
                <c:pt idx="96">
                  <c:v>39213.082030999998</c:v>
                </c:pt>
                <c:pt idx="97">
                  <c:v>39098.699219000002</c:v>
                </c:pt>
                <c:pt idx="98">
                  <c:v>37706</c:v>
                </c:pt>
                <c:pt idx="99">
                  <c:v>43194.503905999998</c:v>
                </c:pt>
                <c:pt idx="100">
                  <c:v>44357.617187999997</c:v>
                </c:pt>
                <c:pt idx="101">
                  <c:v>43925.195312999997</c:v>
                </c:pt>
                <c:pt idx="102">
                  <c:v>42458.140625</c:v>
                </c:pt>
                <c:pt idx="103">
                  <c:v>39148.449219000002</c:v>
                </c:pt>
                <c:pt idx="104">
                  <c:v>39404.199219000002</c:v>
                </c:pt>
                <c:pt idx="105">
                  <c:v>38429.304687999997</c:v>
                </c:pt>
                <c:pt idx="106">
                  <c:v>38059.902344000002</c:v>
                </c:pt>
                <c:pt idx="107">
                  <c:v>38742.816405999998</c:v>
                </c:pt>
                <c:pt idx="108">
                  <c:v>41974.070312999997</c:v>
                </c:pt>
                <c:pt idx="109">
                  <c:v>39439.96875</c:v>
                </c:pt>
                <c:pt idx="110">
                  <c:v>38794.464844000002</c:v>
                </c:pt>
                <c:pt idx="111">
                  <c:v>38884.726562999997</c:v>
                </c:pt>
                <c:pt idx="112">
                  <c:v>37846.316405999998</c:v>
                </c:pt>
                <c:pt idx="113">
                  <c:v>39664.25</c:v>
                </c:pt>
                <c:pt idx="114">
                  <c:v>39335.570312999997</c:v>
                </c:pt>
                <c:pt idx="115">
                  <c:v>41140.84375</c:v>
                </c:pt>
                <c:pt idx="116">
                  <c:v>40944.839844000002</c:v>
                </c:pt>
                <c:pt idx="117">
                  <c:v>41794.648437999997</c:v>
                </c:pt>
                <c:pt idx="118">
                  <c:v>42191.40625</c:v>
                </c:pt>
                <c:pt idx="119">
                  <c:v>41246.132812999997</c:v>
                </c:pt>
                <c:pt idx="120">
                  <c:v>41074.105469000002</c:v>
                </c:pt>
                <c:pt idx="121">
                  <c:v>42364.378905999998</c:v>
                </c:pt>
                <c:pt idx="122">
                  <c:v>42886.652344000002</c:v>
                </c:pt>
                <c:pt idx="123">
                  <c:v>43964.546875</c:v>
                </c:pt>
                <c:pt idx="124">
                  <c:v>44349.859375</c:v>
                </c:pt>
                <c:pt idx="125">
                  <c:v>44505.355469000002</c:v>
                </c:pt>
                <c:pt idx="126">
                  <c:v>46821.851562999997</c:v>
                </c:pt>
                <c:pt idx="127">
                  <c:v>47100.4375</c:v>
                </c:pt>
                <c:pt idx="128">
                  <c:v>47456.898437999997</c:v>
                </c:pt>
                <c:pt idx="129">
                  <c:v>47062.148437999997</c:v>
                </c:pt>
                <c:pt idx="130">
                  <c:v>45554.164062999997</c:v>
                </c:pt>
                <c:pt idx="131">
                  <c:v>46285.5</c:v>
                </c:pt>
                <c:pt idx="132">
                  <c:v>45859.128905999998</c:v>
                </c:pt>
                <c:pt idx="133">
                  <c:v>46445.273437999997</c:v>
                </c:pt>
                <c:pt idx="134">
                  <c:v>46624.507812999997</c:v>
                </c:pt>
                <c:pt idx="135">
                  <c:v>45544.355469000002</c:v>
                </c:pt>
                <c:pt idx="136">
                  <c:v>43207.5</c:v>
                </c:pt>
                <c:pt idx="137">
                  <c:v>43505.136719000002</c:v>
                </c:pt>
                <c:pt idx="138">
                  <c:v>42282.078125</c:v>
                </c:pt>
                <c:pt idx="139">
                  <c:v>42781.089844000002</c:v>
                </c:pt>
                <c:pt idx="140">
                  <c:v>42201.039062999997</c:v>
                </c:pt>
                <c:pt idx="141">
                  <c:v>39533.714844000002</c:v>
                </c:pt>
                <c:pt idx="142">
                  <c:v>40123.570312999997</c:v>
                </c:pt>
                <c:pt idx="143">
                  <c:v>41160.21875</c:v>
                </c:pt>
                <c:pt idx="144">
                  <c:v>39939.402344000002</c:v>
                </c:pt>
                <c:pt idx="145">
                  <c:v>40552.316405999998</c:v>
                </c:pt>
                <c:pt idx="146">
                  <c:v>40417.777344000002</c:v>
                </c:pt>
                <c:pt idx="147">
                  <c:v>39721.203125</c:v>
                </c:pt>
                <c:pt idx="148">
                  <c:v>40828.175780999998</c:v>
                </c:pt>
                <c:pt idx="149">
                  <c:v>41501.746094000002</c:v>
                </c:pt>
                <c:pt idx="150">
                  <c:v>41371.515625</c:v>
                </c:pt>
                <c:pt idx="151">
                  <c:v>40525.863280999998</c:v>
                </c:pt>
                <c:pt idx="152">
                  <c:v>39738.722655999998</c:v>
                </c:pt>
                <c:pt idx="153">
                  <c:v>39478.375</c:v>
                </c:pt>
                <c:pt idx="154">
                  <c:v>39472.605469000002</c:v>
                </c:pt>
                <c:pt idx="155">
                  <c:v>40448.421875</c:v>
                </c:pt>
                <c:pt idx="156">
                  <c:v>38120.300780999998</c:v>
                </c:pt>
                <c:pt idx="157">
                  <c:v>39241.429687999997</c:v>
                </c:pt>
                <c:pt idx="158">
                  <c:v>39768.617187999997</c:v>
                </c:pt>
                <c:pt idx="159">
                  <c:v>38605.859375</c:v>
                </c:pt>
                <c:pt idx="160">
                  <c:v>37713.265625</c:v>
                </c:pt>
                <c:pt idx="161">
                  <c:v>38472.1875</c:v>
                </c:pt>
                <c:pt idx="162">
                  <c:v>38528.109375</c:v>
                </c:pt>
                <c:pt idx="163">
                  <c:v>37748.011719000002</c:v>
                </c:pt>
                <c:pt idx="164">
                  <c:v>39695.746094000002</c:v>
                </c:pt>
                <c:pt idx="165">
                  <c:v>36573.183594000002</c:v>
                </c:pt>
                <c:pt idx="166">
                  <c:v>36042.503905999998</c:v>
                </c:pt>
                <c:pt idx="167">
                  <c:v>35502.941405999998</c:v>
                </c:pt>
                <c:pt idx="168">
                  <c:v>34060.015625</c:v>
                </c:pt>
                <c:pt idx="169">
                  <c:v>30273.654297000001</c:v>
                </c:pt>
                <c:pt idx="170">
                  <c:v>31016.183593999998</c:v>
                </c:pt>
                <c:pt idx="171">
                  <c:v>28936.734375</c:v>
                </c:pt>
                <c:pt idx="172">
                  <c:v>29030.910156000002</c:v>
                </c:pt>
                <c:pt idx="173">
                  <c:v>29285.642577999999</c:v>
                </c:pt>
                <c:pt idx="174">
                  <c:v>30098.585938</c:v>
                </c:pt>
                <c:pt idx="175">
                  <c:v>31304.375</c:v>
                </c:pt>
                <c:pt idx="176">
                  <c:v>29862.408202999999</c:v>
                </c:pt>
                <c:pt idx="177">
                  <c:v>30424.478515999999</c:v>
                </c:pt>
                <c:pt idx="178">
                  <c:v>28720.359375</c:v>
                </c:pt>
                <c:pt idx="179">
                  <c:v>30311.119140999999</c:v>
                </c:pt>
                <c:pt idx="180">
                  <c:v>29199.859375</c:v>
                </c:pt>
                <c:pt idx="181">
                  <c:v>29432.472656000002</c:v>
                </c:pt>
                <c:pt idx="182">
                  <c:v>30309.396484000001</c:v>
                </c:pt>
                <c:pt idx="183">
                  <c:v>29101.125</c:v>
                </c:pt>
                <c:pt idx="184">
                  <c:v>29653.134765999999</c:v>
                </c:pt>
                <c:pt idx="185">
                  <c:v>29564.777343999998</c:v>
                </c:pt>
                <c:pt idx="186">
                  <c:v>29251.140625</c:v>
                </c:pt>
                <c:pt idx="187">
                  <c:v>28622.625</c:v>
                </c:pt>
                <c:pt idx="188">
                  <c:v>29019.867188</c:v>
                </c:pt>
                <c:pt idx="189">
                  <c:v>29443.365234000001</c:v>
                </c:pt>
                <c:pt idx="190">
                  <c:v>31723.865234000001</c:v>
                </c:pt>
                <c:pt idx="191">
                  <c:v>31792.554688</c:v>
                </c:pt>
                <c:pt idx="192">
                  <c:v>29794.890625</c:v>
                </c:pt>
                <c:pt idx="193">
                  <c:v>30467.806640999999</c:v>
                </c:pt>
                <c:pt idx="194">
                  <c:v>29706.138672000001</c:v>
                </c:pt>
                <c:pt idx="195">
                  <c:v>29835.117188</c:v>
                </c:pt>
                <c:pt idx="196">
                  <c:v>29910.283202999999</c:v>
                </c:pt>
                <c:pt idx="197">
                  <c:v>31371.742188</c:v>
                </c:pt>
                <c:pt idx="198">
                  <c:v>31151.480468999998</c:v>
                </c:pt>
                <c:pt idx="199">
                  <c:v>30215.279297000001</c:v>
                </c:pt>
                <c:pt idx="200">
                  <c:v>30110.330077999999</c:v>
                </c:pt>
                <c:pt idx="201">
                  <c:v>29084.666015999999</c:v>
                </c:pt>
                <c:pt idx="202">
                  <c:v>28373.513672000001</c:v>
                </c:pt>
                <c:pt idx="203">
                  <c:v>26737.578125</c:v>
                </c:pt>
                <c:pt idx="204">
                  <c:v>22487.986327999999</c:v>
                </c:pt>
                <c:pt idx="205">
                  <c:v>22196.730468999998</c:v>
                </c:pt>
                <c:pt idx="206">
                  <c:v>22576.304688</c:v>
                </c:pt>
                <c:pt idx="207">
                  <c:v>20385.71875</c:v>
                </c:pt>
                <c:pt idx="208">
                  <c:v>20473.425781000002</c:v>
                </c:pt>
                <c:pt idx="209">
                  <c:v>19010.902343999998</c:v>
                </c:pt>
                <c:pt idx="210">
                  <c:v>20553.371093999998</c:v>
                </c:pt>
                <c:pt idx="211">
                  <c:v>20594.294922000001</c:v>
                </c:pt>
                <c:pt idx="212">
                  <c:v>20719.414063</c:v>
                </c:pt>
                <c:pt idx="213">
                  <c:v>19986.607422000001</c:v>
                </c:pt>
                <c:pt idx="214">
                  <c:v>21084.648438</c:v>
                </c:pt>
                <c:pt idx="215">
                  <c:v>21233.609375</c:v>
                </c:pt>
                <c:pt idx="216">
                  <c:v>21496.494140999999</c:v>
                </c:pt>
                <c:pt idx="217">
                  <c:v>21028.238281000002</c:v>
                </c:pt>
                <c:pt idx="218">
                  <c:v>20731.544922000001</c:v>
                </c:pt>
                <c:pt idx="219">
                  <c:v>20281.169922000001</c:v>
                </c:pt>
                <c:pt idx="220">
                  <c:v>20108.3125</c:v>
                </c:pt>
                <c:pt idx="221">
                  <c:v>19820.470702999999</c:v>
                </c:pt>
                <c:pt idx="222">
                  <c:v>19274.835938</c:v>
                </c:pt>
                <c:pt idx="223">
                  <c:v>19242.095702999999</c:v>
                </c:pt>
                <c:pt idx="224">
                  <c:v>19297.314452999999</c:v>
                </c:pt>
                <c:pt idx="225">
                  <c:v>20225.353515999999</c:v>
                </c:pt>
                <c:pt idx="226">
                  <c:v>20194.619140999999</c:v>
                </c:pt>
                <c:pt idx="227">
                  <c:v>20547.814452999999</c:v>
                </c:pt>
                <c:pt idx="228">
                  <c:v>21637.154297000001</c:v>
                </c:pt>
                <c:pt idx="229">
                  <c:v>21716.828125</c:v>
                </c:pt>
                <c:pt idx="230">
                  <c:v>21591.080077999999</c:v>
                </c:pt>
                <c:pt idx="231">
                  <c:v>20856.353515999999</c:v>
                </c:pt>
                <c:pt idx="232">
                  <c:v>19970.474609000001</c:v>
                </c:pt>
                <c:pt idx="233">
                  <c:v>19325.972656000002</c:v>
                </c:pt>
                <c:pt idx="234">
                  <c:v>20211.466797000001</c:v>
                </c:pt>
                <c:pt idx="235">
                  <c:v>20573.15625</c:v>
                </c:pt>
                <c:pt idx="236">
                  <c:v>20834.103515999999</c:v>
                </c:pt>
                <c:pt idx="237">
                  <c:v>21195.041015999999</c:v>
                </c:pt>
                <c:pt idx="238">
                  <c:v>20781.912109000001</c:v>
                </c:pt>
                <c:pt idx="239">
                  <c:v>22467.849609000001</c:v>
                </c:pt>
                <c:pt idx="240">
                  <c:v>23393.191406000002</c:v>
                </c:pt>
                <c:pt idx="241">
                  <c:v>23233.201172000001</c:v>
                </c:pt>
                <c:pt idx="242">
                  <c:v>23163.751952999999</c:v>
                </c:pt>
                <c:pt idx="243">
                  <c:v>22706.984375</c:v>
                </c:pt>
                <c:pt idx="244">
                  <c:v>22465.509765999999</c:v>
                </c:pt>
                <c:pt idx="245">
                  <c:v>22607.15625</c:v>
                </c:pt>
                <c:pt idx="246">
                  <c:v>21361.121093999998</c:v>
                </c:pt>
                <c:pt idx="247">
                  <c:v>21244.169922000001</c:v>
                </c:pt>
                <c:pt idx="248">
                  <c:v>22933.640625</c:v>
                </c:pt>
                <c:pt idx="249">
                  <c:v>23845.212890999999</c:v>
                </c:pt>
                <c:pt idx="250">
                  <c:v>23796.818359000001</c:v>
                </c:pt>
                <c:pt idx="251">
                  <c:v>23652.070313</c:v>
                </c:pt>
                <c:pt idx="252">
                  <c:v>23336.71875</c:v>
                </c:pt>
                <c:pt idx="253">
                  <c:v>23308.433593999998</c:v>
                </c:pt>
                <c:pt idx="254">
                  <c:v>22981.302734000001</c:v>
                </c:pt>
                <c:pt idx="255">
                  <c:v>22848.214843999998</c:v>
                </c:pt>
                <c:pt idx="256">
                  <c:v>22626.833984000001</c:v>
                </c:pt>
                <c:pt idx="257">
                  <c:v>23291.423827999999</c:v>
                </c:pt>
                <c:pt idx="258">
                  <c:v>22963.505859000001</c:v>
                </c:pt>
                <c:pt idx="259">
                  <c:v>23179.527343999998</c:v>
                </c:pt>
                <c:pt idx="260">
                  <c:v>23811.484375</c:v>
                </c:pt>
                <c:pt idx="261">
                  <c:v>23162.898438</c:v>
                </c:pt>
                <c:pt idx="262">
                  <c:v>23948.345702999999</c:v>
                </c:pt>
                <c:pt idx="263">
                  <c:v>23957.203125</c:v>
                </c:pt>
                <c:pt idx="264">
                  <c:v>24402.1875</c:v>
                </c:pt>
                <c:pt idx="265">
                  <c:v>24429.056640999999</c:v>
                </c:pt>
                <c:pt idx="266">
                  <c:v>24318.316406000002</c:v>
                </c:pt>
                <c:pt idx="267">
                  <c:v>24126.136718999998</c:v>
                </c:pt>
                <c:pt idx="268">
                  <c:v>23881.316406000002</c:v>
                </c:pt>
                <c:pt idx="269">
                  <c:v>23341.039063</c:v>
                </c:pt>
                <c:pt idx="270">
                  <c:v>23213.3125</c:v>
                </c:pt>
                <c:pt idx="271">
                  <c:v>20872.841797000001</c:v>
                </c:pt>
                <c:pt idx="272">
                  <c:v>21160.392577999999</c:v>
                </c:pt>
                <c:pt idx="273">
                  <c:v>21531.462890999999</c:v>
                </c:pt>
                <c:pt idx="274">
                  <c:v>21401.044922000001</c:v>
                </c:pt>
                <c:pt idx="275">
                  <c:v>21526.455077999999</c:v>
                </c:pt>
                <c:pt idx="276">
                  <c:v>21395.458984000001</c:v>
                </c:pt>
                <c:pt idx="277">
                  <c:v>21596.085938</c:v>
                </c:pt>
                <c:pt idx="278">
                  <c:v>20262.480468999998</c:v>
                </c:pt>
                <c:pt idx="279">
                  <c:v>20041.035156000002</c:v>
                </c:pt>
                <c:pt idx="280">
                  <c:v>19615.154297000001</c:v>
                </c:pt>
                <c:pt idx="281">
                  <c:v>20298.611327999999</c:v>
                </c:pt>
                <c:pt idx="282">
                  <c:v>19799.582031000002</c:v>
                </c:pt>
                <c:pt idx="283">
                  <c:v>20050.498047000001</c:v>
                </c:pt>
                <c:pt idx="284">
                  <c:v>20126.072265999999</c:v>
                </c:pt>
                <c:pt idx="285">
                  <c:v>19969.71875</c:v>
                </c:pt>
                <c:pt idx="286">
                  <c:v>19832.470702999999</c:v>
                </c:pt>
                <c:pt idx="287">
                  <c:v>19988.789063</c:v>
                </c:pt>
                <c:pt idx="288">
                  <c:v>19817.724609000001</c:v>
                </c:pt>
                <c:pt idx="289">
                  <c:v>18837.683593999998</c:v>
                </c:pt>
                <c:pt idx="290">
                  <c:v>19289.941406000002</c:v>
                </c:pt>
                <c:pt idx="291">
                  <c:v>19328.140625</c:v>
                </c:pt>
                <c:pt idx="292">
                  <c:v>21376.912109000001</c:v>
                </c:pt>
                <c:pt idx="293">
                  <c:v>21678.542968999998</c:v>
                </c:pt>
                <c:pt idx="294">
                  <c:v>21770.148438</c:v>
                </c:pt>
                <c:pt idx="295">
                  <c:v>22371.480468999998</c:v>
                </c:pt>
                <c:pt idx="296">
                  <c:v>20184.554688</c:v>
                </c:pt>
                <c:pt idx="297">
                  <c:v>20242.289063</c:v>
                </c:pt>
                <c:pt idx="298">
                  <c:v>19704.005859000001</c:v>
                </c:pt>
                <c:pt idx="299">
                  <c:v>19777.033202999999</c:v>
                </c:pt>
                <c:pt idx="300">
                  <c:v>20127.234375</c:v>
                </c:pt>
                <c:pt idx="301">
                  <c:v>19418.572265999999</c:v>
                </c:pt>
                <c:pt idx="302">
                  <c:v>19545.591797000001</c:v>
                </c:pt>
                <c:pt idx="303">
                  <c:v>18891.283202999999</c:v>
                </c:pt>
                <c:pt idx="304">
                  <c:v>18534.650390999999</c:v>
                </c:pt>
                <c:pt idx="305">
                  <c:v>19412.400390999999</c:v>
                </c:pt>
                <c:pt idx="306">
                  <c:v>19296.990234000001</c:v>
                </c:pt>
                <c:pt idx="307">
                  <c:v>18936.310547000001</c:v>
                </c:pt>
                <c:pt idx="308">
                  <c:v>18803.900390999999</c:v>
                </c:pt>
                <c:pt idx="309">
                  <c:v>19221.839843999998</c:v>
                </c:pt>
                <c:pt idx="310">
                  <c:v>19104.621093999998</c:v>
                </c:pt>
                <c:pt idx="311">
                  <c:v>19427.779297000001</c:v>
                </c:pt>
                <c:pt idx="312">
                  <c:v>19573.431640999999</c:v>
                </c:pt>
                <c:pt idx="313">
                  <c:v>19431.105468999998</c:v>
                </c:pt>
                <c:pt idx="314">
                  <c:v>19311.849609000001</c:v>
                </c:pt>
                <c:pt idx="315">
                  <c:v>19044.068359000001</c:v>
                </c:pt>
                <c:pt idx="316">
                  <c:v>19623.583984000001</c:v>
                </c:pt>
                <c:pt idx="317">
                  <c:v>20335.900390999999</c:v>
                </c:pt>
                <c:pt idx="318">
                  <c:v>20161.039063</c:v>
                </c:pt>
                <c:pt idx="319">
                  <c:v>19957.558593999998</c:v>
                </c:pt>
                <c:pt idx="320">
                  <c:v>19546.328125</c:v>
                </c:pt>
                <c:pt idx="321">
                  <c:v>19417.478515999999</c:v>
                </c:pt>
                <c:pt idx="322">
                  <c:v>19446.416015999999</c:v>
                </c:pt>
                <c:pt idx="323">
                  <c:v>19139</c:v>
                </c:pt>
                <c:pt idx="324">
                  <c:v>19052.646484000001</c:v>
                </c:pt>
                <c:pt idx="325">
                  <c:v>19156.966797000001</c:v>
                </c:pt>
                <c:pt idx="326">
                  <c:v>19382.533202999999</c:v>
                </c:pt>
                <c:pt idx="327">
                  <c:v>19185.4375</c:v>
                </c:pt>
                <c:pt idx="328">
                  <c:v>19068.914063</c:v>
                </c:pt>
                <c:pt idx="329">
                  <c:v>19268.5625</c:v>
                </c:pt>
                <c:pt idx="330">
                  <c:v>19550.466797000001</c:v>
                </c:pt>
                <c:pt idx="331">
                  <c:v>19335.027343999998</c:v>
                </c:pt>
                <c:pt idx="332">
                  <c:v>19138.085938</c:v>
                </c:pt>
                <c:pt idx="333">
                  <c:v>19053.203125</c:v>
                </c:pt>
                <c:pt idx="334">
                  <c:v>19172.380859000001</c:v>
                </c:pt>
                <c:pt idx="335">
                  <c:v>19207.734375</c:v>
                </c:pt>
                <c:pt idx="336">
                  <c:v>19567.769531000002</c:v>
                </c:pt>
                <c:pt idx="337">
                  <c:v>19344.964843999998</c:v>
                </c:pt>
                <c:pt idx="338">
                  <c:v>20092.236327999999</c:v>
                </c:pt>
                <c:pt idx="339">
                  <c:v>20772.802734000001</c:v>
                </c:pt>
                <c:pt idx="340">
                  <c:v>20287.957031000002</c:v>
                </c:pt>
                <c:pt idx="341">
                  <c:v>20595.103515999999</c:v>
                </c:pt>
                <c:pt idx="342">
                  <c:v>20817.982422000001</c:v>
                </c:pt>
                <c:pt idx="343">
                  <c:v>20633.695313</c:v>
                </c:pt>
                <c:pt idx="344">
                  <c:v>20494.898438</c:v>
                </c:pt>
                <c:pt idx="345">
                  <c:v>20482.958984000001</c:v>
                </c:pt>
                <c:pt idx="346">
                  <c:v>20162.689452999999</c:v>
                </c:pt>
                <c:pt idx="347">
                  <c:v>20208.769531000002</c:v>
                </c:pt>
                <c:pt idx="348">
                  <c:v>21144.832031000002</c:v>
                </c:pt>
                <c:pt idx="349">
                  <c:v>21285.056640999999</c:v>
                </c:pt>
                <c:pt idx="350">
                  <c:v>20924.621093999998</c:v>
                </c:pt>
                <c:pt idx="351">
                  <c:v>20600.671875</c:v>
                </c:pt>
                <c:pt idx="352">
                  <c:v>18543.761718999998</c:v>
                </c:pt>
                <c:pt idx="353">
                  <c:v>15883.158203000001</c:v>
                </c:pt>
                <c:pt idx="354">
                  <c:v>17583.251952999999</c:v>
                </c:pt>
                <c:pt idx="355">
                  <c:v>17036.875</c:v>
                </c:pt>
                <c:pt idx="356">
                  <c:v>16799.722656000002</c:v>
                </c:pt>
                <c:pt idx="357">
                  <c:v>16352.028319999999</c:v>
                </c:pt>
                <c:pt idx="358">
                  <c:v>16617.484375</c:v>
                </c:pt>
                <c:pt idx="359">
                  <c:v>16884.341797000001</c:v>
                </c:pt>
                <c:pt idx="360">
                  <c:v>16670.425781000002</c:v>
                </c:pt>
                <c:pt idx="361">
                  <c:v>16687.912109000001</c:v>
                </c:pt>
                <c:pt idx="362">
                  <c:v>16696.220702999999</c:v>
                </c:pt>
                <c:pt idx="363">
                  <c:v>16712.919922000001</c:v>
                </c:pt>
                <c:pt idx="364">
                  <c:v>16291.223633</c:v>
                </c:pt>
                <c:pt idx="365">
                  <c:v>15778.548828000001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32-4108-A363-2C8ABBEACC3F}"/>
            </c:ext>
          </c:extLst>
        </c:ser>
        <c:ser>
          <c:idx val="2"/>
          <c:order val="2"/>
          <c:tx>
            <c:strRef>
              <c:f>worksheet!$AN$1</c:f>
              <c:strCache>
                <c:ptCount val="1"/>
                <c:pt idx="0">
                  <c:v>Cardona Open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worksheet!$AK$2:$AK$367</c:f>
              <c:numCache>
                <c:formatCode>m/d/yyyy</c:formatCode>
                <c:ptCount val="366"/>
                <c:pt idx="0">
                  <c:v>44522</c:v>
                </c:pt>
                <c:pt idx="1">
                  <c:v>44523</c:v>
                </c:pt>
                <c:pt idx="2">
                  <c:v>44524</c:v>
                </c:pt>
                <c:pt idx="3">
                  <c:v>44525</c:v>
                </c:pt>
                <c:pt idx="4">
                  <c:v>44526</c:v>
                </c:pt>
                <c:pt idx="5">
                  <c:v>44527</c:v>
                </c:pt>
                <c:pt idx="6">
                  <c:v>44528</c:v>
                </c:pt>
                <c:pt idx="7">
                  <c:v>44529</c:v>
                </c:pt>
                <c:pt idx="8">
                  <c:v>44530</c:v>
                </c:pt>
                <c:pt idx="9">
                  <c:v>44531</c:v>
                </c:pt>
                <c:pt idx="10">
                  <c:v>44532</c:v>
                </c:pt>
                <c:pt idx="11">
                  <c:v>44533</c:v>
                </c:pt>
                <c:pt idx="12">
                  <c:v>44534</c:v>
                </c:pt>
                <c:pt idx="13">
                  <c:v>44535</c:v>
                </c:pt>
                <c:pt idx="14">
                  <c:v>44536</c:v>
                </c:pt>
                <c:pt idx="15">
                  <c:v>44537</c:v>
                </c:pt>
                <c:pt idx="16">
                  <c:v>44538</c:v>
                </c:pt>
                <c:pt idx="17">
                  <c:v>44539</c:v>
                </c:pt>
                <c:pt idx="18">
                  <c:v>44540</c:v>
                </c:pt>
                <c:pt idx="19">
                  <c:v>44541</c:v>
                </c:pt>
                <c:pt idx="20">
                  <c:v>44542</c:v>
                </c:pt>
                <c:pt idx="21">
                  <c:v>44543</c:v>
                </c:pt>
                <c:pt idx="22">
                  <c:v>44544</c:v>
                </c:pt>
                <c:pt idx="23">
                  <c:v>44545</c:v>
                </c:pt>
                <c:pt idx="24">
                  <c:v>44546</c:v>
                </c:pt>
                <c:pt idx="25">
                  <c:v>44547</c:v>
                </c:pt>
                <c:pt idx="26">
                  <c:v>44548</c:v>
                </c:pt>
                <c:pt idx="27">
                  <c:v>44549</c:v>
                </c:pt>
                <c:pt idx="28">
                  <c:v>44550</c:v>
                </c:pt>
                <c:pt idx="29">
                  <c:v>44551</c:v>
                </c:pt>
                <c:pt idx="30">
                  <c:v>44552</c:v>
                </c:pt>
                <c:pt idx="31">
                  <c:v>44553</c:v>
                </c:pt>
                <c:pt idx="32">
                  <c:v>44554</c:v>
                </c:pt>
                <c:pt idx="33">
                  <c:v>44555</c:v>
                </c:pt>
                <c:pt idx="34">
                  <c:v>44556</c:v>
                </c:pt>
                <c:pt idx="35">
                  <c:v>44557</c:v>
                </c:pt>
                <c:pt idx="36">
                  <c:v>44558</c:v>
                </c:pt>
                <c:pt idx="37">
                  <c:v>44559</c:v>
                </c:pt>
                <c:pt idx="38">
                  <c:v>44560</c:v>
                </c:pt>
                <c:pt idx="39">
                  <c:v>44561</c:v>
                </c:pt>
                <c:pt idx="40">
                  <c:v>44562</c:v>
                </c:pt>
                <c:pt idx="41">
                  <c:v>44563</c:v>
                </c:pt>
                <c:pt idx="42">
                  <c:v>44564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44569</c:v>
                </c:pt>
                <c:pt idx="48">
                  <c:v>44570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44576</c:v>
                </c:pt>
                <c:pt idx="55">
                  <c:v>44577</c:v>
                </c:pt>
                <c:pt idx="56">
                  <c:v>44578</c:v>
                </c:pt>
                <c:pt idx="57">
                  <c:v>44579</c:v>
                </c:pt>
                <c:pt idx="58">
                  <c:v>44580</c:v>
                </c:pt>
                <c:pt idx="59">
                  <c:v>44581</c:v>
                </c:pt>
                <c:pt idx="60">
                  <c:v>44582</c:v>
                </c:pt>
                <c:pt idx="61">
                  <c:v>44583</c:v>
                </c:pt>
                <c:pt idx="62">
                  <c:v>44584</c:v>
                </c:pt>
                <c:pt idx="63">
                  <c:v>44585</c:v>
                </c:pt>
                <c:pt idx="64">
                  <c:v>44586</c:v>
                </c:pt>
                <c:pt idx="65">
                  <c:v>44587</c:v>
                </c:pt>
                <c:pt idx="66">
                  <c:v>44588</c:v>
                </c:pt>
                <c:pt idx="67">
                  <c:v>44589</c:v>
                </c:pt>
                <c:pt idx="68">
                  <c:v>44590</c:v>
                </c:pt>
                <c:pt idx="69">
                  <c:v>44591</c:v>
                </c:pt>
                <c:pt idx="70">
                  <c:v>44592</c:v>
                </c:pt>
                <c:pt idx="71">
                  <c:v>44593</c:v>
                </c:pt>
                <c:pt idx="72">
                  <c:v>44594</c:v>
                </c:pt>
                <c:pt idx="73">
                  <c:v>44595</c:v>
                </c:pt>
                <c:pt idx="74">
                  <c:v>44596</c:v>
                </c:pt>
                <c:pt idx="75">
                  <c:v>44597</c:v>
                </c:pt>
                <c:pt idx="76">
                  <c:v>44598</c:v>
                </c:pt>
                <c:pt idx="77">
                  <c:v>44599</c:v>
                </c:pt>
                <c:pt idx="78">
                  <c:v>44600</c:v>
                </c:pt>
                <c:pt idx="79">
                  <c:v>44601</c:v>
                </c:pt>
                <c:pt idx="80">
                  <c:v>44602</c:v>
                </c:pt>
                <c:pt idx="81">
                  <c:v>44603</c:v>
                </c:pt>
                <c:pt idx="82">
                  <c:v>44604</c:v>
                </c:pt>
                <c:pt idx="83">
                  <c:v>44605</c:v>
                </c:pt>
                <c:pt idx="84">
                  <c:v>44606</c:v>
                </c:pt>
                <c:pt idx="85">
                  <c:v>44607</c:v>
                </c:pt>
                <c:pt idx="86">
                  <c:v>44608</c:v>
                </c:pt>
                <c:pt idx="87">
                  <c:v>44609</c:v>
                </c:pt>
                <c:pt idx="88">
                  <c:v>44610</c:v>
                </c:pt>
                <c:pt idx="89">
                  <c:v>44611</c:v>
                </c:pt>
                <c:pt idx="90">
                  <c:v>44612</c:v>
                </c:pt>
                <c:pt idx="91">
                  <c:v>44613</c:v>
                </c:pt>
                <c:pt idx="92">
                  <c:v>44614</c:v>
                </c:pt>
                <c:pt idx="93">
                  <c:v>44615</c:v>
                </c:pt>
                <c:pt idx="94">
                  <c:v>44616</c:v>
                </c:pt>
                <c:pt idx="95">
                  <c:v>44617</c:v>
                </c:pt>
                <c:pt idx="96">
                  <c:v>44618</c:v>
                </c:pt>
                <c:pt idx="97">
                  <c:v>44619</c:v>
                </c:pt>
                <c:pt idx="98">
                  <c:v>44620</c:v>
                </c:pt>
                <c:pt idx="99">
                  <c:v>44621</c:v>
                </c:pt>
                <c:pt idx="100">
                  <c:v>44622</c:v>
                </c:pt>
                <c:pt idx="101">
                  <c:v>44623</c:v>
                </c:pt>
                <c:pt idx="102">
                  <c:v>44624</c:v>
                </c:pt>
                <c:pt idx="103">
                  <c:v>44625</c:v>
                </c:pt>
                <c:pt idx="104">
                  <c:v>44626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44632</c:v>
                </c:pt>
                <c:pt idx="111">
                  <c:v>44633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44639</c:v>
                </c:pt>
                <c:pt idx="118">
                  <c:v>44640</c:v>
                </c:pt>
                <c:pt idx="119">
                  <c:v>44641</c:v>
                </c:pt>
                <c:pt idx="120">
                  <c:v>44642</c:v>
                </c:pt>
                <c:pt idx="121">
                  <c:v>44643</c:v>
                </c:pt>
                <c:pt idx="122">
                  <c:v>44644</c:v>
                </c:pt>
                <c:pt idx="123">
                  <c:v>44645</c:v>
                </c:pt>
                <c:pt idx="124">
                  <c:v>44646</c:v>
                </c:pt>
                <c:pt idx="125">
                  <c:v>44647</c:v>
                </c:pt>
                <c:pt idx="126">
                  <c:v>44648</c:v>
                </c:pt>
                <c:pt idx="127">
                  <c:v>44649</c:v>
                </c:pt>
                <c:pt idx="128">
                  <c:v>44650</c:v>
                </c:pt>
                <c:pt idx="129">
                  <c:v>44651</c:v>
                </c:pt>
                <c:pt idx="130">
                  <c:v>44652</c:v>
                </c:pt>
                <c:pt idx="131">
                  <c:v>44653</c:v>
                </c:pt>
                <c:pt idx="132">
                  <c:v>44654</c:v>
                </c:pt>
                <c:pt idx="133">
                  <c:v>44655</c:v>
                </c:pt>
                <c:pt idx="134">
                  <c:v>44656</c:v>
                </c:pt>
                <c:pt idx="135">
                  <c:v>44657</c:v>
                </c:pt>
                <c:pt idx="136">
                  <c:v>44658</c:v>
                </c:pt>
                <c:pt idx="137">
                  <c:v>44659</c:v>
                </c:pt>
                <c:pt idx="138">
                  <c:v>44660</c:v>
                </c:pt>
                <c:pt idx="139">
                  <c:v>44661</c:v>
                </c:pt>
                <c:pt idx="140">
                  <c:v>44662</c:v>
                </c:pt>
                <c:pt idx="141">
                  <c:v>44663</c:v>
                </c:pt>
                <c:pt idx="142">
                  <c:v>44664</c:v>
                </c:pt>
                <c:pt idx="143">
                  <c:v>44665</c:v>
                </c:pt>
                <c:pt idx="144">
                  <c:v>44666</c:v>
                </c:pt>
                <c:pt idx="145">
                  <c:v>44667</c:v>
                </c:pt>
                <c:pt idx="146">
                  <c:v>44668</c:v>
                </c:pt>
                <c:pt idx="147">
                  <c:v>44669</c:v>
                </c:pt>
                <c:pt idx="148">
                  <c:v>44670</c:v>
                </c:pt>
                <c:pt idx="149">
                  <c:v>44671</c:v>
                </c:pt>
                <c:pt idx="150">
                  <c:v>44672</c:v>
                </c:pt>
                <c:pt idx="151">
                  <c:v>44673</c:v>
                </c:pt>
                <c:pt idx="152">
                  <c:v>44674</c:v>
                </c:pt>
                <c:pt idx="153">
                  <c:v>44675</c:v>
                </c:pt>
                <c:pt idx="154">
                  <c:v>44676</c:v>
                </c:pt>
                <c:pt idx="155">
                  <c:v>44677</c:v>
                </c:pt>
                <c:pt idx="156">
                  <c:v>44678</c:v>
                </c:pt>
                <c:pt idx="157">
                  <c:v>44679</c:v>
                </c:pt>
                <c:pt idx="158">
                  <c:v>44680</c:v>
                </c:pt>
                <c:pt idx="159">
                  <c:v>44681</c:v>
                </c:pt>
                <c:pt idx="160">
                  <c:v>44682</c:v>
                </c:pt>
                <c:pt idx="161">
                  <c:v>44683</c:v>
                </c:pt>
                <c:pt idx="162">
                  <c:v>44684</c:v>
                </c:pt>
                <c:pt idx="163">
                  <c:v>44685</c:v>
                </c:pt>
                <c:pt idx="164">
                  <c:v>44686</c:v>
                </c:pt>
                <c:pt idx="165">
                  <c:v>44687</c:v>
                </c:pt>
                <c:pt idx="166">
                  <c:v>44688</c:v>
                </c:pt>
                <c:pt idx="167">
                  <c:v>44689</c:v>
                </c:pt>
                <c:pt idx="168">
                  <c:v>44690</c:v>
                </c:pt>
                <c:pt idx="169">
                  <c:v>44691</c:v>
                </c:pt>
                <c:pt idx="170">
                  <c:v>44692</c:v>
                </c:pt>
                <c:pt idx="171">
                  <c:v>44693</c:v>
                </c:pt>
                <c:pt idx="172">
                  <c:v>44694</c:v>
                </c:pt>
                <c:pt idx="173">
                  <c:v>44695</c:v>
                </c:pt>
                <c:pt idx="174">
                  <c:v>44696</c:v>
                </c:pt>
                <c:pt idx="175">
                  <c:v>44697</c:v>
                </c:pt>
                <c:pt idx="176">
                  <c:v>44698</c:v>
                </c:pt>
                <c:pt idx="177">
                  <c:v>44699</c:v>
                </c:pt>
                <c:pt idx="178">
                  <c:v>44700</c:v>
                </c:pt>
                <c:pt idx="179">
                  <c:v>44701</c:v>
                </c:pt>
                <c:pt idx="180">
                  <c:v>44702</c:v>
                </c:pt>
                <c:pt idx="181">
                  <c:v>44703</c:v>
                </c:pt>
                <c:pt idx="182">
                  <c:v>44704</c:v>
                </c:pt>
                <c:pt idx="183">
                  <c:v>44705</c:v>
                </c:pt>
                <c:pt idx="184">
                  <c:v>44706</c:v>
                </c:pt>
                <c:pt idx="185">
                  <c:v>44707</c:v>
                </c:pt>
                <c:pt idx="186">
                  <c:v>44708</c:v>
                </c:pt>
                <c:pt idx="187">
                  <c:v>44709</c:v>
                </c:pt>
                <c:pt idx="188">
                  <c:v>44710</c:v>
                </c:pt>
                <c:pt idx="189">
                  <c:v>44711</c:v>
                </c:pt>
                <c:pt idx="190">
                  <c:v>44712</c:v>
                </c:pt>
                <c:pt idx="191">
                  <c:v>44713</c:v>
                </c:pt>
                <c:pt idx="192">
                  <c:v>44714</c:v>
                </c:pt>
                <c:pt idx="193">
                  <c:v>44715</c:v>
                </c:pt>
                <c:pt idx="194">
                  <c:v>44716</c:v>
                </c:pt>
                <c:pt idx="195">
                  <c:v>44717</c:v>
                </c:pt>
                <c:pt idx="196">
                  <c:v>44718</c:v>
                </c:pt>
                <c:pt idx="197">
                  <c:v>44719</c:v>
                </c:pt>
                <c:pt idx="198">
                  <c:v>44720</c:v>
                </c:pt>
                <c:pt idx="199">
                  <c:v>44721</c:v>
                </c:pt>
                <c:pt idx="200">
                  <c:v>44722</c:v>
                </c:pt>
                <c:pt idx="201">
                  <c:v>44723</c:v>
                </c:pt>
                <c:pt idx="202">
                  <c:v>44724</c:v>
                </c:pt>
                <c:pt idx="203">
                  <c:v>44725</c:v>
                </c:pt>
                <c:pt idx="204">
                  <c:v>44726</c:v>
                </c:pt>
                <c:pt idx="205">
                  <c:v>44727</c:v>
                </c:pt>
                <c:pt idx="206">
                  <c:v>44728</c:v>
                </c:pt>
                <c:pt idx="207">
                  <c:v>44729</c:v>
                </c:pt>
                <c:pt idx="208">
                  <c:v>44730</c:v>
                </c:pt>
                <c:pt idx="209">
                  <c:v>44731</c:v>
                </c:pt>
                <c:pt idx="210">
                  <c:v>44732</c:v>
                </c:pt>
                <c:pt idx="211">
                  <c:v>44733</c:v>
                </c:pt>
                <c:pt idx="212">
                  <c:v>44734</c:v>
                </c:pt>
                <c:pt idx="213">
                  <c:v>44735</c:v>
                </c:pt>
                <c:pt idx="214">
                  <c:v>44736</c:v>
                </c:pt>
                <c:pt idx="215">
                  <c:v>44737</c:v>
                </c:pt>
                <c:pt idx="216">
                  <c:v>44738</c:v>
                </c:pt>
                <c:pt idx="217">
                  <c:v>44739</c:v>
                </c:pt>
                <c:pt idx="218">
                  <c:v>44740</c:v>
                </c:pt>
                <c:pt idx="219">
                  <c:v>44741</c:v>
                </c:pt>
                <c:pt idx="220">
                  <c:v>44742</c:v>
                </c:pt>
                <c:pt idx="221">
                  <c:v>44743</c:v>
                </c:pt>
                <c:pt idx="222">
                  <c:v>44744</c:v>
                </c:pt>
                <c:pt idx="223">
                  <c:v>44745</c:v>
                </c:pt>
                <c:pt idx="224">
                  <c:v>44746</c:v>
                </c:pt>
                <c:pt idx="225">
                  <c:v>44747</c:v>
                </c:pt>
                <c:pt idx="226">
                  <c:v>44748</c:v>
                </c:pt>
                <c:pt idx="227">
                  <c:v>44749</c:v>
                </c:pt>
                <c:pt idx="228">
                  <c:v>44750</c:v>
                </c:pt>
                <c:pt idx="229">
                  <c:v>44751</c:v>
                </c:pt>
                <c:pt idx="230">
                  <c:v>44752</c:v>
                </c:pt>
                <c:pt idx="231">
                  <c:v>44753</c:v>
                </c:pt>
                <c:pt idx="232">
                  <c:v>44754</c:v>
                </c:pt>
                <c:pt idx="233">
                  <c:v>44755</c:v>
                </c:pt>
                <c:pt idx="234">
                  <c:v>44756</c:v>
                </c:pt>
                <c:pt idx="235">
                  <c:v>44757</c:v>
                </c:pt>
                <c:pt idx="236">
                  <c:v>44758</c:v>
                </c:pt>
                <c:pt idx="237">
                  <c:v>44759</c:v>
                </c:pt>
                <c:pt idx="238">
                  <c:v>44760</c:v>
                </c:pt>
                <c:pt idx="239">
                  <c:v>44761</c:v>
                </c:pt>
                <c:pt idx="240">
                  <c:v>44762</c:v>
                </c:pt>
                <c:pt idx="241">
                  <c:v>44763</c:v>
                </c:pt>
                <c:pt idx="242">
                  <c:v>44764</c:v>
                </c:pt>
                <c:pt idx="243">
                  <c:v>44765</c:v>
                </c:pt>
                <c:pt idx="244">
                  <c:v>44766</c:v>
                </c:pt>
                <c:pt idx="245">
                  <c:v>44767</c:v>
                </c:pt>
                <c:pt idx="246">
                  <c:v>44768</c:v>
                </c:pt>
                <c:pt idx="247">
                  <c:v>44769</c:v>
                </c:pt>
                <c:pt idx="248">
                  <c:v>44770</c:v>
                </c:pt>
                <c:pt idx="249">
                  <c:v>44771</c:v>
                </c:pt>
                <c:pt idx="250">
                  <c:v>44772</c:v>
                </c:pt>
                <c:pt idx="251">
                  <c:v>44773</c:v>
                </c:pt>
                <c:pt idx="252">
                  <c:v>44774</c:v>
                </c:pt>
                <c:pt idx="253">
                  <c:v>44775</c:v>
                </c:pt>
                <c:pt idx="254">
                  <c:v>44776</c:v>
                </c:pt>
                <c:pt idx="255">
                  <c:v>44777</c:v>
                </c:pt>
                <c:pt idx="256">
                  <c:v>44778</c:v>
                </c:pt>
                <c:pt idx="257">
                  <c:v>44779</c:v>
                </c:pt>
                <c:pt idx="258">
                  <c:v>44780</c:v>
                </c:pt>
                <c:pt idx="259">
                  <c:v>44781</c:v>
                </c:pt>
                <c:pt idx="260">
                  <c:v>44782</c:v>
                </c:pt>
                <c:pt idx="261">
                  <c:v>44783</c:v>
                </c:pt>
                <c:pt idx="262">
                  <c:v>44784</c:v>
                </c:pt>
                <c:pt idx="263">
                  <c:v>44785</c:v>
                </c:pt>
                <c:pt idx="264">
                  <c:v>44786</c:v>
                </c:pt>
                <c:pt idx="265">
                  <c:v>44787</c:v>
                </c:pt>
                <c:pt idx="266">
                  <c:v>44788</c:v>
                </c:pt>
                <c:pt idx="267">
                  <c:v>44789</c:v>
                </c:pt>
                <c:pt idx="268">
                  <c:v>44790</c:v>
                </c:pt>
                <c:pt idx="269">
                  <c:v>44791</c:v>
                </c:pt>
                <c:pt idx="270">
                  <c:v>44792</c:v>
                </c:pt>
                <c:pt idx="271">
                  <c:v>44793</c:v>
                </c:pt>
                <c:pt idx="272">
                  <c:v>44794</c:v>
                </c:pt>
                <c:pt idx="273">
                  <c:v>44795</c:v>
                </c:pt>
                <c:pt idx="274">
                  <c:v>44796</c:v>
                </c:pt>
                <c:pt idx="275">
                  <c:v>44797</c:v>
                </c:pt>
                <c:pt idx="276">
                  <c:v>44798</c:v>
                </c:pt>
                <c:pt idx="277">
                  <c:v>44799</c:v>
                </c:pt>
                <c:pt idx="278">
                  <c:v>44800</c:v>
                </c:pt>
                <c:pt idx="279">
                  <c:v>44801</c:v>
                </c:pt>
                <c:pt idx="280">
                  <c:v>44802</c:v>
                </c:pt>
                <c:pt idx="281">
                  <c:v>44803</c:v>
                </c:pt>
                <c:pt idx="282">
                  <c:v>44804</c:v>
                </c:pt>
                <c:pt idx="283">
                  <c:v>44805</c:v>
                </c:pt>
                <c:pt idx="284">
                  <c:v>44806</c:v>
                </c:pt>
                <c:pt idx="285">
                  <c:v>44807</c:v>
                </c:pt>
                <c:pt idx="286">
                  <c:v>44808</c:v>
                </c:pt>
                <c:pt idx="287">
                  <c:v>44809</c:v>
                </c:pt>
                <c:pt idx="288">
                  <c:v>44810</c:v>
                </c:pt>
                <c:pt idx="289">
                  <c:v>44811</c:v>
                </c:pt>
                <c:pt idx="290">
                  <c:v>44812</c:v>
                </c:pt>
                <c:pt idx="291">
                  <c:v>44813</c:v>
                </c:pt>
                <c:pt idx="292">
                  <c:v>44814</c:v>
                </c:pt>
                <c:pt idx="293">
                  <c:v>44815</c:v>
                </c:pt>
                <c:pt idx="294">
                  <c:v>44816</c:v>
                </c:pt>
                <c:pt idx="295">
                  <c:v>44817</c:v>
                </c:pt>
                <c:pt idx="296">
                  <c:v>44818</c:v>
                </c:pt>
                <c:pt idx="297">
                  <c:v>44819</c:v>
                </c:pt>
                <c:pt idx="298">
                  <c:v>44820</c:v>
                </c:pt>
                <c:pt idx="299">
                  <c:v>44821</c:v>
                </c:pt>
                <c:pt idx="300">
                  <c:v>44822</c:v>
                </c:pt>
                <c:pt idx="301">
                  <c:v>44823</c:v>
                </c:pt>
                <c:pt idx="302">
                  <c:v>44824</c:v>
                </c:pt>
                <c:pt idx="303">
                  <c:v>44825</c:v>
                </c:pt>
                <c:pt idx="304">
                  <c:v>44826</c:v>
                </c:pt>
                <c:pt idx="305">
                  <c:v>44827</c:v>
                </c:pt>
                <c:pt idx="306">
                  <c:v>44828</c:v>
                </c:pt>
                <c:pt idx="307">
                  <c:v>44829</c:v>
                </c:pt>
                <c:pt idx="308">
                  <c:v>44830</c:v>
                </c:pt>
                <c:pt idx="309">
                  <c:v>44831</c:v>
                </c:pt>
                <c:pt idx="310">
                  <c:v>44832</c:v>
                </c:pt>
                <c:pt idx="311">
                  <c:v>44833</c:v>
                </c:pt>
                <c:pt idx="312">
                  <c:v>44834</c:v>
                </c:pt>
                <c:pt idx="313">
                  <c:v>44835</c:v>
                </c:pt>
                <c:pt idx="314">
                  <c:v>44836</c:v>
                </c:pt>
                <c:pt idx="315">
                  <c:v>44837</c:v>
                </c:pt>
                <c:pt idx="316">
                  <c:v>44838</c:v>
                </c:pt>
                <c:pt idx="317">
                  <c:v>44839</c:v>
                </c:pt>
                <c:pt idx="318">
                  <c:v>44840</c:v>
                </c:pt>
                <c:pt idx="319">
                  <c:v>44841</c:v>
                </c:pt>
                <c:pt idx="320">
                  <c:v>44842</c:v>
                </c:pt>
                <c:pt idx="321">
                  <c:v>44843</c:v>
                </c:pt>
                <c:pt idx="322">
                  <c:v>44844</c:v>
                </c:pt>
                <c:pt idx="323">
                  <c:v>44845</c:v>
                </c:pt>
                <c:pt idx="324">
                  <c:v>44846</c:v>
                </c:pt>
                <c:pt idx="325">
                  <c:v>44847</c:v>
                </c:pt>
                <c:pt idx="326">
                  <c:v>44848</c:v>
                </c:pt>
                <c:pt idx="327">
                  <c:v>44849</c:v>
                </c:pt>
                <c:pt idx="328">
                  <c:v>44850</c:v>
                </c:pt>
                <c:pt idx="329">
                  <c:v>44851</c:v>
                </c:pt>
                <c:pt idx="330">
                  <c:v>44852</c:v>
                </c:pt>
                <c:pt idx="331">
                  <c:v>44853</c:v>
                </c:pt>
                <c:pt idx="332">
                  <c:v>44854</c:v>
                </c:pt>
                <c:pt idx="333">
                  <c:v>44855</c:v>
                </c:pt>
                <c:pt idx="334">
                  <c:v>44856</c:v>
                </c:pt>
                <c:pt idx="335">
                  <c:v>44857</c:v>
                </c:pt>
                <c:pt idx="336">
                  <c:v>44858</c:v>
                </c:pt>
                <c:pt idx="337">
                  <c:v>44859</c:v>
                </c:pt>
                <c:pt idx="338">
                  <c:v>44860</c:v>
                </c:pt>
                <c:pt idx="339">
                  <c:v>44861</c:v>
                </c:pt>
                <c:pt idx="340">
                  <c:v>44862</c:v>
                </c:pt>
                <c:pt idx="341">
                  <c:v>44863</c:v>
                </c:pt>
                <c:pt idx="342">
                  <c:v>44864</c:v>
                </c:pt>
                <c:pt idx="343">
                  <c:v>44865</c:v>
                </c:pt>
                <c:pt idx="344">
                  <c:v>44866</c:v>
                </c:pt>
                <c:pt idx="345">
                  <c:v>44867</c:v>
                </c:pt>
                <c:pt idx="346">
                  <c:v>44868</c:v>
                </c:pt>
                <c:pt idx="347">
                  <c:v>44869</c:v>
                </c:pt>
                <c:pt idx="348">
                  <c:v>44870</c:v>
                </c:pt>
                <c:pt idx="349">
                  <c:v>44871</c:v>
                </c:pt>
                <c:pt idx="350">
                  <c:v>44872</c:v>
                </c:pt>
                <c:pt idx="351">
                  <c:v>44873</c:v>
                </c:pt>
                <c:pt idx="352">
                  <c:v>44874</c:v>
                </c:pt>
                <c:pt idx="353">
                  <c:v>44875</c:v>
                </c:pt>
                <c:pt idx="354">
                  <c:v>44876</c:v>
                </c:pt>
                <c:pt idx="355">
                  <c:v>44877</c:v>
                </c:pt>
                <c:pt idx="356">
                  <c:v>44878</c:v>
                </c:pt>
                <c:pt idx="357">
                  <c:v>44879</c:v>
                </c:pt>
                <c:pt idx="358">
                  <c:v>44880</c:v>
                </c:pt>
                <c:pt idx="359">
                  <c:v>44881</c:v>
                </c:pt>
                <c:pt idx="360">
                  <c:v>44882</c:v>
                </c:pt>
                <c:pt idx="361">
                  <c:v>44883</c:v>
                </c:pt>
                <c:pt idx="362">
                  <c:v>44884</c:v>
                </c:pt>
                <c:pt idx="363">
                  <c:v>44885</c:v>
                </c:pt>
                <c:pt idx="364">
                  <c:v>44886</c:v>
                </c:pt>
                <c:pt idx="365">
                  <c:v>44887</c:v>
                </c:pt>
              </c:numCache>
            </c:numRef>
          </c:cat>
          <c:val>
            <c:numRef>
              <c:f>worksheet!$AN$2:$AN$367</c:f>
              <c:numCache>
                <c:formatCode>General</c:formatCode>
                <c:ptCount val="366"/>
                <c:pt idx="0">
                  <c:v>1.8382909999999999</c:v>
                </c:pt>
                <c:pt idx="1">
                  <c:v>1.7782830000000001</c:v>
                </c:pt>
                <c:pt idx="2">
                  <c:v>1.7512460000000001</c:v>
                </c:pt>
                <c:pt idx="3">
                  <c:v>1.6672610000000001</c:v>
                </c:pt>
                <c:pt idx="4">
                  <c:v>1.676388</c:v>
                </c:pt>
                <c:pt idx="5">
                  <c:v>1.531957</c:v>
                </c:pt>
                <c:pt idx="6">
                  <c:v>1.546672</c:v>
                </c:pt>
                <c:pt idx="7">
                  <c:v>1.5945009999999999</c:v>
                </c:pt>
                <c:pt idx="8">
                  <c:v>1.6021019999999999</c:v>
                </c:pt>
                <c:pt idx="9">
                  <c:v>1.5528189999999999</c:v>
                </c:pt>
                <c:pt idx="10">
                  <c:v>1.547706</c:v>
                </c:pt>
                <c:pt idx="11">
                  <c:v>1.7207190000000001</c:v>
                </c:pt>
                <c:pt idx="12">
                  <c:v>1.558386</c:v>
                </c:pt>
                <c:pt idx="13">
                  <c:v>1.420609</c:v>
                </c:pt>
                <c:pt idx="14">
                  <c:v>1.379189</c:v>
                </c:pt>
                <c:pt idx="15">
                  <c:v>1.423189</c:v>
                </c:pt>
                <c:pt idx="16">
                  <c:v>1.3809389999999999</c:v>
                </c:pt>
                <c:pt idx="17">
                  <c:v>1.3937390000000001</c:v>
                </c:pt>
                <c:pt idx="18">
                  <c:v>1.2917529999999999</c:v>
                </c:pt>
                <c:pt idx="19">
                  <c:v>1.2134069999999999</c:v>
                </c:pt>
                <c:pt idx="20">
                  <c:v>1.3522209999999999</c:v>
                </c:pt>
                <c:pt idx="21">
                  <c:v>1.3478950000000001</c:v>
                </c:pt>
                <c:pt idx="22">
                  <c:v>1.2244600000000001</c:v>
                </c:pt>
                <c:pt idx="23">
                  <c:v>1.2662629999999999</c:v>
                </c:pt>
                <c:pt idx="24">
                  <c:v>1.3118179999999999</c:v>
                </c:pt>
                <c:pt idx="25">
                  <c:v>1.2407440000000001</c:v>
                </c:pt>
                <c:pt idx="26">
                  <c:v>1.2205170000000001</c:v>
                </c:pt>
                <c:pt idx="27">
                  <c:v>1.242394</c:v>
                </c:pt>
                <c:pt idx="28">
                  <c:v>1.2434369999999999</c:v>
                </c:pt>
                <c:pt idx="29">
                  <c:v>1.2364189999999999</c:v>
                </c:pt>
                <c:pt idx="30">
                  <c:v>1.2803370000000001</c:v>
                </c:pt>
                <c:pt idx="31">
                  <c:v>1.328843</c:v>
                </c:pt>
                <c:pt idx="32">
                  <c:v>1.4738770000000001</c:v>
                </c:pt>
                <c:pt idx="33">
                  <c:v>1.3941859999999999</c:v>
                </c:pt>
                <c:pt idx="34">
                  <c:v>1.4535100000000001</c:v>
                </c:pt>
                <c:pt idx="35">
                  <c:v>1.455838</c:v>
                </c:pt>
                <c:pt idx="36">
                  <c:v>1.5150920000000001</c:v>
                </c:pt>
                <c:pt idx="37">
                  <c:v>1.4019619999999999</c:v>
                </c:pt>
                <c:pt idx="38">
                  <c:v>1.3327469999999999</c:v>
                </c:pt>
                <c:pt idx="39">
                  <c:v>1.3604700000000001</c:v>
                </c:pt>
                <c:pt idx="40">
                  <c:v>1.31013</c:v>
                </c:pt>
                <c:pt idx="41">
                  <c:v>1.3770169999999999</c:v>
                </c:pt>
                <c:pt idx="42">
                  <c:v>1.377599</c:v>
                </c:pt>
                <c:pt idx="43">
                  <c:v>1.3215079999999999</c:v>
                </c:pt>
                <c:pt idx="44">
                  <c:v>1.311944</c:v>
                </c:pt>
                <c:pt idx="45">
                  <c:v>1.235209</c:v>
                </c:pt>
                <c:pt idx="46">
                  <c:v>1.279917</c:v>
                </c:pt>
                <c:pt idx="47">
                  <c:v>1.211468</c:v>
                </c:pt>
                <c:pt idx="48">
                  <c:v>1.1876930000000001</c:v>
                </c:pt>
                <c:pt idx="49">
                  <c:v>1.173786</c:v>
                </c:pt>
                <c:pt idx="50">
                  <c:v>1.1278570000000001</c:v>
                </c:pt>
                <c:pt idx="51">
                  <c:v>1.185551</c:v>
                </c:pt>
                <c:pt idx="52">
                  <c:v>1.304656</c:v>
                </c:pt>
                <c:pt idx="53">
                  <c:v>1.2333700000000001</c:v>
                </c:pt>
                <c:pt idx="54">
                  <c:v>1.2910889999999999</c:v>
                </c:pt>
                <c:pt idx="55">
                  <c:v>1.295933</c:v>
                </c:pt>
                <c:pt idx="56">
                  <c:v>1.40821</c:v>
                </c:pt>
                <c:pt idx="57">
                  <c:v>1.5964799999999999</c:v>
                </c:pt>
                <c:pt idx="58">
                  <c:v>1.4649460000000001</c:v>
                </c:pt>
                <c:pt idx="59">
                  <c:v>1.3416539999999999</c:v>
                </c:pt>
                <c:pt idx="60">
                  <c:v>1.2588029999999999</c:v>
                </c:pt>
                <c:pt idx="61">
                  <c:v>1.1230789999999999</c:v>
                </c:pt>
                <c:pt idx="62">
                  <c:v>1.067661</c:v>
                </c:pt>
                <c:pt idx="63">
                  <c:v>1.1227819999999999</c:v>
                </c:pt>
                <c:pt idx="64">
                  <c:v>1.066519</c:v>
                </c:pt>
                <c:pt idx="65">
                  <c:v>1.04362</c:v>
                </c:pt>
                <c:pt idx="66">
                  <c:v>1.078735</c:v>
                </c:pt>
                <c:pt idx="67">
                  <c:v>1.043234</c:v>
                </c:pt>
                <c:pt idx="68">
                  <c:v>1.050492</c:v>
                </c:pt>
                <c:pt idx="69">
                  <c:v>1.0597479999999999</c:v>
                </c:pt>
                <c:pt idx="70">
                  <c:v>1.037615</c:v>
                </c:pt>
                <c:pt idx="71">
                  <c:v>1.0522359999999999</c:v>
                </c:pt>
                <c:pt idx="72">
                  <c:v>1.090309</c:v>
                </c:pt>
                <c:pt idx="73">
                  <c:v>1.028688</c:v>
                </c:pt>
                <c:pt idx="74">
                  <c:v>1.056243</c:v>
                </c:pt>
                <c:pt idx="75">
                  <c:v>1.136061</c:v>
                </c:pt>
                <c:pt idx="76">
                  <c:v>1.127235</c:v>
                </c:pt>
                <c:pt idx="77">
                  <c:v>1.1443559999999999</c:v>
                </c:pt>
                <c:pt idx="78">
                  <c:v>1.1976500000000001</c:v>
                </c:pt>
                <c:pt idx="79">
                  <c:v>1.1779580000000001</c:v>
                </c:pt>
                <c:pt idx="80">
                  <c:v>1.194636</c:v>
                </c:pt>
                <c:pt idx="81">
                  <c:v>1.152571</c:v>
                </c:pt>
                <c:pt idx="82">
                  <c:v>1.080511</c:v>
                </c:pt>
                <c:pt idx="83">
                  <c:v>1.0580080000000001</c:v>
                </c:pt>
                <c:pt idx="84">
                  <c:v>1.045469</c:v>
                </c:pt>
                <c:pt idx="85">
                  <c:v>1.0502180000000001</c:v>
                </c:pt>
                <c:pt idx="86">
                  <c:v>1.107631</c:v>
                </c:pt>
                <c:pt idx="87">
                  <c:v>1.0843179999999999</c:v>
                </c:pt>
                <c:pt idx="88">
                  <c:v>1.0202230000000001</c:v>
                </c:pt>
                <c:pt idx="89">
                  <c:v>0.99700500000000003</c:v>
                </c:pt>
                <c:pt idx="90">
                  <c:v>0.99762899999999999</c:v>
                </c:pt>
                <c:pt idx="91">
                  <c:v>0.93245199999999995</c:v>
                </c:pt>
                <c:pt idx="92">
                  <c:v>0.85812999999999995</c:v>
                </c:pt>
                <c:pt idx="93">
                  <c:v>0.88898900000000003</c:v>
                </c:pt>
                <c:pt idx="94">
                  <c:v>0.86851500000000004</c:v>
                </c:pt>
                <c:pt idx="95">
                  <c:v>0.853572</c:v>
                </c:pt>
                <c:pt idx="96">
                  <c:v>0.89799600000000002</c:v>
                </c:pt>
                <c:pt idx="97">
                  <c:v>0.88778800000000002</c:v>
                </c:pt>
                <c:pt idx="98">
                  <c:v>0.85787000000000002</c:v>
                </c:pt>
                <c:pt idx="99">
                  <c:v>0.95988600000000002</c:v>
                </c:pt>
                <c:pt idx="100">
                  <c:v>0.96242499999999997</c:v>
                </c:pt>
                <c:pt idx="101">
                  <c:v>0.93872199999999995</c:v>
                </c:pt>
                <c:pt idx="102">
                  <c:v>0.90279299999999996</c:v>
                </c:pt>
                <c:pt idx="103">
                  <c:v>0.84317500000000001</c:v>
                </c:pt>
                <c:pt idx="104">
                  <c:v>0.86568800000000001</c:v>
                </c:pt>
                <c:pt idx="105">
                  <c:v>0.82373799999999997</c:v>
                </c:pt>
                <c:pt idx="106">
                  <c:v>0.79717400000000005</c:v>
                </c:pt>
                <c:pt idx="107">
                  <c:v>0.801485</c:v>
                </c:pt>
                <c:pt idx="108">
                  <c:v>0.84935499999999997</c:v>
                </c:pt>
                <c:pt idx="109">
                  <c:v>0.80630199999999996</c:v>
                </c:pt>
                <c:pt idx="110">
                  <c:v>0.79007300000000003</c:v>
                </c:pt>
                <c:pt idx="111">
                  <c:v>0.79056700000000002</c:v>
                </c:pt>
                <c:pt idx="112">
                  <c:v>0.790412</c:v>
                </c:pt>
                <c:pt idx="113">
                  <c:v>0.80384100000000003</c:v>
                </c:pt>
                <c:pt idx="114">
                  <c:v>0.80002399999999996</c:v>
                </c:pt>
                <c:pt idx="115">
                  <c:v>0.83836200000000005</c:v>
                </c:pt>
                <c:pt idx="116">
                  <c:v>0.83665699999999998</c:v>
                </c:pt>
                <c:pt idx="117">
                  <c:v>0.85327399999999998</c:v>
                </c:pt>
                <c:pt idx="118">
                  <c:v>0.90132199999999996</c:v>
                </c:pt>
                <c:pt idx="119">
                  <c:v>0.87720100000000001</c:v>
                </c:pt>
                <c:pt idx="120">
                  <c:v>0.91688800000000004</c:v>
                </c:pt>
                <c:pt idx="121">
                  <c:v>0.97616199999999997</c:v>
                </c:pt>
                <c:pt idx="122">
                  <c:v>1.1072040000000001</c:v>
                </c:pt>
                <c:pt idx="123">
                  <c:v>1.130228</c:v>
                </c:pt>
                <c:pt idx="124">
                  <c:v>1.098015</c:v>
                </c:pt>
                <c:pt idx="125">
                  <c:v>1.151006</c:v>
                </c:pt>
                <c:pt idx="126">
                  <c:v>1.182334</c:v>
                </c:pt>
                <c:pt idx="127">
                  <c:v>1.1692849999999999</c:v>
                </c:pt>
                <c:pt idx="128">
                  <c:v>1.1909799999999999</c:v>
                </c:pt>
                <c:pt idx="129">
                  <c:v>1.190299</c:v>
                </c:pt>
                <c:pt idx="130">
                  <c:v>1.1419520000000001</c:v>
                </c:pt>
                <c:pt idx="131">
                  <c:v>1.1654439999999999</c:v>
                </c:pt>
                <c:pt idx="132">
                  <c:v>1.1559090000000001</c:v>
                </c:pt>
                <c:pt idx="133">
                  <c:v>1.1858</c:v>
                </c:pt>
                <c:pt idx="134">
                  <c:v>1.2130289999999999</c:v>
                </c:pt>
                <c:pt idx="135">
                  <c:v>1.1707920000000001</c:v>
                </c:pt>
                <c:pt idx="136">
                  <c:v>1.053129</c:v>
                </c:pt>
                <c:pt idx="137">
                  <c:v>1.0916319999999999</c:v>
                </c:pt>
                <c:pt idx="138">
                  <c:v>1.0259119999999999</c:v>
                </c:pt>
                <c:pt idx="139">
                  <c:v>1.0450120000000001</c:v>
                </c:pt>
                <c:pt idx="140">
                  <c:v>1.0306709999999999</c:v>
                </c:pt>
                <c:pt idx="141">
                  <c:v>0.92059899999999995</c:v>
                </c:pt>
                <c:pt idx="142">
                  <c:v>0.95512200000000003</c:v>
                </c:pt>
                <c:pt idx="143">
                  <c:v>0.97456900000000002</c:v>
                </c:pt>
                <c:pt idx="144">
                  <c:v>0.93252900000000005</c:v>
                </c:pt>
                <c:pt idx="145">
                  <c:v>0.954704</c:v>
                </c:pt>
                <c:pt idx="146">
                  <c:v>0.95253100000000002</c:v>
                </c:pt>
                <c:pt idx="147">
                  <c:v>0.91750900000000002</c:v>
                </c:pt>
                <c:pt idx="148">
                  <c:v>0.93676199999999998</c:v>
                </c:pt>
                <c:pt idx="149">
                  <c:v>0.95332499999999998</c:v>
                </c:pt>
                <c:pt idx="150">
                  <c:v>0.93727199999999999</c:v>
                </c:pt>
                <c:pt idx="151">
                  <c:v>0.91033500000000001</c:v>
                </c:pt>
                <c:pt idx="152">
                  <c:v>0.90718500000000002</c:v>
                </c:pt>
                <c:pt idx="153">
                  <c:v>0.88827900000000004</c:v>
                </c:pt>
                <c:pt idx="154">
                  <c:v>0.886378</c:v>
                </c:pt>
                <c:pt idx="155">
                  <c:v>0.89857699999999996</c:v>
                </c:pt>
                <c:pt idx="156">
                  <c:v>0.82754099999999997</c:v>
                </c:pt>
                <c:pt idx="157">
                  <c:v>0.840615</c:v>
                </c:pt>
                <c:pt idx="158">
                  <c:v>0.84392999999999996</c:v>
                </c:pt>
                <c:pt idx="159">
                  <c:v>0.80505599999999999</c:v>
                </c:pt>
                <c:pt idx="160">
                  <c:v>0.75670099999999996</c:v>
                </c:pt>
                <c:pt idx="161">
                  <c:v>0.79027899999999995</c:v>
                </c:pt>
                <c:pt idx="162">
                  <c:v>0.78142999999999996</c:v>
                </c:pt>
                <c:pt idx="163">
                  <c:v>0.77110699999999999</c:v>
                </c:pt>
                <c:pt idx="164">
                  <c:v>0.897061</c:v>
                </c:pt>
                <c:pt idx="165">
                  <c:v>0.79106500000000002</c:v>
                </c:pt>
                <c:pt idx="166">
                  <c:v>0.78335200000000005</c:v>
                </c:pt>
                <c:pt idx="167">
                  <c:v>0.76205299999999998</c:v>
                </c:pt>
                <c:pt idx="168">
                  <c:v>0.73950899999999997</c:v>
                </c:pt>
                <c:pt idx="169">
                  <c:v>0.60997199999999996</c:v>
                </c:pt>
                <c:pt idx="170">
                  <c:v>0.628772</c:v>
                </c:pt>
                <c:pt idx="171">
                  <c:v>0.51299899999999998</c:v>
                </c:pt>
                <c:pt idx="172">
                  <c:v>0.47341800000000001</c:v>
                </c:pt>
                <c:pt idx="173">
                  <c:v>0.52894200000000002</c:v>
                </c:pt>
                <c:pt idx="174">
                  <c:v>0.53938600000000003</c:v>
                </c:pt>
                <c:pt idx="175">
                  <c:v>0.59756900000000002</c:v>
                </c:pt>
                <c:pt idx="176">
                  <c:v>0.55669599999999997</c:v>
                </c:pt>
                <c:pt idx="177">
                  <c:v>0.57805700000000004</c:v>
                </c:pt>
                <c:pt idx="178">
                  <c:v>0.50549900000000003</c:v>
                </c:pt>
                <c:pt idx="179">
                  <c:v>0.53336399999999995</c:v>
                </c:pt>
                <c:pt idx="180">
                  <c:v>0.51790499999999995</c:v>
                </c:pt>
                <c:pt idx="181">
                  <c:v>0.52834400000000004</c:v>
                </c:pt>
                <c:pt idx="182">
                  <c:v>0.54248399999999997</c:v>
                </c:pt>
                <c:pt idx="183">
                  <c:v>0.512687</c:v>
                </c:pt>
                <c:pt idx="184">
                  <c:v>0.52124199999999998</c:v>
                </c:pt>
                <c:pt idx="185">
                  <c:v>0.51395299999999999</c:v>
                </c:pt>
                <c:pt idx="186">
                  <c:v>0.48064299999999999</c:v>
                </c:pt>
                <c:pt idx="187">
                  <c:v>0.45817600000000003</c:v>
                </c:pt>
                <c:pt idx="188">
                  <c:v>0.46473199999999998</c:v>
                </c:pt>
                <c:pt idx="189">
                  <c:v>0.48113400000000001</c:v>
                </c:pt>
                <c:pt idx="190">
                  <c:v>0.56999999999999995</c:v>
                </c:pt>
                <c:pt idx="191">
                  <c:v>0.625417</c:v>
                </c:pt>
                <c:pt idx="192">
                  <c:v>0.55263600000000002</c:v>
                </c:pt>
                <c:pt idx="193">
                  <c:v>0.58783600000000003</c:v>
                </c:pt>
                <c:pt idx="194">
                  <c:v>0.55995700000000004</c:v>
                </c:pt>
                <c:pt idx="195">
                  <c:v>0.56609100000000001</c:v>
                </c:pt>
                <c:pt idx="196">
                  <c:v>0.56720700000000002</c:v>
                </c:pt>
                <c:pt idx="197">
                  <c:v>0.60933999999999999</c:v>
                </c:pt>
                <c:pt idx="198">
                  <c:v>0.61548499999999995</c:v>
                </c:pt>
                <c:pt idx="199">
                  <c:v>0.64164900000000002</c:v>
                </c:pt>
                <c:pt idx="200">
                  <c:v>0.63286299999999995</c:v>
                </c:pt>
                <c:pt idx="201">
                  <c:v>0.574268</c:v>
                </c:pt>
                <c:pt idx="202">
                  <c:v>0.55297700000000005</c:v>
                </c:pt>
                <c:pt idx="203">
                  <c:v>0.49609999999999999</c:v>
                </c:pt>
                <c:pt idx="204">
                  <c:v>0.46325100000000002</c:v>
                </c:pt>
                <c:pt idx="205">
                  <c:v>0.48415999999999998</c:v>
                </c:pt>
                <c:pt idx="206">
                  <c:v>0.53352900000000003</c:v>
                </c:pt>
                <c:pt idx="207">
                  <c:v>0.47518300000000002</c:v>
                </c:pt>
                <c:pt idx="208">
                  <c:v>0.48736699999999999</c:v>
                </c:pt>
                <c:pt idx="209">
                  <c:v>0.45596999999999999</c:v>
                </c:pt>
                <c:pt idx="210">
                  <c:v>0.48440299999999997</c:v>
                </c:pt>
                <c:pt idx="211">
                  <c:v>0.49226999999999999</c:v>
                </c:pt>
                <c:pt idx="212">
                  <c:v>0.47950599999999999</c:v>
                </c:pt>
                <c:pt idx="213">
                  <c:v>0.458652</c:v>
                </c:pt>
                <c:pt idx="214">
                  <c:v>0.48019899999999999</c:v>
                </c:pt>
                <c:pt idx="215">
                  <c:v>0.49923299999999998</c:v>
                </c:pt>
                <c:pt idx="216">
                  <c:v>0.49887599999999999</c:v>
                </c:pt>
                <c:pt idx="217">
                  <c:v>0.48955799999999999</c:v>
                </c:pt>
                <c:pt idx="218">
                  <c:v>0.48557099999999997</c:v>
                </c:pt>
                <c:pt idx="219">
                  <c:v>0.46967300000000001</c:v>
                </c:pt>
                <c:pt idx="220">
                  <c:v>0.46560200000000002</c:v>
                </c:pt>
                <c:pt idx="221">
                  <c:v>0.459312</c:v>
                </c:pt>
                <c:pt idx="222">
                  <c:v>0.44818000000000002</c:v>
                </c:pt>
                <c:pt idx="223">
                  <c:v>0.45632099999999998</c:v>
                </c:pt>
                <c:pt idx="224">
                  <c:v>0.45561200000000002</c:v>
                </c:pt>
                <c:pt idx="225">
                  <c:v>0.46956900000000001</c:v>
                </c:pt>
                <c:pt idx="226">
                  <c:v>0.45766800000000002</c:v>
                </c:pt>
                <c:pt idx="227">
                  <c:v>0.46221000000000001</c:v>
                </c:pt>
                <c:pt idx="228">
                  <c:v>0.47781699999999999</c:v>
                </c:pt>
                <c:pt idx="229">
                  <c:v>0.46728999999999998</c:v>
                </c:pt>
                <c:pt idx="230">
                  <c:v>0.478771</c:v>
                </c:pt>
                <c:pt idx="231">
                  <c:v>0.46318100000000001</c:v>
                </c:pt>
                <c:pt idx="232">
                  <c:v>0.435581</c:v>
                </c:pt>
                <c:pt idx="233">
                  <c:v>0.417881</c:v>
                </c:pt>
                <c:pt idx="234">
                  <c:v>0.43805699999999997</c:v>
                </c:pt>
                <c:pt idx="235">
                  <c:v>0.44111499999999998</c:v>
                </c:pt>
                <c:pt idx="236">
                  <c:v>0.44244499999999998</c:v>
                </c:pt>
                <c:pt idx="237">
                  <c:v>0.457318</c:v>
                </c:pt>
                <c:pt idx="238">
                  <c:v>0.44741500000000001</c:v>
                </c:pt>
                <c:pt idx="239">
                  <c:v>0.49207800000000002</c:v>
                </c:pt>
                <c:pt idx="240">
                  <c:v>0.51580099999999995</c:v>
                </c:pt>
                <c:pt idx="241">
                  <c:v>0.49107099999999998</c:v>
                </c:pt>
                <c:pt idx="242">
                  <c:v>0.50009099999999995</c:v>
                </c:pt>
                <c:pt idx="243">
                  <c:v>0.48372700000000002</c:v>
                </c:pt>
                <c:pt idx="244">
                  <c:v>0.51736000000000004</c:v>
                </c:pt>
                <c:pt idx="245">
                  <c:v>0.51376299999999997</c:v>
                </c:pt>
                <c:pt idx="246">
                  <c:v>0.476298</c:v>
                </c:pt>
                <c:pt idx="247">
                  <c:v>0.46771299999999999</c:v>
                </c:pt>
                <c:pt idx="248">
                  <c:v>0.51058000000000003</c:v>
                </c:pt>
                <c:pt idx="249">
                  <c:v>0.51322800000000002</c:v>
                </c:pt>
                <c:pt idx="250">
                  <c:v>0.52321899999999999</c:v>
                </c:pt>
                <c:pt idx="251">
                  <c:v>0.52559299999999998</c:v>
                </c:pt>
                <c:pt idx="252">
                  <c:v>0.51705100000000004</c:v>
                </c:pt>
                <c:pt idx="253">
                  <c:v>0.513907</c:v>
                </c:pt>
                <c:pt idx="254">
                  <c:v>0.49686599999999997</c:v>
                </c:pt>
                <c:pt idx="255">
                  <c:v>0.50097499999999995</c:v>
                </c:pt>
                <c:pt idx="256">
                  <c:v>0.49958200000000003</c:v>
                </c:pt>
                <c:pt idx="257">
                  <c:v>0.51756400000000002</c:v>
                </c:pt>
                <c:pt idx="258">
                  <c:v>0.51137200000000005</c:v>
                </c:pt>
                <c:pt idx="259">
                  <c:v>0.52748799999999996</c:v>
                </c:pt>
                <c:pt idx="260">
                  <c:v>0.53665600000000002</c:v>
                </c:pt>
                <c:pt idx="261">
                  <c:v>0.513992</c:v>
                </c:pt>
                <c:pt idx="262">
                  <c:v>0.53710400000000003</c:v>
                </c:pt>
                <c:pt idx="263">
                  <c:v>0.53119499999999997</c:v>
                </c:pt>
                <c:pt idx="264">
                  <c:v>0.54070799999999997</c:v>
                </c:pt>
                <c:pt idx="265">
                  <c:v>0.55981899999999996</c:v>
                </c:pt>
                <c:pt idx="266">
                  <c:v>0.57038599999999995</c:v>
                </c:pt>
                <c:pt idx="267">
                  <c:v>0.55100400000000005</c:v>
                </c:pt>
                <c:pt idx="268">
                  <c:v>0.557921</c:v>
                </c:pt>
                <c:pt idx="269">
                  <c:v>0.5373</c:v>
                </c:pt>
                <c:pt idx="270">
                  <c:v>0.51269799999999999</c:v>
                </c:pt>
                <c:pt idx="271">
                  <c:v>0.45087500000000003</c:v>
                </c:pt>
                <c:pt idx="272">
                  <c:v>0.451266</c:v>
                </c:pt>
                <c:pt idx="273">
                  <c:v>0.463536</c:v>
                </c:pt>
                <c:pt idx="274">
                  <c:v>0.46148299999999998</c:v>
                </c:pt>
                <c:pt idx="275">
                  <c:v>0.46518199999999998</c:v>
                </c:pt>
                <c:pt idx="276">
                  <c:v>0.45810800000000002</c:v>
                </c:pt>
                <c:pt idx="277">
                  <c:v>0.46495900000000001</c:v>
                </c:pt>
                <c:pt idx="278">
                  <c:v>0.43103900000000001</c:v>
                </c:pt>
                <c:pt idx="279">
                  <c:v>0.44971899999999998</c:v>
                </c:pt>
                <c:pt idx="280">
                  <c:v>0.43007000000000001</c:v>
                </c:pt>
                <c:pt idx="281">
                  <c:v>0.45073600000000003</c:v>
                </c:pt>
                <c:pt idx="282">
                  <c:v>0.45226300000000003</c:v>
                </c:pt>
                <c:pt idx="283">
                  <c:v>0.44667699999999999</c:v>
                </c:pt>
                <c:pt idx="284">
                  <c:v>0.45746399999999998</c:v>
                </c:pt>
                <c:pt idx="285">
                  <c:v>0.45453399999999999</c:v>
                </c:pt>
                <c:pt idx="286">
                  <c:v>0.48037200000000002</c:v>
                </c:pt>
                <c:pt idx="287">
                  <c:v>0.50316799999999995</c:v>
                </c:pt>
                <c:pt idx="288">
                  <c:v>0.49909100000000001</c:v>
                </c:pt>
                <c:pt idx="289">
                  <c:v>0.46301100000000001</c:v>
                </c:pt>
                <c:pt idx="290">
                  <c:v>0.47927399999999998</c:v>
                </c:pt>
                <c:pt idx="291">
                  <c:v>0.47925299999999998</c:v>
                </c:pt>
                <c:pt idx="292">
                  <c:v>0.50284200000000001</c:v>
                </c:pt>
                <c:pt idx="293">
                  <c:v>0.51237999999999995</c:v>
                </c:pt>
                <c:pt idx="294">
                  <c:v>0.50975099999999995</c:v>
                </c:pt>
                <c:pt idx="295">
                  <c:v>0.50149500000000002</c:v>
                </c:pt>
                <c:pt idx="296">
                  <c:v>0.46391199999999999</c:v>
                </c:pt>
                <c:pt idx="297">
                  <c:v>0.48137400000000002</c:v>
                </c:pt>
                <c:pt idx="298">
                  <c:v>0.46570299999999998</c:v>
                </c:pt>
                <c:pt idx="299">
                  <c:v>0.474221</c:v>
                </c:pt>
                <c:pt idx="300">
                  <c:v>0.487091</c:v>
                </c:pt>
                <c:pt idx="301">
                  <c:v>0.44728299999999999</c:v>
                </c:pt>
                <c:pt idx="302">
                  <c:v>0.45354299999999997</c:v>
                </c:pt>
                <c:pt idx="303">
                  <c:v>0.44195099999999998</c:v>
                </c:pt>
                <c:pt idx="304">
                  <c:v>0.44087599999999999</c:v>
                </c:pt>
                <c:pt idx="305">
                  <c:v>0.458951</c:v>
                </c:pt>
                <c:pt idx="306">
                  <c:v>0.46183000000000002</c:v>
                </c:pt>
                <c:pt idx="307">
                  <c:v>0.45159899999999997</c:v>
                </c:pt>
                <c:pt idx="308">
                  <c:v>0.446299</c:v>
                </c:pt>
                <c:pt idx="309">
                  <c:v>0.44681900000000002</c:v>
                </c:pt>
                <c:pt idx="310">
                  <c:v>0.44178200000000001</c:v>
                </c:pt>
                <c:pt idx="311">
                  <c:v>0.43730799999999997</c:v>
                </c:pt>
                <c:pt idx="312">
                  <c:v>0.43818299999999999</c:v>
                </c:pt>
                <c:pt idx="313">
                  <c:v>0.43442900000000001</c:v>
                </c:pt>
                <c:pt idx="314">
                  <c:v>0.430284</c:v>
                </c:pt>
                <c:pt idx="315">
                  <c:v>0.41964400000000002</c:v>
                </c:pt>
                <c:pt idx="316">
                  <c:v>0.42800300000000002</c:v>
                </c:pt>
                <c:pt idx="317">
                  <c:v>0.43577700000000003</c:v>
                </c:pt>
                <c:pt idx="318">
                  <c:v>0.43126500000000001</c:v>
                </c:pt>
                <c:pt idx="319">
                  <c:v>0.42869299999999999</c:v>
                </c:pt>
                <c:pt idx="320">
                  <c:v>0.42425299999999999</c:v>
                </c:pt>
                <c:pt idx="321">
                  <c:v>0.42179100000000003</c:v>
                </c:pt>
                <c:pt idx="322">
                  <c:v>0.42305399999999999</c:v>
                </c:pt>
                <c:pt idx="323">
                  <c:v>0.40173500000000001</c:v>
                </c:pt>
                <c:pt idx="324">
                  <c:v>0.39058300000000001</c:v>
                </c:pt>
                <c:pt idx="325">
                  <c:v>0.38132300000000002</c:v>
                </c:pt>
                <c:pt idx="326">
                  <c:v>0.37762899999999999</c:v>
                </c:pt>
                <c:pt idx="327">
                  <c:v>0.36684899999999998</c:v>
                </c:pt>
                <c:pt idx="328">
                  <c:v>0.363813</c:v>
                </c:pt>
                <c:pt idx="329">
                  <c:v>0.37027100000000002</c:v>
                </c:pt>
                <c:pt idx="330">
                  <c:v>0.37234299999999998</c:v>
                </c:pt>
                <c:pt idx="331">
                  <c:v>0.36189199999999999</c:v>
                </c:pt>
                <c:pt idx="332">
                  <c:v>0.35004400000000002</c:v>
                </c:pt>
                <c:pt idx="333">
                  <c:v>0.34025100000000003</c:v>
                </c:pt>
                <c:pt idx="334">
                  <c:v>0.34909800000000002</c:v>
                </c:pt>
                <c:pt idx="335">
                  <c:v>0.35139799999999999</c:v>
                </c:pt>
                <c:pt idx="336">
                  <c:v>0.36209599999999997</c:v>
                </c:pt>
                <c:pt idx="337">
                  <c:v>0.35783799999999999</c:v>
                </c:pt>
                <c:pt idx="338">
                  <c:v>0.40167199999999997</c:v>
                </c:pt>
                <c:pt idx="339">
                  <c:v>0.40351100000000001</c:v>
                </c:pt>
                <c:pt idx="340">
                  <c:v>0.38867099999999999</c:v>
                </c:pt>
                <c:pt idx="341">
                  <c:v>0.40450799999999998</c:v>
                </c:pt>
                <c:pt idx="342">
                  <c:v>0.41986400000000001</c:v>
                </c:pt>
                <c:pt idx="343">
                  <c:v>0.40603</c:v>
                </c:pt>
                <c:pt idx="344">
                  <c:v>0.40628900000000001</c:v>
                </c:pt>
                <c:pt idx="345">
                  <c:v>0.40138499999999999</c:v>
                </c:pt>
                <c:pt idx="346">
                  <c:v>0.38606000000000001</c:v>
                </c:pt>
                <c:pt idx="347">
                  <c:v>0.38939699999999999</c:v>
                </c:pt>
                <c:pt idx="348">
                  <c:v>0.42152499999999998</c:v>
                </c:pt>
                <c:pt idx="349">
                  <c:v>0.42674899999999999</c:v>
                </c:pt>
                <c:pt idx="350">
                  <c:v>0.40296599999999999</c:v>
                </c:pt>
                <c:pt idx="351">
                  <c:v>0.40423399999999998</c:v>
                </c:pt>
                <c:pt idx="352">
                  <c:v>0.37196099999999999</c:v>
                </c:pt>
                <c:pt idx="353">
                  <c:v>0.31789200000000001</c:v>
                </c:pt>
                <c:pt idx="354">
                  <c:v>0.36896699999999999</c:v>
                </c:pt>
                <c:pt idx="355">
                  <c:v>0.35489900000000002</c:v>
                </c:pt>
                <c:pt idx="356">
                  <c:v>0.33918199999999998</c:v>
                </c:pt>
                <c:pt idx="357">
                  <c:v>0.330123</c:v>
                </c:pt>
                <c:pt idx="358">
                  <c:v>0.331874</c:v>
                </c:pt>
                <c:pt idx="359">
                  <c:v>0.33696399999999999</c:v>
                </c:pt>
                <c:pt idx="360">
                  <c:v>0.33242100000000002</c:v>
                </c:pt>
                <c:pt idx="361">
                  <c:v>0.32486900000000002</c:v>
                </c:pt>
                <c:pt idx="362">
                  <c:v>0.32621699999999998</c:v>
                </c:pt>
                <c:pt idx="363">
                  <c:v>0.328513</c:v>
                </c:pt>
                <c:pt idx="364">
                  <c:v>0.31230000000000002</c:v>
                </c:pt>
                <c:pt idx="365">
                  <c:v>0.30452400000000002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32-4108-A363-2C8ABBEACC3F}"/>
            </c:ext>
          </c:extLst>
        </c:ser>
        <c:ser>
          <c:idx val="3"/>
          <c:order val="3"/>
          <c:tx>
            <c:strRef>
              <c:f>worksheet!$AO$1</c:f>
              <c:strCache>
                <c:ptCount val="1"/>
                <c:pt idx="0">
                  <c:v>Tether Open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worksheet!$AK$2:$AK$367</c:f>
              <c:numCache>
                <c:formatCode>m/d/yyyy</c:formatCode>
                <c:ptCount val="366"/>
                <c:pt idx="0">
                  <c:v>44522</c:v>
                </c:pt>
                <c:pt idx="1">
                  <c:v>44523</c:v>
                </c:pt>
                <c:pt idx="2">
                  <c:v>44524</c:v>
                </c:pt>
                <c:pt idx="3">
                  <c:v>44525</c:v>
                </c:pt>
                <c:pt idx="4">
                  <c:v>44526</c:v>
                </c:pt>
                <c:pt idx="5">
                  <c:v>44527</c:v>
                </c:pt>
                <c:pt idx="6">
                  <c:v>44528</c:v>
                </c:pt>
                <c:pt idx="7">
                  <c:v>44529</c:v>
                </c:pt>
                <c:pt idx="8">
                  <c:v>44530</c:v>
                </c:pt>
                <c:pt idx="9">
                  <c:v>44531</c:v>
                </c:pt>
                <c:pt idx="10">
                  <c:v>44532</c:v>
                </c:pt>
                <c:pt idx="11">
                  <c:v>44533</c:v>
                </c:pt>
                <c:pt idx="12">
                  <c:v>44534</c:v>
                </c:pt>
                <c:pt idx="13">
                  <c:v>44535</c:v>
                </c:pt>
                <c:pt idx="14">
                  <c:v>44536</c:v>
                </c:pt>
                <c:pt idx="15">
                  <c:v>44537</c:v>
                </c:pt>
                <c:pt idx="16">
                  <c:v>44538</c:v>
                </c:pt>
                <c:pt idx="17">
                  <c:v>44539</c:v>
                </c:pt>
                <c:pt idx="18">
                  <c:v>44540</c:v>
                </c:pt>
                <c:pt idx="19">
                  <c:v>44541</c:v>
                </c:pt>
                <c:pt idx="20">
                  <c:v>44542</c:v>
                </c:pt>
                <c:pt idx="21">
                  <c:v>44543</c:v>
                </c:pt>
                <c:pt idx="22">
                  <c:v>44544</c:v>
                </c:pt>
                <c:pt idx="23">
                  <c:v>44545</c:v>
                </c:pt>
                <c:pt idx="24">
                  <c:v>44546</c:v>
                </c:pt>
                <c:pt idx="25">
                  <c:v>44547</c:v>
                </c:pt>
                <c:pt idx="26">
                  <c:v>44548</c:v>
                </c:pt>
                <c:pt idx="27">
                  <c:v>44549</c:v>
                </c:pt>
                <c:pt idx="28">
                  <c:v>44550</c:v>
                </c:pt>
                <c:pt idx="29">
                  <c:v>44551</c:v>
                </c:pt>
                <c:pt idx="30">
                  <c:v>44552</c:v>
                </c:pt>
                <c:pt idx="31">
                  <c:v>44553</c:v>
                </c:pt>
                <c:pt idx="32">
                  <c:v>44554</c:v>
                </c:pt>
                <c:pt idx="33">
                  <c:v>44555</c:v>
                </c:pt>
                <c:pt idx="34">
                  <c:v>44556</c:v>
                </c:pt>
                <c:pt idx="35">
                  <c:v>44557</c:v>
                </c:pt>
                <c:pt idx="36">
                  <c:v>44558</c:v>
                </c:pt>
                <c:pt idx="37">
                  <c:v>44559</c:v>
                </c:pt>
                <c:pt idx="38">
                  <c:v>44560</c:v>
                </c:pt>
                <c:pt idx="39">
                  <c:v>44561</c:v>
                </c:pt>
                <c:pt idx="40">
                  <c:v>44562</c:v>
                </c:pt>
                <c:pt idx="41">
                  <c:v>44563</c:v>
                </c:pt>
                <c:pt idx="42">
                  <c:v>44564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44569</c:v>
                </c:pt>
                <c:pt idx="48">
                  <c:v>44570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44576</c:v>
                </c:pt>
                <c:pt idx="55">
                  <c:v>44577</c:v>
                </c:pt>
                <c:pt idx="56">
                  <c:v>44578</c:v>
                </c:pt>
                <c:pt idx="57">
                  <c:v>44579</c:v>
                </c:pt>
                <c:pt idx="58">
                  <c:v>44580</c:v>
                </c:pt>
                <c:pt idx="59">
                  <c:v>44581</c:v>
                </c:pt>
                <c:pt idx="60">
                  <c:v>44582</c:v>
                </c:pt>
                <c:pt idx="61">
                  <c:v>44583</c:v>
                </c:pt>
                <c:pt idx="62">
                  <c:v>44584</c:v>
                </c:pt>
                <c:pt idx="63">
                  <c:v>44585</c:v>
                </c:pt>
                <c:pt idx="64">
                  <c:v>44586</c:v>
                </c:pt>
                <c:pt idx="65">
                  <c:v>44587</c:v>
                </c:pt>
                <c:pt idx="66">
                  <c:v>44588</c:v>
                </c:pt>
                <c:pt idx="67">
                  <c:v>44589</c:v>
                </c:pt>
                <c:pt idx="68">
                  <c:v>44590</c:v>
                </c:pt>
                <c:pt idx="69">
                  <c:v>44591</c:v>
                </c:pt>
                <c:pt idx="70">
                  <c:v>44592</c:v>
                </c:pt>
                <c:pt idx="71">
                  <c:v>44593</c:v>
                </c:pt>
                <c:pt idx="72">
                  <c:v>44594</c:v>
                </c:pt>
                <c:pt idx="73">
                  <c:v>44595</c:v>
                </c:pt>
                <c:pt idx="74">
                  <c:v>44596</c:v>
                </c:pt>
                <c:pt idx="75">
                  <c:v>44597</c:v>
                </c:pt>
                <c:pt idx="76">
                  <c:v>44598</c:v>
                </c:pt>
                <c:pt idx="77">
                  <c:v>44599</c:v>
                </c:pt>
                <c:pt idx="78">
                  <c:v>44600</c:v>
                </c:pt>
                <c:pt idx="79">
                  <c:v>44601</c:v>
                </c:pt>
                <c:pt idx="80">
                  <c:v>44602</c:v>
                </c:pt>
                <c:pt idx="81">
                  <c:v>44603</c:v>
                </c:pt>
                <c:pt idx="82">
                  <c:v>44604</c:v>
                </c:pt>
                <c:pt idx="83">
                  <c:v>44605</c:v>
                </c:pt>
                <c:pt idx="84">
                  <c:v>44606</c:v>
                </c:pt>
                <c:pt idx="85">
                  <c:v>44607</c:v>
                </c:pt>
                <c:pt idx="86">
                  <c:v>44608</c:v>
                </c:pt>
                <c:pt idx="87">
                  <c:v>44609</c:v>
                </c:pt>
                <c:pt idx="88">
                  <c:v>44610</c:v>
                </c:pt>
                <c:pt idx="89">
                  <c:v>44611</c:v>
                </c:pt>
                <c:pt idx="90">
                  <c:v>44612</c:v>
                </c:pt>
                <c:pt idx="91">
                  <c:v>44613</c:v>
                </c:pt>
                <c:pt idx="92">
                  <c:v>44614</c:v>
                </c:pt>
                <c:pt idx="93">
                  <c:v>44615</c:v>
                </c:pt>
                <c:pt idx="94">
                  <c:v>44616</c:v>
                </c:pt>
                <c:pt idx="95">
                  <c:v>44617</c:v>
                </c:pt>
                <c:pt idx="96">
                  <c:v>44618</c:v>
                </c:pt>
                <c:pt idx="97">
                  <c:v>44619</c:v>
                </c:pt>
                <c:pt idx="98">
                  <c:v>44620</c:v>
                </c:pt>
                <c:pt idx="99">
                  <c:v>44621</c:v>
                </c:pt>
                <c:pt idx="100">
                  <c:v>44622</c:v>
                </c:pt>
                <c:pt idx="101">
                  <c:v>44623</c:v>
                </c:pt>
                <c:pt idx="102">
                  <c:v>44624</c:v>
                </c:pt>
                <c:pt idx="103">
                  <c:v>44625</c:v>
                </c:pt>
                <c:pt idx="104">
                  <c:v>44626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44632</c:v>
                </c:pt>
                <c:pt idx="111">
                  <c:v>44633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44639</c:v>
                </c:pt>
                <c:pt idx="118">
                  <c:v>44640</c:v>
                </c:pt>
                <c:pt idx="119">
                  <c:v>44641</c:v>
                </c:pt>
                <c:pt idx="120">
                  <c:v>44642</c:v>
                </c:pt>
                <c:pt idx="121">
                  <c:v>44643</c:v>
                </c:pt>
                <c:pt idx="122">
                  <c:v>44644</c:v>
                </c:pt>
                <c:pt idx="123">
                  <c:v>44645</c:v>
                </c:pt>
                <c:pt idx="124">
                  <c:v>44646</c:v>
                </c:pt>
                <c:pt idx="125">
                  <c:v>44647</c:v>
                </c:pt>
                <c:pt idx="126">
                  <c:v>44648</c:v>
                </c:pt>
                <c:pt idx="127">
                  <c:v>44649</c:v>
                </c:pt>
                <c:pt idx="128">
                  <c:v>44650</c:v>
                </c:pt>
                <c:pt idx="129">
                  <c:v>44651</c:v>
                </c:pt>
                <c:pt idx="130">
                  <c:v>44652</c:v>
                </c:pt>
                <c:pt idx="131">
                  <c:v>44653</c:v>
                </c:pt>
                <c:pt idx="132">
                  <c:v>44654</c:v>
                </c:pt>
                <c:pt idx="133">
                  <c:v>44655</c:v>
                </c:pt>
                <c:pt idx="134">
                  <c:v>44656</c:v>
                </c:pt>
                <c:pt idx="135">
                  <c:v>44657</c:v>
                </c:pt>
                <c:pt idx="136">
                  <c:v>44658</c:v>
                </c:pt>
                <c:pt idx="137">
                  <c:v>44659</c:v>
                </c:pt>
                <c:pt idx="138">
                  <c:v>44660</c:v>
                </c:pt>
                <c:pt idx="139">
                  <c:v>44661</c:v>
                </c:pt>
                <c:pt idx="140">
                  <c:v>44662</c:v>
                </c:pt>
                <c:pt idx="141">
                  <c:v>44663</c:v>
                </c:pt>
                <c:pt idx="142">
                  <c:v>44664</c:v>
                </c:pt>
                <c:pt idx="143">
                  <c:v>44665</c:v>
                </c:pt>
                <c:pt idx="144">
                  <c:v>44666</c:v>
                </c:pt>
                <c:pt idx="145">
                  <c:v>44667</c:v>
                </c:pt>
                <c:pt idx="146">
                  <c:v>44668</c:v>
                </c:pt>
                <c:pt idx="147">
                  <c:v>44669</c:v>
                </c:pt>
                <c:pt idx="148">
                  <c:v>44670</c:v>
                </c:pt>
                <c:pt idx="149">
                  <c:v>44671</c:v>
                </c:pt>
                <c:pt idx="150">
                  <c:v>44672</c:v>
                </c:pt>
                <c:pt idx="151">
                  <c:v>44673</c:v>
                </c:pt>
                <c:pt idx="152">
                  <c:v>44674</c:v>
                </c:pt>
                <c:pt idx="153">
                  <c:v>44675</c:v>
                </c:pt>
                <c:pt idx="154">
                  <c:v>44676</c:v>
                </c:pt>
                <c:pt idx="155">
                  <c:v>44677</c:v>
                </c:pt>
                <c:pt idx="156">
                  <c:v>44678</c:v>
                </c:pt>
                <c:pt idx="157">
                  <c:v>44679</c:v>
                </c:pt>
                <c:pt idx="158">
                  <c:v>44680</c:v>
                </c:pt>
                <c:pt idx="159">
                  <c:v>44681</c:v>
                </c:pt>
                <c:pt idx="160">
                  <c:v>44682</c:v>
                </c:pt>
                <c:pt idx="161">
                  <c:v>44683</c:v>
                </c:pt>
                <c:pt idx="162">
                  <c:v>44684</c:v>
                </c:pt>
                <c:pt idx="163">
                  <c:v>44685</c:v>
                </c:pt>
                <c:pt idx="164">
                  <c:v>44686</c:v>
                </c:pt>
                <c:pt idx="165">
                  <c:v>44687</c:v>
                </c:pt>
                <c:pt idx="166">
                  <c:v>44688</c:v>
                </c:pt>
                <c:pt idx="167">
                  <c:v>44689</c:v>
                </c:pt>
                <c:pt idx="168">
                  <c:v>44690</c:v>
                </c:pt>
                <c:pt idx="169">
                  <c:v>44691</c:v>
                </c:pt>
                <c:pt idx="170">
                  <c:v>44692</c:v>
                </c:pt>
                <c:pt idx="171">
                  <c:v>44693</c:v>
                </c:pt>
                <c:pt idx="172">
                  <c:v>44694</c:v>
                </c:pt>
                <c:pt idx="173">
                  <c:v>44695</c:v>
                </c:pt>
                <c:pt idx="174">
                  <c:v>44696</c:v>
                </c:pt>
                <c:pt idx="175">
                  <c:v>44697</c:v>
                </c:pt>
                <c:pt idx="176">
                  <c:v>44698</c:v>
                </c:pt>
                <c:pt idx="177">
                  <c:v>44699</c:v>
                </c:pt>
                <c:pt idx="178">
                  <c:v>44700</c:v>
                </c:pt>
                <c:pt idx="179">
                  <c:v>44701</c:v>
                </c:pt>
                <c:pt idx="180">
                  <c:v>44702</c:v>
                </c:pt>
                <c:pt idx="181">
                  <c:v>44703</c:v>
                </c:pt>
                <c:pt idx="182">
                  <c:v>44704</c:v>
                </c:pt>
                <c:pt idx="183">
                  <c:v>44705</c:v>
                </c:pt>
                <c:pt idx="184">
                  <c:v>44706</c:v>
                </c:pt>
                <c:pt idx="185">
                  <c:v>44707</c:v>
                </c:pt>
                <c:pt idx="186">
                  <c:v>44708</c:v>
                </c:pt>
                <c:pt idx="187">
                  <c:v>44709</c:v>
                </c:pt>
                <c:pt idx="188">
                  <c:v>44710</c:v>
                </c:pt>
                <c:pt idx="189">
                  <c:v>44711</c:v>
                </c:pt>
                <c:pt idx="190">
                  <c:v>44712</c:v>
                </c:pt>
                <c:pt idx="191">
                  <c:v>44713</c:v>
                </c:pt>
                <c:pt idx="192">
                  <c:v>44714</c:v>
                </c:pt>
                <c:pt idx="193">
                  <c:v>44715</c:v>
                </c:pt>
                <c:pt idx="194">
                  <c:v>44716</c:v>
                </c:pt>
                <c:pt idx="195">
                  <c:v>44717</c:v>
                </c:pt>
                <c:pt idx="196">
                  <c:v>44718</c:v>
                </c:pt>
                <c:pt idx="197">
                  <c:v>44719</c:v>
                </c:pt>
                <c:pt idx="198">
                  <c:v>44720</c:v>
                </c:pt>
                <c:pt idx="199">
                  <c:v>44721</c:v>
                </c:pt>
                <c:pt idx="200">
                  <c:v>44722</c:v>
                </c:pt>
                <c:pt idx="201">
                  <c:v>44723</c:v>
                </c:pt>
                <c:pt idx="202">
                  <c:v>44724</c:v>
                </c:pt>
                <c:pt idx="203">
                  <c:v>44725</c:v>
                </c:pt>
                <c:pt idx="204">
                  <c:v>44726</c:v>
                </c:pt>
                <c:pt idx="205">
                  <c:v>44727</c:v>
                </c:pt>
                <c:pt idx="206">
                  <c:v>44728</c:v>
                </c:pt>
                <c:pt idx="207">
                  <c:v>44729</c:v>
                </c:pt>
                <c:pt idx="208">
                  <c:v>44730</c:v>
                </c:pt>
                <c:pt idx="209">
                  <c:v>44731</c:v>
                </c:pt>
                <c:pt idx="210">
                  <c:v>44732</c:v>
                </c:pt>
                <c:pt idx="211">
                  <c:v>44733</c:v>
                </c:pt>
                <c:pt idx="212">
                  <c:v>44734</c:v>
                </c:pt>
                <c:pt idx="213">
                  <c:v>44735</c:v>
                </c:pt>
                <c:pt idx="214">
                  <c:v>44736</c:v>
                </c:pt>
                <c:pt idx="215">
                  <c:v>44737</c:v>
                </c:pt>
                <c:pt idx="216">
                  <c:v>44738</c:v>
                </c:pt>
                <c:pt idx="217">
                  <c:v>44739</c:v>
                </c:pt>
                <c:pt idx="218">
                  <c:v>44740</c:v>
                </c:pt>
                <c:pt idx="219">
                  <c:v>44741</c:v>
                </c:pt>
                <c:pt idx="220">
                  <c:v>44742</c:v>
                </c:pt>
                <c:pt idx="221">
                  <c:v>44743</c:v>
                </c:pt>
                <c:pt idx="222">
                  <c:v>44744</c:v>
                </c:pt>
                <c:pt idx="223">
                  <c:v>44745</c:v>
                </c:pt>
                <c:pt idx="224">
                  <c:v>44746</c:v>
                </c:pt>
                <c:pt idx="225">
                  <c:v>44747</c:v>
                </c:pt>
                <c:pt idx="226">
                  <c:v>44748</c:v>
                </c:pt>
                <c:pt idx="227">
                  <c:v>44749</c:v>
                </c:pt>
                <c:pt idx="228">
                  <c:v>44750</c:v>
                </c:pt>
                <c:pt idx="229">
                  <c:v>44751</c:v>
                </c:pt>
                <c:pt idx="230">
                  <c:v>44752</c:v>
                </c:pt>
                <c:pt idx="231">
                  <c:v>44753</c:v>
                </c:pt>
                <c:pt idx="232">
                  <c:v>44754</c:v>
                </c:pt>
                <c:pt idx="233">
                  <c:v>44755</c:v>
                </c:pt>
                <c:pt idx="234">
                  <c:v>44756</c:v>
                </c:pt>
                <c:pt idx="235">
                  <c:v>44757</c:v>
                </c:pt>
                <c:pt idx="236">
                  <c:v>44758</c:v>
                </c:pt>
                <c:pt idx="237">
                  <c:v>44759</c:v>
                </c:pt>
                <c:pt idx="238">
                  <c:v>44760</c:v>
                </c:pt>
                <c:pt idx="239">
                  <c:v>44761</c:v>
                </c:pt>
                <c:pt idx="240">
                  <c:v>44762</c:v>
                </c:pt>
                <c:pt idx="241">
                  <c:v>44763</c:v>
                </c:pt>
                <c:pt idx="242">
                  <c:v>44764</c:v>
                </c:pt>
                <c:pt idx="243">
                  <c:v>44765</c:v>
                </c:pt>
                <c:pt idx="244">
                  <c:v>44766</c:v>
                </c:pt>
                <c:pt idx="245">
                  <c:v>44767</c:v>
                </c:pt>
                <c:pt idx="246">
                  <c:v>44768</c:v>
                </c:pt>
                <c:pt idx="247">
                  <c:v>44769</c:v>
                </c:pt>
                <c:pt idx="248">
                  <c:v>44770</c:v>
                </c:pt>
                <c:pt idx="249">
                  <c:v>44771</c:v>
                </c:pt>
                <c:pt idx="250">
                  <c:v>44772</c:v>
                </c:pt>
                <c:pt idx="251">
                  <c:v>44773</c:v>
                </c:pt>
                <c:pt idx="252">
                  <c:v>44774</c:v>
                </c:pt>
                <c:pt idx="253">
                  <c:v>44775</c:v>
                </c:pt>
                <c:pt idx="254">
                  <c:v>44776</c:v>
                </c:pt>
                <c:pt idx="255">
                  <c:v>44777</c:v>
                </c:pt>
                <c:pt idx="256">
                  <c:v>44778</c:v>
                </c:pt>
                <c:pt idx="257">
                  <c:v>44779</c:v>
                </c:pt>
                <c:pt idx="258">
                  <c:v>44780</c:v>
                </c:pt>
                <c:pt idx="259">
                  <c:v>44781</c:v>
                </c:pt>
                <c:pt idx="260">
                  <c:v>44782</c:v>
                </c:pt>
                <c:pt idx="261">
                  <c:v>44783</c:v>
                </c:pt>
                <c:pt idx="262">
                  <c:v>44784</c:v>
                </c:pt>
                <c:pt idx="263">
                  <c:v>44785</c:v>
                </c:pt>
                <c:pt idx="264">
                  <c:v>44786</c:v>
                </c:pt>
                <c:pt idx="265">
                  <c:v>44787</c:v>
                </c:pt>
                <c:pt idx="266">
                  <c:v>44788</c:v>
                </c:pt>
                <c:pt idx="267">
                  <c:v>44789</c:v>
                </c:pt>
                <c:pt idx="268">
                  <c:v>44790</c:v>
                </c:pt>
                <c:pt idx="269">
                  <c:v>44791</c:v>
                </c:pt>
                <c:pt idx="270">
                  <c:v>44792</c:v>
                </c:pt>
                <c:pt idx="271">
                  <c:v>44793</c:v>
                </c:pt>
                <c:pt idx="272">
                  <c:v>44794</c:v>
                </c:pt>
                <c:pt idx="273">
                  <c:v>44795</c:v>
                </c:pt>
                <c:pt idx="274">
                  <c:v>44796</c:v>
                </c:pt>
                <c:pt idx="275">
                  <c:v>44797</c:v>
                </c:pt>
                <c:pt idx="276">
                  <c:v>44798</c:v>
                </c:pt>
                <c:pt idx="277">
                  <c:v>44799</c:v>
                </c:pt>
                <c:pt idx="278">
                  <c:v>44800</c:v>
                </c:pt>
                <c:pt idx="279">
                  <c:v>44801</c:v>
                </c:pt>
                <c:pt idx="280">
                  <c:v>44802</c:v>
                </c:pt>
                <c:pt idx="281">
                  <c:v>44803</c:v>
                </c:pt>
                <c:pt idx="282">
                  <c:v>44804</c:v>
                </c:pt>
                <c:pt idx="283">
                  <c:v>44805</c:v>
                </c:pt>
                <c:pt idx="284">
                  <c:v>44806</c:v>
                </c:pt>
                <c:pt idx="285">
                  <c:v>44807</c:v>
                </c:pt>
                <c:pt idx="286">
                  <c:v>44808</c:v>
                </c:pt>
                <c:pt idx="287">
                  <c:v>44809</c:v>
                </c:pt>
                <c:pt idx="288">
                  <c:v>44810</c:v>
                </c:pt>
                <c:pt idx="289">
                  <c:v>44811</c:v>
                </c:pt>
                <c:pt idx="290">
                  <c:v>44812</c:v>
                </c:pt>
                <c:pt idx="291">
                  <c:v>44813</c:v>
                </c:pt>
                <c:pt idx="292">
                  <c:v>44814</c:v>
                </c:pt>
                <c:pt idx="293">
                  <c:v>44815</c:v>
                </c:pt>
                <c:pt idx="294">
                  <c:v>44816</c:v>
                </c:pt>
                <c:pt idx="295">
                  <c:v>44817</c:v>
                </c:pt>
                <c:pt idx="296">
                  <c:v>44818</c:v>
                </c:pt>
                <c:pt idx="297">
                  <c:v>44819</c:v>
                </c:pt>
                <c:pt idx="298">
                  <c:v>44820</c:v>
                </c:pt>
                <c:pt idx="299">
                  <c:v>44821</c:v>
                </c:pt>
                <c:pt idx="300">
                  <c:v>44822</c:v>
                </c:pt>
                <c:pt idx="301">
                  <c:v>44823</c:v>
                </c:pt>
                <c:pt idx="302">
                  <c:v>44824</c:v>
                </c:pt>
                <c:pt idx="303">
                  <c:v>44825</c:v>
                </c:pt>
                <c:pt idx="304">
                  <c:v>44826</c:v>
                </c:pt>
                <c:pt idx="305">
                  <c:v>44827</c:v>
                </c:pt>
                <c:pt idx="306">
                  <c:v>44828</c:v>
                </c:pt>
                <c:pt idx="307">
                  <c:v>44829</c:v>
                </c:pt>
                <c:pt idx="308">
                  <c:v>44830</c:v>
                </c:pt>
                <c:pt idx="309">
                  <c:v>44831</c:v>
                </c:pt>
                <c:pt idx="310">
                  <c:v>44832</c:v>
                </c:pt>
                <c:pt idx="311">
                  <c:v>44833</c:v>
                </c:pt>
                <c:pt idx="312">
                  <c:v>44834</c:v>
                </c:pt>
                <c:pt idx="313">
                  <c:v>44835</c:v>
                </c:pt>
                <c:pt idx="314">
                  <c:v>44836</c:v>
                </c:pt>
                <c:pt idx="315">
                  <c:v>44837</c:v>
                </c:pt>
                <c:pt idx="316">
                  <c:v>44838</c:v>
                </c:pt>
                <c:pt idx="317">
                  <c:v>44839</c:v>
                </c:pt>
                <c:pt idx="318">
                  <c:v>44840</c:v>
                </c:pt>
                <c:pt idx="319">
                  <c:v>44841</c:v>
                </c:pt>
                <c:pt idx="320">
                  <c:v>44842</c:v>
                </c:pt>
                <c:pt idx="321">
                  <c:v>44843</c:v>
                </c:pt>
                <c:pt idx="322">
                  <c:v>44844</c:v>
                </c:pt>
                <c:pt idx="323">
                  <c:v>44845</c:v>
                </c:pt>
                <c:pt idx="324">
                  <c:v>44846</c:v>
                </c:pt>
                <c:pt idx="325">
                  <c:v>44847</c:v>
                </c:pt>
                <c:pt idx="326">
                  <c:v>44848</c:v>
                </c:pt>
                <c:pt idx="327">
                  <c:v>44849</c:v>
                </c:pt>
                <c:pt idx="328">
                  <c:v>44850</c:v>
                </c:pt>
                <c:pt idx="329">
                  <c:v>44851</c:v>
                </c:pt>
                <c:pt idx="330">
                  <c:v>44852</c:v>
                </c:pt>
                <c:pt idx="331">
                  <c:v>44853</c:v>
                </c:pt>
                <c:pt idx="332">
                  <c:v>44854</c:v>
                </c:pt>
                <c:pt idx="333">
                  <c:v>44855</c:v>
                </c:pt>
                <c:pt idx="334">
                  <c:v>44856</c:v>
                </c:pt>
                <c:pt idx="335">
                  <c:v>44857</c:v>
                </c:pt>
                <c:pt idx="336">
                  <c:v>44858</c:v>
                </c:pt>
                <c:pt idx="337">
                  <c:v>44859</c:v>
                </c:pt>
                <c:pt idx="338">
                  <c:v>44860</c:v>
                </c:pt>
                <c:pt idx="339">
                  <c:v>44861</c:v>
                </c:pt>
                <c:pt idx="340">
                  <c:v>44862</c:v>
                </c:pt>
                <c:pt idx="341">
                  <c:v>44863</c:v>
                </c:pt>
                <c:pt idx="342">
                  <c:v>44864</c:v>
                </c:pt>
                <c:pt idx="343">
                  <c:v>44865</c:v>
                </c:pt>
                <c:pt idx="344">
                  <c:v>44866</c:v>
                </c:pt>
                <c:pt idx="345">
                  <c:v>44867</c:v>
                </c:pt>
                <c:pt idx="346">
                  <c:v>44868</c:v>
                </c:pt>
                <c:pt idx="347">
                  <c:v>44869</c:v>
                </c:pt>
                <c:pt idx="348">
                  <c:v>44870</c:v>
                </c:pt>
                <c:pt idx="349">
                  <c:v>44871</c:v>
                </c:pt>
                <c:pt idx="350">
                  <c:v>44872</c:v>
                </c:pt>
                <c:pt idx="351">
                  <c:v>44873</c:v>
                </c:pt>
                <c:pt idx="352">
                  <c:v>44874</c:v>
                </c:pt>
                <c:pt idx="353">
                  <c:v>44875</c:v>
                </c:pt>
                <c:pt idx="354">
                  <c:v>44876</c:v>
                </c:pt>
                <c:pt idx="355">
                  <c:v>44877</c:v>
                </c:pt>
                <c:pt idx="356">
                  <c:v>44878</c:v>
                </c:pt>
                <c:pt idx="357">
                  <c:v>44879</c:v>
                </c:pt>
                <c:pt idx="358">
                  <c:v>44880</c:v>
                </c:pt>
                <c:pt idx="359">
                  <c:v>44881</c:v>
                </c:pt>
                <c:pt idx="360">
                  <c:v>44882</c:v>
                </c:pt>
                <c:pt idx="361">
                  <c:v>44883</c:v>
                </c:pt>
                <c:pt idx="362">
                  <c:v>44884</c:v>
                </c:pt>
                <c:pt idx="363">
                  <c:v>44885</c:v>
                </c:pt>
                <c:pt idx="364">
                  <c:v>44886</c:v>
                </c:pt>
                <c:pt idx="365">
                  <c:v>44887</c:v>
                </c:pt>
              </c:numCache>
            </c:numRef>
          </c:cat>
          <c:val>
            <c:numRef>
              <c:f>worksheet!$AO$2:$AO$367</c:f>
              <c:numCache>
                <c:formatCode>General</c:formatCode>
                <c:ptCount val="366"/>
                <c:pt idx="0">
                  <c:v>1.001288</c:v>
                </c:pt>
                <c:pt idx="1">
                  <c:v>1.000507</c:v>
                </c:pt>
                <c:pt idx="2">
                  <c:v>0.99998600000000004</c:v>
                </c:pt>
                <c:pt idx="3">
                  <c:v>0.99948300000000001</c:v>
                </c:pt>
                <c:pt idx="4">
                  <c:v>1.0009859999999999</c:v>
                </c:pt>
                <c:pt idx="5">
                  <c:v>1.0002869999999999</c:v>
                </c:pt>
                <c:pt idx="6">
                  <c:v>1.0012810000000001</c:v>
                </c:pt>
                <c:pt idx="7">
                  <c:v>0.99992899999999996</c:v>
                </c:pt>
                <c:pt idx="8">
                  <c:v>1.000583</c:v>
                </c:pt>
                <c:pt idx="9">
                  <c:v>1.0004489999999999</c:v>
                </c:pt>
                <c:pt idx="10">
                  <c:v>1.0002340000000001</c:v>
                </c:pt>
                <c:pt idx="11">
                  <c:v>0.99999300000000002</c:v>
                </c:pt>
                <c:pt idx="12">
                  <c:v>1.000505</c:v>
                </c:pt>
                <c:pt idx="13">
                  <c:v>0.999861</c:v>
                </c:pt>
                <c:pt idx="14">
                  <c:v>1.000632</c:v>
                </c:pt>
                <c:pt idx="15">
                  <c:v>1.0012399999999999</c:v>
                </c:pt>
                <c:pt idx="16">
                  <c:v>1.0009410000000001</c:v>
                </c:pt>
                <c:pt idx="17">
                  <c:v>0.99897000000000002</c:v>
                </c:pt>
                <c:pt idx="18">
                  <c:v>1.000591</c:v>
                </c:pt>
                <c:pt idx="19">
                  <c:v>1.001641</c:v>
                </c:pt>
                <c:pt idx="20">
                  <c:v>1.0009589999999999</c:v>
                </c:pt>
                <c:pt idx="21">
                  <c:v>1.0006170000000001</c:v>
                </c:pt>
                <c:pt idx="22">
                  <c:v>1.00038</c:v>
                </c:pt>
                <c:pt idx="23">
                  <c:v>1.0004630000000001</c:v>
                </c:pt>
                <c:pt idx="24">
                  <c:v>1.00023</c:v>
                </c:pt>
                <c:pt idx="25">
                  <c:v>1.0000929999999999</c:v>
                </c:pt>
                <c:pt idx="26">
                  <c:v>1.000356</c:v>
                </c:pt>
                <c:pt idx="27">
                  <c:v>1.00004</c:v>
                </c:pt>
                <c:pt idx="28">
                  <c:v>1.0000789999999999</c:v>
                </c:pt>
                <c:pt idx="29">
                  <c:v>0.99887999999999999</c:v>
                </c:pt>
                <c:pt idx="30">
                  <c:v>1.0005440000000001</c:v>
                </c:pt>
                <c:pt idx="31">
                  <c:v>1.00047</c:v>
                </c:pt>
                <c:pt idx="32">
                  <c:v>1.0002800000000001</c:v>
                </c:pt>
                <c:pt idx="33">
                  <c:v>1.001028</c:v>
                </c:pt>
                <c:pt idx="34">
                  <c:v>0.99999000000000005</c:v>
                </c:pt>
                <c:pt idx="35">
                  <c:v>1.000329</c:v>
                </c:pt>
                <c:pt idx="36">
                  <c:v>0.99957099999999999</c:v>
                </c:pt>
                <c:pt idx="37">
                  <c:v>1.0012529999999999</c:v>
                </c:pt>
                <c:pt idx="38">
                  <c:v>1.0001990000000001</c:v>
                </c:pt>
                <c:pt idx="39">
                  <c:v>1.000955</c:v>
                </c:pt>
                <c:pt idx="40">
                  <c:v>1.0000929999999999</c:v>
                </c:pt>
                <c:pt idx="41">
                  <c:v>1.000491</c:v>
                </c:pt>
                <c:pt idx="42">
                  <c:v>1.000453</c:v>
                </c:pt>
                <c:pt idx="43">
                  <c:v>1.0001610000000001</c:v>
                </c:pt>
                <c:pt idx="44">
                  <c:v>1.000205</c:v>
                </c:pt>
                <c:pt idx="45">
                  <c:v>1.0001230000000001</c:v>
                </c:pt>
                <c:pt idx="46">
                  <c:v>1.000208</c:v>
                </c:pt>
                <c:pt idx="47">
                  <c:v>1.0002599999999999</c:v>
                </c:pt>
                <c:pt idx="48">
                  <c:v>1.000097</c:v>
                </c:pt>
                <c:pt idx="49">
                  <c:v>1.000256</c:v>
                </c:pt>
                <c:pt idx="50">
                  <c:v>1.0001789999999999</c:v>
                </c:pt>
                <c:pt idx="51">
                  <c:v>1.0003690000000001</c:v>
                </c:pt>
                <c:pt idx="52">
                  <c:v>1.0002869999999999</c:v>
                </c:pt>
                <c:pt idx="53">
                  <c:v>1.0004109999999999</c:v>
                </c:pt>
                <c:pt idx="54">
                  <c:v>1.0003010000000001</c:v>
                </c:pt>
                <c:pt idx="55">
                  <c:v>1.0007269999999999</c:v>
                </c:pt>
                <c:pt idx="56">
                  <c:v>1.000434</c:v>
                </c:pt>
                <c:pt idx="57">
                  <c:v>1.000351</c:v>
                </c:pt>
                <c:pt idx="58">
                  <c:v>1.000413</c:v>
                </c:pt>
                <c:pt idx="59">
                  <c:v>1.00048</c:v>
                </c:pt>
                <c:pt idx="60">
                  <c:v>1.0002500000000001</c:v>
                </c:pt>
                <c:pt idx="61">
                  <c:v>1.0001819999999999</c:v>
                </c:pt>
                <c:pt idx="62">
                  <c:v>1.0001549999999999</c:v>
                </c:pt>
                <c:pt idx="63">
                  <c:v>1.0004980000000001</c:v>
                </c:pt>
                <c:pt idx="64">
                  <c:v>1.0004420000000001</c:v>
                </c:pt>
                <c:pt idx="65">
                  <c:v>1.0005949999999999</c:v>
                </c:pt>
                <c:pt idx="66">
                  <c:v>1.000632</c:v>
                </c:pt>
                <c:pt idx="67">
                  <c:v>1.000343</c:v>
                </c:pt>
                <c:pt idx="68">
                  <c:v>1.00034</c:v>
                </c:pt>
                <c:pt idx="69">
                  <c:v>1.0004550000000001</c:v>
                </c:pt>
                <c:pt idx="70">
                  <c:v>1.0003439999999999</c:v>
                </c:pt>
                <c:pt idx="71">
                  <c:v>1.000505</c:v>
                </c:pt>
                <c:pt idx="72">
                  <c:v>1.000427</c:v>
                </c:pt>
                <c:pt idx="73">
                  <c:v>1.00038</c:v>
                </c:pt>
                <c:pt idx="74">
                  <c:v>1.0003869999999999</c:v>
                </c:pt>
                <c:pt idx="75">
                  <c:v>1.000564</c:v>
                </c:pt>
                <c:pt idx="76">
                  <c:v>1.0005869999999999</c:v>
                </c:pt>
                <c:pt idx="77">
                  <c:v>1.000677</c:v>
                </c:pt>
                <c:pt idx="78">
                  <c:v>1.0005539999999999</c:v>
                </c:pt>
                <c:pt idx="79">
                  <c:v>1.000605</c:v>
                </c:pt>
                <c:pt idx="80">
                  <c:v>1.0007299999999999</c:v>
                </c:pt>
                <c:pt idx="81">
                  <c:v>1.0007299999999999</c:v>
                </c:pt>
                <c:pt idx="82">
                  <c:v>1.0007200000000001</c:v>
                </c:pt>
                <c:pt idx="83">
                  <c:v>1.000597</c:v>
                </c:pt>
                <c:pt idx="84">
                  <c:v>1.0004440000000001</c:v>
                </c:pt>
                <c:pt idx="85">
                  <c:v>1.000513</c:v>
                </c:pt>
                <c:pt idx="86">
                  <c:v>1.0005999999999999</c:v>
                </c:pt>
                <c:pt idx="87">
                  <c:v>1.0004029999999999</c:v>
                </c:pt>
                <c:pt idx="88">
                  <c:v>1.0005040000000001</c:v>
                </c:pt>
                <c:pt idx="89">
                  <c:v>1.0005459999999999</c:v>
                </c:pt>
                <c:pt idx="90">
                  <c:v>1.0005850000000001</c:v>
                </c:pt>
                <c:pt idx="91">
                  <c:v>1.000402</c:v>
                </c:pt>
                <c:pt idx="92">
                  <c:v>1.000459</c:v>
                </c:pt>
                <c:pt idx="93">
                  <c:v>1.000712</c:v>
                </c:pt>
                <c:pt idx="94">
                  <c:v>1.0005809999999999</c:v>
                </c:pt>
                <c:pt idx="95">
                  <c:v>1.0006409999999999</c:v>
                </c:pt>
                <c:pt idx="96">
                  <c:v>1.000486</c:v>
                </c:pt>
                <c:pt idx="97">
                  <c:v>1.0003930000000001</c:v>
                </c:pt>
                <c:pt idx="98">
                  <c:v>1.000507</c:v>
                </c:pt>
                <c:pt idx="99">
                  <c:v>1.000359</c:v>
                </c:pt>
                <c:pt idx="100">
                  <c:v>1.0004519999999999</c:v>
                </c:pt>
                <c:pt idx="101">
                  <c:v>1.0004729999999999</c:v>
                </c:pt>
                <c:pt idx="102">
                  <c:v>1.0000150000000001</c:v>
                </c:pt>
                <c:pt idx="103">
                  <c:v>1.000197</c:v>
                </c:pt>
                <c:pt idx="104">
                  <c:v>1.000272</c:v>
                </c:pt>
                <c:pt idx="105">
                  <c:v>1.000251</c:v>
                </c:pt>
                <c:pt idx="106">
                  <c:v>1.0000899999999999</c:v>
                </c:pt>
                <c:pt idx="107">
                  <c:v>1.0002850000000001</c:v>
                </c:pt>
                <c:pt idx="108">
                  <c:v>1.0002850000000001</c:v>
                </c:pt>
                <c:pt idx="109">
                  <c:v>1.00058</c:v>
                </c:pt>
                <c:pt idx="110">
                  <c:v>1.0002139999999999</c:v>
                </c:pt>
                <c:pt idx="111">
                  <c:v>1.000062</c:v>
                </c:pt>
                <c:pt idx="112">
                  <c:v>1.0001899999999999</c:v>
                </c:pt>
                <c:pt idx="113">
                  <c:v>1.000216</c:v>
                </c:pt>
                <c:pt idx="114">
                  <c:v>1.000332</c:v>
                </c:pt>
                <c:pt idx="115">
                  <c:v>1.0004280000000001</c:v>
                </c:pt>
                <c:pt idx="116">
                  <c:v>1.00048</c:v>
                </c:pt>
                <c:pt idx="117">
                  <c:v>1.0004869999999999</c:v>
                </c:pt>
                <c:pt idx="118">
                  <c:v>1.000505</c:v>
                </c:pt>
                <c:pt idx="119">
                  <c:v>1.0004169999999999</c:v>
                </c:pt>
                <c:pt idx="120">
                  <c:v>1.0003500000000001</c:v>
                </c:pt>
                <c:pt idx="121">
                  <c:v>1.0003500000000001</c:v>
                </c:pt>
                <c:pt idx="122">
                  <c:v>1.000453</c:v>
                </c:pt>
                <c:pt idx="123">
                  <c:v>1.000604</c:v>
                </c:pt>
                <c:pt idx="124">
                  <c:v>1.0004230000000001</c:v>
                </c:pt>
                <c:pt idx="125">
                  <c:v>1.0003610000000001</c:v>
                </c:pt>
                <c:pt idx="126">
                  <c:v>1.0003649999999999</c:v>
                </c:pt>
                <c:pt idx="127">
                  <c:v>1.0004059999999999</c:v>
                </c:pt>
                <c:pt idx="128">
                  <c:v>1.0004280000000001</c:v>
                </c:pt>
                <c:pt idx="129">
                  <c:v>1.000272</c:v>
                </c:pt>
                <c:pt idx="130">
                  <c:v>1.0003059999999999</c:v>
                </c:pt>
                <c:pt idx="131">
                  <c:v>1.0003690000000001</c:v>
                </c:pt>
                <c:pt idx="132">
                  <c:v>1.000348</c:v>
                </c:pt>
                <c:pt idx="133">
                  <c:v>1.0002759999999999</c:v>
                </c:pt>
                <c:pt idx="134">
                  <c:v>1.0002219999999999</c:v>
                </c:pt>
                <c:pt idx="135">
                  <c:v>1.0001990000000001</c:v>
                </c:pt>
                <c:pt idx="136">
                  <c:v>1.000149</c:v>
                </c:pt>
                <c:pt idx="137">
                  <c:v>1.0002610000000001</c:v>
                </c:pt>
                <c:pt idx="138">
                  <c:v>1.000284</c:v>
                </c:pt>
                <c:pt idx="139">
                  <c:v>1.000354</c:v>
                </c:pt>
                <c:pt idx="140">
                  <c:v>1.000299</c:v>
                </c:pt>
                <c:pt idx="141">
                  <c:v>1.000351</c:v>
                </c:pt>
                <c:pt idx="142">
                  <c:v>1.0004420000000001</c:v>
                </c:pt>
                <c:pt idx="143">
                  <c:v>1.0002759999999999</c:v>
                </c:pt>
                <c:pt idx="144">
                  <c:v>1.0001199999999999</c:v>
                </c:pt>
                <c:pt idx="145">
                  <c:v>1.000237</c:v>
                </c:pt>
                <c:pt idx="146">
                  <c:v>1.000291</c:v>
                </c:pt>
                <c:pt idx="147">
                  <c:v>1.000321</c:v>
                </c:pt>
                <c:pt idx="148">
                  <c:v>1.0002139999999999</c:v>
                </c:pt>
                <c:pt idx="149">
                  <c:v>1.000351</c:v>
                </c:pt>
                <c:pt idx="150">
                  <c:v>1.000203</c:v>
                </c:pt>
                <c:pt idx="151">
                  <c:v>1.0001420000000001</c:v>
                </c:pt>
                <c:pt idx="152">
                  <c:v>1.000221</c:v>
                </c:pt>
                <c:pt idx="153">
                  <c:v>1.0002180000000001</c:v>
                </c:pt>
                <c:pt idx="154">
                  <c:v>1.000346</c:v>
                </c:pt>
                <c:pt idx="155">
                  <c:v>1.0001310000000001</c:v>
                </c:pt>
                <c:pt idx="156">
                  <c:v>1.000059</c:v>
                </c:pt>
                <c:pt idx="157">
                  <c:v>1.0001549999999999</c:v>
                </c:pt>
                <c:pt idx="158">
                  <c:v>1.0002</c:v>
                </c:pt>
                <c:pt idx="159">
                  <c:v>1.0000009999999999</c:v>
                </c:pt>
                <c:pt idx="160">
                  <c:v>1.0001519999999999</c:v>
                </c:pt>
                <c:pt idx="161">
                  <c:v>1.0001</c:v>
                </c:pt>
                <c:pt idx="162">
                  <c:v>0.99995199999999995</c:v>
                </c:pt>
                <c:pt idx="163">
                  <c:v>1.000021</c:v>
                </c:pt>
                <c:pt idx="164">
                  <c:v>1.0000389999999999</c:v>
                </c:pt>
                <c:pt idx="165">
                  <c:v>0.99999000000000005</c:v>
                </c:pt>
                <c:pt idx="166">
                  <c:v>0.99997100000000005</c:v>
                </c:pt>
                <c:pt idx="167">
                  <c:v>0.999919</c:v>
                </c:pt>
                <c:pt idx="168">
                  <c:v>0.99987000000000004</c:v>
                </c:pt>
                <c:pt idx="169">
                  <c:v>0.99994499999999997</c:v>
                </c:pt>
                <c:pt idx="170">
                  <c:v>0.99978999999999996</c:v>
                </c:pt>
                <c:pt idx="171">
                  <c:v>0.99587899999999996</c:v>
                </c:pt>
                <c:pt idx="172">
                  <c:v>0.99752700000000005</c:v>
                </c:pt>
                <c:pt idx="173">
                  <c:v>0.99824199999999996</c:v>
                </c:pt>
                <c:pt idx="174">
                  <c:v>0.99878</c:v>
                </c:pt>
                <c:pt idx="175">
                  <c:v>0.99908399999999997</c:v>
                </c:pt>
                <c:pt idx="176">
                  <c:v>0.99877199999999999</c:v>
                </c:pt>
                <c:pt idx="177">
                  <c:v>0.99890199999999996</c:v>
                </c:pt>
                <c:pt idx="178">
                  <c:v>0.99878599999999995</c:v>
                </c:pt>
                <c:pt idx="179">
                  <c:v>0.99895599999999996</c:v>
                </c:pt>
                <c:pt idx="180">
                  <c:v>0.99889399999999995</c:v>
                </c:pt>
                <c:pt idx="181">
                  <c:v>0.99878699999999998</c:v>
                </c:pt>
                <c:pt idx="182">
                  <c:v>0.99906499999999998</c:v>
                </c:pt>
                <c:pt idx="183">
                  <c:v>0.99904800000000005</c:v>
                </c:pt>
                <c:pt idx="184">
                  <c:v>0.99909300000000001</c:v>
                </c:pt>
                <c:pt idx="185">
                  <c:v>0.99896700000000005</c:v>
                </c:pt>
                <c:pt idx="186">
                  <c:v>0.99890199999999996</c:v>
                </c:pt>
                <c:pt idx="187">
                  <c:v>0.99901099999999998</c:v>
                </c:pt>
                <c:pt idx="188">
                  <c:v>0.99900800000000001</c:v>
                </c:pt>
                <c:pt idx="189">
                  <c:v>0.99918700000000005</c:v>
                </c:pt>
                <c:pt idx="190">
                  <c:v>0.99937799999999999</c:v>
                </c:pt>
                <c:pt idx="191">
                  <c:v>0.99938099999999996</c:v>
                </c:pt>
                <c:pt idx="192">
                  <c:v>0.99923200000000001</c:v>
                </c:pt>
                <c:pt idx="193">
                  <c:v>0.99929500000000004</c:v>
                </c:pt>
                <c:pt idx="194">
                  <c:v>0.99917400000000001</c:v>
                </c:pt>
                <c:pt idx="195">
                  <c:v>0.999309</c:v>
                </c:pt>
                <c:pt idx="196">
                  <c:v>0.99928600000000001</c:v>
                </c:pt>
                <c:pt idx="197">
                  <c:v>0.99929800000000002</c:v>
                </c:pt>
                <c:pt idx="198">
                  <c:v>0.99941500000000005</c:v>
                </c:pt>
                <c:pt idx="199">
                  <c:v>0.99927299999999997</c:v>
                </c:pt>
                <c:pt idx="200">
                  <c:v>0.99935200000000002</c:v>
                </c:pt>
                <c:pt idx="201">
                  <c:v>0.99918200000000001</c:v>
                </c:pt>
                <c:pt idx="202">
                  <c:v>0.99901399999999996</c:v>
                </c:pt>
                <c:pt idx="203">
                  <c:v>0.99906899999999998</c:v>
                </c:pt>
                <c:pt idx="204">
                  <c:v>0.99860199999999999</c:v>
                </c:pt>
                <c:pt idx="205">
                  <c:v>0.99893399999999999</c:v>
                </c:pt>
                <c:pt idx="206">
                  <c:v>0.99892000000000003</c:v>
                </c:pt>
                <c:pt idx="207">
                  <c:v>0.99895100000000003</c:v>
                </c:pt>
                <c:pt idx="208">
                  <c:v>0.99901799999999996</c:v>
                </c:pt>
                <c:pt idx="209">
                  <c:v>0.99865599999999999</c:v>
                </c:pt>
                <c:pt idx="210">
                  <c:v>0.99894700000000003</c:v>
                </c:pt>
                <c:pt idx="211">
                  <c:v>0.99897100000000005</c:v>
                </c:pt>
                <c:pt idx="212">
                  <c:v>0.99909300000000001</c:v>
                </c:pt>
                <c:pt idx="213">
                  <c:v>0.99909599999999998</c:v>
                </c:pt>
                <c:pt idx="214">
                  <c:v>0.99925900000000001</c:v>
                </c:pt>
                <c:pt idx="215">
                  <c:v>0.999336</c:v>
                </c:pt>
                <c:pt idx="216">
                  <c:v>0.99955099999999997</c:v>
                </c:pt>
                <c:pt idx="217">
                  <c:v>0.99945799999999996</c:v>
                </c:pt>
                <c:pt idx="218">
                  <c:v>0.99910399999999999</c:v>
                </c:pt>
                <c:pt idx="219">
                  <c:v>0.99884399999999995</c:v>
                </c:pt>
                <c:pt idx="220">
                  <c:v>0.998888</c:v>
                </c:pt>
                <c:pt idx="221">
                  <c:v>0.99885999999999997</c:v>
                </c:pt>
                <c:pt idx="222">
                  <c:v>0.99885500000000005</c:v>
                </c:pt>
                <c:pt idx="223">
                  <c:v>0.99895299999999998</c:v>
                </c:pt>
                <c:pt idx="224">
                  <c:v>0.99907100000000004</c:v>
                </c:pt>
                <c:pt idx="225">
                  <c:v>0.99911799999999995</c:v>
                </c:pt>
                <c:pt idx="226">
                  <c:v>0.99909499999999996</c:v>
                </c:pt>
                <c:pt idx="227">
                  <c:v>0.999089</c:v>
                </c:pt>
                <c:pt idx="228">
                  <c:v>0.99941100000000005</c:v>
                </c:pt>
                <c:pt idx="229">
                  <c:v>0.99942200000000003</c:v>
                </c:pt>
                <c:pt idx="230">
                  <c:v>0.99953899999999996</c:v>
                </c:pt>
                <c:pt idx="231">
                  <c:v>0.99945600000000001</c:v>
                </c:pt>
                <c:pt idx="232">
                  <c:v>0.99922500000000003</c:v>
                </c:pt>
                <c:pt idx="233">
                  <c:v>0.99934199999999995</c:v>
                </c:pt>
                <c:pt idx="234">
                  <c:v>0.999394</c:v>
                </c:pt>
                <c:pt idx="235">
                  <c:v>0.99938499999999997</c:v>
                </c:pt>
                <c:pt idx="236">
                  <c:v>0.99970099999999995</c:v>
                </c:pt>
                <c:pt idx="237">
                  <c:v>0.99977899999999997</c:v>
                </c:pt>
                <c:pt idx="238">
                  <c:v>0.999726</c:v>
                </c:pt>
                <c:pt idx="239">
                  <c:v>0.99978500000000003</c:v>
                </c:pt>
                <c:pt idx="240">
                  <c:v>1.0000960000000001</c:v>
                </c:pt>
                <c:pt idx="241">
                  <c:v>1.0000530000000001</c:v>
                </c:pt>
                <c:pt idx="242">
                  <c:v>1.0000819999999999</c:v>
                </c:pt>
                <c:pt idx="243">
                  <c:v>1.0000519999999999</c:v>
                </c:pt>
                <c:pt idx="244">
                  <c:v>1.0000340000000001</c:v>
                </c:pt>
                <c:pt idx="245">
                  <c:v>1.000038</c:v>
                </c:pt>
                <c:pt idx="246">
                  <c:v>1.000067</c:v>
                </c:pt>
                <c:pt idx="247">
                  <c:v>1.000048</c:v>
                </c:pt>
                <c:pt idx="248">
                  <c:v>1.0002880000000001</c:v>
                </c:pt>
                <c:pt idx="249">
                  <c:v>1.000205</c:v>
                </c:pt>
                <c:pt idx="250">
                  <c:v>1.00031</c:v>
                </c:pt>
                <c:pt idx="251">
                  <c:v>1.0002800000000001</c:v>
                </c:pt>
                <c:pt idx="252">
                  <c:v>1.0003219999999999</c:v>
                </c:pt>
                <c:pt idx="253">
                  <c:v>1.00021</c:v>
                </c:pt>
                <c:pt idx="254">
                  <c:v>1.000148</c:v>
                </c:pt>
                <c:pt idx="255">
                  <c:v>1.0002070000000001</c:v>
                </c:pt>
                <c:pt idx="256">
                  <c:v>1.0001119999999999</c:v>
                </c:pt>
                <c:pt idx="257">
                  <c:v>1.000038</c:v>
                </c:pt>
                <c:pt idx="258">
                  <c:v>1.0001279999999999</c:v>
                </c:pt>
                <c:pt idx="259">
                  <c:v>1.000159</c:v>
                </c:pt>
                <c:pt idx="260">
                  <c:v>1.0001690000000001</c:v>
                </c:pt>
                <c:pt idx="261">
                  <c:v>1.000205</c:v>
                </c:pt>
                <c:pt idx="262">
                  <c:v>1.000251</c:v>
                </c:pt>
                <c:pt idx="263">
                  <c:v>1.0004010000000001</c:v>
                </c:pt>
                <c:pt idx="264">
                  <c:v>1.0003420000000001</c:v>
                </c:pt>
                <c:pt idx="265">
                  <c:v>1.000367</c:v>
                </c:pt>
                <c:pt idx="266">
                  <c:v>1.0002599999999999</c:v>
                </c:pt>
                <c:pt idx="267">
                  <c:v>1.0001690000000001</c:v>
                </c:pt>
                <c:pt idx="268">
                  <c:v>1.0001249999999999</c:v>
                </c:pt>
                <c:pt idx="269">
                  <c:v>1.0000720000000001</c:v>
                </c:pt>
                <c:pt idx="270">
                  <c:v>0.99999099999999996</c:v>
                </c:pt>
                <c:pt idx="271">
                  <c:v>1.0000530000000001</c:v>
                </c:pt>
                <c:pt idx="272">
                  <c:v>0.99997400000000003</c:v>
                </c:pt>
                <c:pt idx="273">
                  <c:v>0.99999899999999997</c:v>
                </c:pt>
                <c:pt idx="274">
                  <c:v>0.99998299999999996</c:v>
                </c:pt>
                <c:pt idx="275">
                  <c:v>0.99999199999999999</c:v>
                </c:pt>
                <c:pt idx="276">
                  <c:v>1.0000340000000001</c:v>
                </c:pt>
                <c:pt idx="277">
                  <c:v>1.000078</c:v>
                </c:pt>
                <c:pt idx="278">
                  <c:v>1.0000560000000001</c:v>
                </c:pt>
                <c:pt idx="279">
                  <c:v>1.0000150000000001</c:v>
                </c:pt>
                <c:pt idx="280">
                  <c:v>1.000051</c:v>
                </c:pt>
                <c:pt idx="281">
                  <c:v>1.0000389999999999</c:v>
                </c:pt>
                <c:pt idx="282">
                  <c:v>1.0000899999999999</c:v>
                </c:pt>
                <c:pt idx="283">
                  <c:v>1.000014</c:v>
                </c:pt>
                <c:pt idx="284">
                  <c:v>0.999996</c:v>
                </c:pt>
                <c:pt idx="285">
                  <c:v>1.000089</c:v>
                </c:pt>
                <c:pt idx="286">
                  <c:v>1.000076</c:v>
                </c:pt>
                <c:pt idx="287">
                  <c:v>1.000062</c:v>
                </c:pt>
                <c:pt idx="288">
                  <c:v>1.000027</c:v>
                </c:pt>
                <c:pt idx="289">
                  <c:v>1.000011</c:v>
                </c:pt>
                <c:pt idx="290">
                  <c:v>1.000097</c:v>
                </c:pt>
                <c:pt idx="291">
                  <c:v>1.0000960000000001</c:v>
                </c:pt>
                <c:pt idx="292">
                  <c:v>1.000235</c:v>
                </c:pt>
                <c:pt idx="293">
                  <c:v>1.0002789999999999</c:v>
                </c:pt>
                <c:pt idx="294">
                  <c:v>1.000281</c:v>
                </c:pt>
                <c:pt idx="295">
                  <c:v>1.0001610000000001</c:v>
                </c:pt>
                <c:pt idx="296">
                  <c:v>1.000038</c:v>
                </c:pt>
                <c:pt idx="297">
                  <c:v>1.000138</c:v>
                </c:pt>
                <c:pt idx="298">
                  <c:v>1.0000020000000001</c:v>
                </c:pt>
                <c:pt idx="299">
                  <c:v>0.99998200000000004</c:v>
                </c:pt>
                <c:pt idx="300">
                  <c:v>1.0000960000000001</c:v>
                </c:pt>
                <c:pt idx="301">
                  <c:v>1.000008</c:v>
                </c:pt>
                <c:pt idx="302">
                  <c:v>1.0001040000000001</c:v>
                </c:pt>
                <c:pt idx="303">
                  <c:v>1.0000549999999999</c:v>
                </c:pt>
                <c:pt idx="304">
                  <c:v>1.0001059999999999</c:v>
                </c:pt>
                <c:pt idx="305">
                  <c:v>0.99999400000000005</c:v>
                </c:pt>
                <c:pt idx="306">
                  <c:v>0.99998200000000004</c:v>
                </c:pt>
                <c:pt idx="307">
                  <c:v>1.0000530000000001</c:v>
                </c:pt>
                <c:pt idx="308">
                  <c:v>1.0000469999999999</c:v>
                </c:pt>
                <c:pt idx="309">
                  <c:v>0.99998399999999998</c:v>
                </c:pt>
                <c:pt idx="310">
                  <c:v>0.99997800000000003</c:v>
                </c:pt>
                <c:pt idx="311">
                  <c:v>0.99999700000000002</c:v>
                </c:pt>
                <c:pt idx="312">
                  <c:v>1.000076</c:v>
                </c:pt>
                <c:pt idx="313">
                  <c:v>1.000062</c:v>
                </c:pt>
                <c:pt idx="314">
                  <c:v>1.0000450000000001</c:v>
                </c:pt>
                <c:pt idx="315">
                  <c:v>1.0000560000000001</c:v>
                </c:pt>
                <c:pt idx="316">
                  <c:v>1.0000910000000001</c:v>
                </c:pt>
                <c:pt idx="317">
                  <c:v>1.0002500000000001</c:v>
                </c:pt>
                <c:pt idx="318">
                  <c:v>1.000105</c:v>
                </c:pt>
                <c:pt idx="319">
                  <c:v>1.000127</c:v>
                </c:pt>
                <c:pt idx="320">
                  <c:v>1.0001249999999999</c:v>
                </c:pt>
                <c:pt idx="321">
                  <c:v>1.000078</c:v>
                </c:pt>
                <c:pt idx="322">
                  <c:v>1.000159</c:v>
                </c:pt>
                <c:pt idx="323">
                  <c:v>1.0000089999999999</c:v>
                </c:pt>
                <c:pt idx="324">
                  <c:v>0.99992099999999995</c:v>
                </c:pt>
                <c:pt idx="325">
                  <c:v>0.99998299999999996</c:v>
                </c:pt>
                <c:pt idx="326">
                  <c:v>1.0000830000000001</c:v>
                </c:pt>
                <c:pt idx="327">
                  <c:v>1.000073</c:v>
                </c:pt>
                <c:pt idx="328">
                  <c:v>1.000084</c:v>
                </c:pt>
                <c:pt idx="329">
                  <c:v>1.0000599999999999</c:v>
                </c:pt>
                <c:pt idx="330">
                  <c:v>1.000068</c:v>
                </c:pt>
                <c:pt idx="331">
                  <c:v>1.000105</c:v>
                </c:pt>
                <c:pt idx="332">
                  <c:v>1.000068</c:v>
                </c:pt>
                <c:pt idx="333">
                  <c:v>1</c:v>
                </c:pt>
                <c:pt idx="334">
                  <c:v>1.000124</c:v>
                </c:pt>
                <c:pt idx="335">
                  <c:v>1.0000610000000001</c:v>
                </c:pt>
                <c:pt idx="336">
                  <c:v>1.00007</c:v>
                </c:pt>
                <c:pt idx="337">
                  <c:v>1.000046</c:v>
                </c:pt>
                <c:pt idx="338">
                  <c:v>1.0002</c:v>
                </c:pt>
                <c:pt idx="339">
                  <c:v>1.0002040000000001</c:v>
                </c:pt>
                <c:pt idx="340">
                  <c:v>1.000097</c:v>
                </c:pt>
                <c:pt idx="341">
                  <c:v>1.0001409999999999</c:v>
                </c:pt>
                <c:pt idx="342">
                  <c:v>1.0002260000000001</c:v>
                </c:pt>
                <c:pt idx="343">
                  <c:v>1.0001850000000001</c:v>
                </c:pt>
                <c:pt idx="344">
                  <c:v>0.99995599999999996</c:v>
                </c:pt>
                <c:pt idx="345">
                  <c:v>0.99991799999999997</c:v>
                </c:pt>
                <c:pt idx="346">
                  <c:v>0.99997899999999995</c:v>
                </c:pt>
                <c:pt idx="347">
                  <c:v>1.0000070000000001</c:v>
                </c:pt>
                <c:pt idx="348">
                  <c:v>1.000075</c:v>
                </c:pt>
                <c:pt idx="349">
                  <c:v>1.000121</c:v>
                </c:pt>
                <c:pt idx="350">
                  <c:v>1.0001009999999999</c:v>
                </c:pt>
                <c:pt idx="351">
                  <c:v>1.000094</c:v>
                </c:pt>
                <c:pt idx="352">
                  <c:v>1.000043</c:v>
                </c:pt>
                <c:pt idx="353">
                  <c:v>0.99863400000000002</c:v>
                </c:pt>
                <c:pt idx="354">
                  <c:v>0.99781399999999998</c:v>
                </c:pt>
                <c:pt idx="355">
                  <c:v>0.99819800000000003</c:v>
                </c:pt>
                <c:pt idx="356">
                  <c:v>0.99861699999999998</c:v>
                </c:pt>
                <c:pt idx="357">
                  <c:v>0.99875000000000003</c:v>
                </c:pt>
                <c:pt idx="358">
                  <c:v>0.99902100000000005</c:v>
                </c:pt>
                <c:pt idx="359">
                  <c:v>0.99913600000000002</c:v>
                </c:pt>
                <c:pt idx="360">
                  <c:v>0.99923099999999998</c:v>
                </c:pt>
                <c:pt idx="361">
                  <c:v>0.99939599999999995</c:v>
                </c:pt>
                <c:pt idx="362">
                  <c:v>0.99917500000000004</c:v>
                </c:pt>
                <c:pt idx="363">
                  <c:v>0.99908699999999995</c:v>
                </c:pt>
                <c:pt idx="364">
                  <c:v>0.99899499999999997</c:v>
                </c:pt>
                <c:pt idx="365">
                  <c:v>0.999081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32-4108-A363-2C8ABBEACC3F}"/>
            </c:ext>
          </c:extLst>
        </c:ser>
        <c:ser>
          <c:idx val="4"/>
          <c:order val="4"/>
          <c:tx>
            <c:strRef>
              <c:f>worksheet!$AP$1</c:f>
              <c:strCache>
                <c:ptCount val="1"/>
                <c:pt idx="0">
                  <c:v>Usd coin Open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worksheet!$AK$2:$AK$367</c:f>
              <c:numCache>
                <c:formatCode>m/d/yyyy</c:formatCode>
                <c:ptCount val="366"/>
                <c:pt idx="0">
                  <c:v>44522</c:v>
                </c:pt>
                <c:pt idx="1">
                  <c:v>44523</c:v>
                </c:pt>
                <c:pt idx="2">
                  <c:v>44524</c:v>
                </c:pt>
                <c:pt idx="3">
                  <c:v>44525</c:v>
                </c:pt>
                <c:pt idx="4">
                  <c:v>44526</c:v>
                </c:pt>
                <c:pt idx="5">
                  <c:v>44527</c:v>
                </c:pt>
                <c:pt idx="6">
                  <c:v>44528</c:v>
                </c:pt>
                <c:pt idx="7">
                  <c:v>44529</c:v>
                </c:pt>
                <c:pt idx="8">
                  <c:v>44530</c:v>
                </c:pt>
                <c:pt idx="9">
                  <c:v>44531</c:v>
                </c:pt>
                <c:pt idx="10">
                  <c:v>44532</c:v>
                </c:pt>
                <c:pt idx="11">
                  <c:v>44533</c:v>
                </c:pt>
                <c:pt idx="12">
                  <c:v>44534</c:v>
                </c:pt>
                <c:pt idx="13">
                  <c:v>44535</c:v>
                </c:pt>
                <c:pt idx="14">
                  <c:v>44536</c:v>
                </c:pt>
                <c:pt idx="15">
                  <c:v>44537</c:v>
                </c:pt>
                <c:pt idx="16">
                  <c:v>44538</c:v>
                </c:pt>
                <c:pt idx="17">
                  <c:v>44539</c:v>
                </c:pt>
                <c:pt idx="18">
                  <c:v>44540</c:v>
                </c:pt>
                <c:pt idx="19">
                  <c:v>44541</c:v>
                </c:pt>
                <c:pt idx="20">
                  <c:v>44542</c:v>
                </c:pt>
                <c:pt idx="21">
                  <c:v>44543</c:v>
                </c:pt>
                <c:pt idx="22">
                  <c:v>44544</c:v>
                </c:pt>
                <c:pt idx="23">
                  <c:v>44545</c:v>
                </c:pt>
                <c:pt idx="24">
                  <c:v>44546</c:v>
                </c:pt>
                <c:pt idx="25">
                  <c:v>44547</c:v>
                </c:pt>
                <c:pt idx="26">
                  <c:v>44548</c:v>
                </c:pt>
                <c:pt idx="27">
                  <c:v>44549</c:v>
                </c:pt>
                <c:pt idx="28">
                  <c:v>44550</c:v>
                </c:pt>
                <c:pt idx="29">
                  <c:v>44551</c:v>
                </c:pt>
                <c:pt idx="30">
                  <c:v>44552</c:v>
                </c:pt>
                <c:pt idx="31">
                  <c:v>44553</c:v>
                </c:pt>
                <c:pt idx="32">
                  <c:v>44554</c:v>
                </c:pt>
                <c:pt idx="33">
                  <c:v>44555</c:v>
                </c:pt>
                <c:pt idx="34">
                  <c:v>44556</c:v>
                </c:pt>
                <c:pt idx="35">
                  <c:v>44557</c:v>
                </c:pt>
                <c:pt idx="36">
                  <c:v>44558</c:v>
                </c:pt>
                <c:pt idx="37">
                  <c:v>44559</c:v>
                </c:pt>
                <c:pt idx="38">
                  <c:v>44560</c:v>
                </c:pt>
                <c:pt idx="39">
                  <c:v>44561</c:v>
                </c:pt>
                <c:pt idx="40">
                  <c:v>44562</c:v>
                </c:pt>
                <c:pt idx="41">
                  <c:v>44563</c:v>
                </c:pt>
                <c:pt idx="42">
                  <c:v>44564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44569</c:v>
                </c:pt>
                <c:pt idx="48">
                  <c:v>44570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44576</c:v>
                </c:pt>
                <c:pt idx="55">
                  <c:v>44577</c:v>
                </c:pt>
                <c:pt idx="56">
                  <c:v>44578</c:v>
                </c:pt>
                <c:pt idx="57">
                  <c:v>44579</c:v>
                </c:pt>
                <c:pt idx="58">
                  <c:v>44580</c:v>
                </c:pt>
                <c:pt idx="59">
                  <c:v>44581</c:v>
                </c:pt>
                <c:pt idx="60">
                  <c:v>44582</c:v>
                </c:pt>
                <c:pt idx="61">
                  <c:v>44583</c:v>
                </c:pt>
                <c:pt idx="62">
                  <c:v>44584</c:v>
                </c:pt>
                <c:pt idx="63">
                  <c:v>44585</c:v>
                </c:pt>
                <c:pt idx="64">
                  <c:v>44586</c:v>
                </c:pt>
                <c:pt idx="65">
                  <c:v>44587</c:v>
                </c:pt>
                <c:pt idx="66">
                  <c:v>44588</c:v>
                </c:pt>
                <c:pt idx="67">
                  <c:v>44589</c:v>
                </c:pt>
                <c:pt idx="68">
                  <c:v>44590</c:v>
                </c:pt>
                <c:pt idx="69">
                  <c:v>44591</c:v>
                </c:pt>
                <c:pt idx="70">
                  <c:v>44592</c:v>
                </c:pt>
                <c:pt idx="71">
                  <c:v>44593</c:v>
                </c:pt>
                <c:pt idx="72">
                  <c:v>44594</c:v>
                </c:pt>
                <c:pt idx="73">
                  <c:v>44595</c:v>
                </c:pt>
                <c:pt idx="74">
                  <c:v>44596</c:v>
                </c:pt>
                <c:pt idx="75">
                  <c:v>44597</c:v>
                </c:pt>
                <c:pt idx="76">
                  <c:v>44598</c:v>
                </c:pt>
                <c:pt idx="77">
                  <c:v>44599</c:v>
                </c:pt>
                <c:pt idx="78">
                  <c:v>44600</c:v>
                </c:pt>
                <c:pt idx="79">
                  <c:v>44601</c:v>
                </c:pt>
                <c:pt idx="80">
                  <c:v>44602</c:v>
                </c:pt>
                <c:pt idx="81">
                  <c:v>44603</c:v>
                </c:pt>
                <c:pt idx="82">
                  <c:v>44604</c:v>
                </c:pt>
                <c:pt idx="83">
                  <c:v>44605</c:v>
                </c:pt>
                <c:pt idx="84">
                  <c:v>44606</c:v>
                </c:pt>
                <c:pt idx="85">
                  <c:v>44607</c:v>
                </c:pt>
                <c:pt idx="86">
                  <c:v>44608</c:v>
                </c:pt>
                <c:pt idx="87">
                  <c:v>44609</c:v>
                </c:pt>
                <c:pt idx="88">
                  <c:v>44610</c:v>
                </c:pt>
                <c:pt idx="89">
                  <c:v>44611</c:v>
                </c:pt>
                <c:pt idx="90">
                  <c:v>44612</c:v>
                </c:pt>
                <c:pt idx="91">
                  <c:v>44613</c:v>
                </c:pt>
                <c:pt idx="92">
                  <c:v>44614</c:v>
                </c:pt>
                <c:pt idx="93">
                  <c:v>44615</c:v>
                </c:pt>
                <c:pt idx="94">
                  <c:v>44616</c:v>
                </c:pt>
                <c:pt idx="95">
                  <c:v>44617</c:v>
                </c:pt>
                <c:pt idx="96">
                  <c:v>44618</c:v>
                </c:pt>
                <c:pt idx="97">
                  <c:v>44619</c:v>
                </c:pt>
                <c:pt idx="98">
                  <c:v>44620</c:v>
                </c:pt>
                <c:pt idx="99">
                  <c:v>44621</c:v>
                </c:pt>
                <c:pt idx="100">
                  <c:v>44622</c:v>
                </c:pt>
                <c:pt idx="101">
                  <c:v>44623</c:v>
                </c:pt>
                <c:pt idx="102">
                  <c:v>44624</c:v>
                </c:pt>
                <c:pt idx="103">
                  <c:v>44625</c:v>
                </c:pt>
                <c:pt idx="104">
                  <c:v>44626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44632</c:v>
                </c:pt>
                <c:pt idx="111">
                  <c:v>44633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44639</c:v>
                </c:pt>
                <c:pt idx="118">
                  <c:v>44640</c:v>
                </c:pt>
                <c:pt idx="119">
                  <c:v>44641</c:v>
                </c:pt>
                <c:pt idx="120">
                  <c:v>44642</c:v>
                </c:pt>
                <c:pt idx="121">
                  <c:v>44643</c:v>
                </c:pt>
                <c:pt idx="122">
                  <c:v>44644</c:v>
                </c:pt>
                <c:pt idx="123">
                  <c:v>44645</c:v>
                </c:pt>
                <c:pt idx="124">
                  <c:v>44646</c:v>
                </c:pt>
                <c:pt idx="125">
                  <c:v>44647</c:v>
                </c:pt>
                <c:pt idx="126">
                  <c:v>44648</c:v>
                </c:pt>
                <c:pt idx="127">
                  <c:v>44649</c:v>
                </c:pt>
                <c:pt idx="128">
                  <c:v>44650</c:v>
                </c:pt>
                <c:pt idx="129">
                  <c:v>44651</c:v>
                </c:pt>
                <c:pt idx="130">
                  <c:v>44652</c:v>
                </c:pt>
                <c:pt idx="131">
                  <c:v>44653</c:v>
                </c:pt>
                <c:pt idx="132">
                  <c:v>44654</c:v>
                </c:pt>
                <c:pt idx="133">
                  <c:v>44655</c:v>
                </c:pt>
                <c:pt idx="134">
                  <c:v>44656</c:v>
                </c:pt>
                <c:pt idx="135">
                  <c:v>44657</c:v>
                </c:pt>
                <c:pt idx="136">
                  <c:v>44658</c:v>
                </c:pt>
                <c:pt idx="137">
                  <c:v>44659</c:v>
                </c:pt>
                <c:pt idx="138">
                  <c:v>44660</c:v>
                </c:pt>
                <c:pt idx="139">
                  <c:v>44661</c:v>
                </c:pt>
                <c:pt idx="140">
                  <c:v>44662</c:v>
                </c:pt>
                <c:pt idx="141">
                  <c:v>44663</c:v>
                </c:pt>
                <c:pt idx="142">
                  <c:v>44664</c:v>
                </c:pt>
                <c:pt idx="143">
                  <c:v>44665</c:v>
                </c:pt>
                <c:pt idx="144">
                  <c:v>44666</c:v>
                </c:pt>
                <c:pt idx="145">
                  <c:v>44667</c:v>
                </c:pt>
                <c:pt idx="146">
                  <c:v>44668</c:v>
                </c:pt>
                <c:pt idx="147">
                  <c:v>44669</c:v>
                </c:pt>
                <c:pt idx="148">
                  <c:v>44670</c:v>
                </c:pt>
                <c:pt idx="149">
                  <c:v>44671</c:v>
                </c:pt>
                <c:pt idx="150">
                  <c:v>44672</c:v>
                </c:pt>
                <c:pt idx="151">
                  <c:v>44673</c:v>
                </c:pt>
                <c:pt idx="152">
                  <c:v>44674</c:v>
                </c:pt>
                <c:pt idx="153">
                  <c:v>44675</c:v>
                </c:pt>
                <c:pt idx="154">
                  <c:v>44676</c:v>
                </c:pt>
                <c:pt idx="155">
                  <c:v>44677</c:v>
                </c:pt>
                <c:pt idx="156">
                  <c:v>44678</c:v>
                </c:pt>
                <c:pt idx="157">
                  <c:v>44679</c:v>
                </c:pt>
                <c:pt idx="158">
                  <c:v>44680</c:v>
                </c:pt>
                <c:pt idx="159">
                  <c:v>44681</c:v>
                </c:pt>
                <c:pt idx="160">
                  <c:v>44682</c:v>
                </c:pt>
                <c:pt idx="161">
                  <c:v>44683</c:v>
                </c:pt>
                <c:pt idx="162">
                  <c:v>44684</c:v>
                </c:pt>
                <c:pt idx="163">
                  <c:v>44685</c:v>
                </c:pt>
                <c:pt idx="164">
                  <c:v>44686</c:v>
                </c:pt>
                <c:pt idx="165">
                  <c:v>44687</c:v>
                </c:pt>
                <c:pt idx="166">
                  <c:v>44688</c:v>
                </c:pt>
                <c:pt idx="167">
                  <c:v>44689</c:v>
                </c:pt>
                <c:pt idx="168">
                  <c:v>44690</c:v>
                </c:pt>
                <c:pt idx="169">
                  <c:v>44691</c:v>
                </c:pt>
                <c:pt idx="170">
                  <c:v>44692</c:v>
                </c:pt>
                <c:pt idx="171">
                  <c:v>44693</c:v>
                </c:pt>
                <c:pt idx="172">
                  <c:v>44694</c:v>
                </c:pt>
                <c:pt idx="173">
                  <c:v>44695</c:v>
                </c:pt>
                <c:pt idx="174">
                  <c:v>44696</c:v>
                </c:pt>
                <c:pt idx="175">
                  <c:v>44697</c:v>
                </c:pt>
                <c:pt idx="176">
                  <c:v>44698</c:v>
                </c:pt>
                <c:pt idx="177">
                  <c:v>44699</c:v>
                </c:pt>
                <c:pt idx="178">
                  <c:v>44700</c:v>
                </c:pt>
                <c:pt idx="179">
                  <c:v>44701</c:v>
                </c:pt>
                <c:pt idx="180">
                  <c:v>44702</c:v>
                </c:pt>
                <c:pt idx="181">
                  <c:v>44703</c:v>
                </c:pt>
                <c:pt idx="182">
                  <c:v>44704</c:v>
                </c:pt>
                <c:pt idx="183">
                  <c:v>44705</c:v>
                </c:pt>
                <c:pt idx="184">
                  <c:v>44706</c:v>
                </c:pt>
                <c:pt idx="185">
                  <c:v>44707</c:v>
                </c:pt>
                <c:pt idx="186">
                  <c:v>44708</c:v>
                </c:pt>
                <c:pt idx="187">
                  <c:v>44709</c:v>
                </c:pt>
                <c:pt idx="188">
                  <c:v>44710</c:v>
                </c:pt>
                <c:pt idx="189">
                  <c:v>44711</c:v>
                </c:pt>
                <c:pt idx="190">
                  <c:v>44712</c:v>
                </c:pt>
                <c:pt idx="191">
                  <c:v>44713</c:v>
                </c:pt>
                <c:pt idx="192">
                  <c:v>44714</c:v>
                </c:pt>
                <c:pt idx="193">
                  <c:v>44715</c:v>
                </c:pt>
                <c:pt idx="194">
                  <c:v>44716</c:v>
                </c:pt>
                <c:pt idx="195">
                  <c:v>44717</c:v>
                </c:pt>
                <c:pt idx="196">
                  <c:v>44718</c:v>
                </c:pt>
                <c:pt idx="197">
                  <c:v>44719</c:v>
                </c:pt>
                <c:pt idx="198">
                  <c:v>44720</c:v>
                </c:pt>
                <c:pt idx="199">
                  <c:v>44721</c:v>
                </c:pt>
                <c:pt idx="200">
                  <c:v>44722</c:v>
                </c:pt>
                <c:pt idx="201">
                  <c:v>44723</c:v>
                </c:pt>
                <c:pt idx="202">
                  <c:v>44724</c:v>
                </c:pt>
                <c:pt idx="203">
                  <c:v>44725</c:v>
                </c:pt>
                <c:pt idx="204">
                  <c:v>44726</c:v>
                </c:pt>
                <c:pt idx="205">
                  <c:v>44727</c:v>
                </c:pt>
                <c:pt idx="206">
                  <c:v>44728</c:v>
                </c:pt>
                <c:pt idx="207">
                  <c:v>44729</c:v>
                </c:pt>
                <c:pt idx="208">
                  <c:v>44730</c:v>
                </c:pt>
                <c:pt idx="209">
                  <c:v>44731</c:v>
                </c:pt>
                <c:pt idx="210">
                  <c:v>44732</c:v>
                </c:pt>
                <c:pt idx="211">
                  <c:v>44733</c:v>
                </c:pt>
                <c:pt idx="212">
                  <c:v>44734</c:v>
                </c:pt>
                <c:pt idx="213">
                  <c:v>44735</c:v>
                </c:pt>
                <c:pt idx="214">
                  <c:v>44736</c:v>
                </c:pt>
                <c:pt idx="215">
                  <c:v>44737</c:v>
                </c:pt>
                <c:pt idx="216">
                  <c:v>44738</c:v>
                </c:pt>
                <c:pt idx="217">
                  <c:v>44739</c:v>
                </c:pt>
                <c:pt idx="218">
                  <c:v>44740</c:v>
                </c:pt>
                <c:pt idx="219">
                  <c:v>44741</c:v>
                </c:pt>
                <c:pt idx="220">
                  <c:v>44742</c:v>
                </c:pt>
                <c:pt idx="221">
                  <c:v>44743</c:v>
                </c:pt>
                <c:pt idx="222">
                  <c:v>44744</c:v>
                </c:pt>
                <c:pt idx="223">
                  <c:v>44745</c:v>
                </c:pt>
                <c:pt idx="224">
                  <c:v>44746</c:v>
                </c:pt>
                <c:pt idx="225">
                  <c:v>44747</c:v>
                </c:pt>
                <c:pt idx="226">
                  <c:v>44748</c:v>
                </c:pt>
                <c:pt idx="227">
                  <c:v>44749</c:v>
                </c:pt>
                <c:pt idx="228">
                  <c:v>44750</c:v>
                </c:pt>
                <c:pt idx="229">
                  <c:v>44751</c:v>
                </c:pt>
                <c:pt idx="230">
                  <c:v>44752</c:v>
                </c:pt>
                <c:pt idx="231">
                  <c:v>44753</c:v>
                </c:pt>
                <c:pt idx="232">
                  <c:v>44754</c:v>
                </c:pt>
                <c:pt idx="233">
                  <c:v>44755</c:v>
                </c:pt>
                <c:pt idx="234">
                  <c:v>44756</c:v>
                </c:pt>
                <c:pt idx="235">
                  <c:v>44757</c:v>
                </c:pt>
                <c:pt idx="236">
                  <c:v>44758</c:v>
                </c:pt>
                <c:pt idx="237">
                  <c:v>44759</c:v>
                </c:pt>
                <c:pt idx="238">
                  <c:v>44760</c:v>
                </c:pt>
                <c:pt idx="239">
                  <c:v>44761</c:v>
                </c:pt>
                <c:pt idx="240">
                  <c:v>44762</c:v>
                </c:pt>
                <c:pt idx="241">
                  <c:v>44763</c:v>
                </c:pt>
                <c:pt idx="242">
                  <c:v>44764</c:v>
                </c:pt>
                <c:pt idx="243">
                  <c:v>44765</c:v>
                </c:pt>
                <c:pt idx="244">
                  <c:v>44766</c:v>
                </c:pt>
                <c:pt idx="245">
                  <c:v>44767</c:v>
                </c:pt>
                <c:pt idx="246">
                  <c:v>44768</c:v>
                </c:pt>
                <c:pt idx="247">
                  <c:v>44769</c:v>
                </c:pt>
                <c:pt idx="248">
                  <c:v>44770</c:v>
                </c:pt>
                <c:pt idx="249">
                  <c:v>44771</c:v>
                </c:pt>
                <c:pt idx="250">
                  <c:v>44772</c:v>
                </c:pt>
                <c:pt idx="251">
                  <c:v>44773</c:v>
                </c:pt>
                <c:pt idx="252">
                  <c:v>44774</c:v>
                </c:pt>
                <c:pt idx="253">
                  <c:v>44775</c:v>
                </c:pt>
                <c:pt idx="254">
                  <c:v>44776</c:v>
                </c:pt>
                <c:pt idx="255">
                  <c:v>44777</c:v>
                </c:pt>
                <c:pt idx="256">
                  <c:v>44778</c:v>
                </c:pt>
                <c:pt idx="257">
                  <c:v>44779</c:v>
                </c:pt>
                <c:pt idx="258">
                  <c:v>44780</c:v>
                </c:pt>
                <c:pt idx="259">
                  <c:v>44781</c:v>
                </c:pt>
                <c:pt idx="260">
                  <c:v>44782</c:v>
                </c:pt>
                <c:pt idx="261">
                  <c:v>44783</c:v>
                </c:pt>
                <c:pt idx="262">
                  <c:v>44784</c:v>
                </c:pt>
                <c:pt idx="263">
                  <c:v>44785</c:v>
                </c:pt>
                <c:pt idx="264">
                  <c:v>44786</c:v>
                </c:pt>
                <c:pt idx="265">
                  <c:v>44787</c:v>
                </c:pt>
                <c:pt idx="266">
                  <c:v>44788</c:v>
                </c:pt>
                <c:pt idx="267">
                  <c:v>44789</c:v>
                </c:pt>
                <c:pt idx="268">
                  <c:v>44790</c:v>
                </c:pt>
                <c:pt idx="269">
                  <c:v>44791</c:v>
                </c:pt>
                <c:pt idx="270">
                  <c:v>44792</c:v>
                </c:pt>
                <c:pt idx="271">
                  <c:v>44793</c:v>
                </c:pt>
                <c:pt idx="272">
                  <c:v>44794</c:v>
                </c:pt>
                <c:pt idx="273">
                  <c:v>44795</c:v>
                </c:pt>
                <c:pt idx="274">
                  <c:v>44796</c:v>
                </c:pt>
                <c:pt idx="275">
                  <c:v>44797</c:v>
                </c:pt>
                <c:pt idx="276">
                  <c:v>44798</c:v>
                </c:pt>
                <c:pt idx="277">
                  <c:v>44799</c:v>
                </c:pt>
                <c:pt idx="278">
                  <c:v>44800</c:v>
                </c:pt>
                <c:pt idx="279">
                  <c:v>44801</c:v>
                </c:pt>
                <c:pt idx="280">
                  <c:v>44802</c:v>
                </c:pt>
                <c:pt idx="281">
                  <c:v>44803</c:v>
                </c:pt>
                <c:pt idx="282">
                  <c:v>44804</c:v>
                </c:pt>
                <c:pt idx="283">
                  <c:v>44805</c:v>
                </c:pt>
                <c:pt idx="284">
                  <c:v>44806</c:v>
                </c:pt>
                <c:pt idx="285">
                  <c:v>44807</c:v>
                </c:pt>
                <c:pt idx="286">
                  <c:v>44808</c:v>
                </c:pt>
                <c:pt idx="287">
                  <c:v>44809</c:v>
                </c:pt>
                <c:pt idx="288">
                  <c:v>44810</c:v>
                </c:pt>
                <c:pt idx="289">
                  <c:v>44811</c:v>
                </c:pt>
                <c:pt idx="290">
                  <c:v>44812</c:v>
                </c:pt>
                <c:pt idx="291">
                  <c:v>44813</c:v>
                </c:pt>
                <c:pt idx="292">
                  <c:v>44814</c:v>
                </c:pt>
                <c:pt idx="293">
                  <c:v>44815</c:v>
                </c:pt>
                <c:pt idx="294">
                  <c:v>44816</c:v>
                </c:pt>
                <c:pt idx="295">
                  <c:v>44817</c:v>
                </c:pt>
                <c:pt idx="296">
                  <c:v>44818</c:v>
                </c:pt>
                <c:pt idx="297">
                  <c:v>44819</c:v>
                </c:pt>
                <c:pt idx="298">
                  <c:v>44820</c:v>
                </c:pt>
                <c:pt idx="299">
                  <c:v>44821</c:v>
                </c:pt>
                <c:pt idx="300">
                  <c:v>44822</c:v>
                </c:pt>
                <c:pt idx="301">
                  <c:v>44823</c:v>
                </c:pt>
                <c:pt idx="302">
                  <c:v>44824</c:v>
                </c:pt>
                <c:pt idx="303">
                  <c:v>44825</c:v>
                </c:pt>
                <c:pt idx="304">
                  <c:v>44826</c:v>
                </c:pt>
                <c:pt idx="305">
                  <c:v>44827</c:v>
                </c:pt>
                <c:pt idx="306">
                  <c:v>44828</c:v>
                </c:pt>
                <c:pt idx="307">
                  <c:v>44829</c:v>
                </c:pt>
                <c:pt idx="308">
                  <c:v>44830</c:v>
                </c:pt>
                <c:pt idx="309">
                  <c:v>44831</c:v>
                </c:pt>
                <c:pt idx="310">
                  <c:v>44832</c:v>
                </c:pt>
                <c:pt idx="311">
                  <c:v>44833</c:v>
                </c:pt>
                <c:pt idx="312">
                  <c:v>44834</c:v>
                </c:pt>
                <c:pt idx="313">
                  <c:v>44835</c:v>
                </c:pt>
                <c:pt idx="314">
                  <c:v>44836</c:v>
                </c:pt>
                <c:pt idx="315">
                  <c:v>44837</c:v>
                </c:pt>
                <c:pt idx="316">
                  <c:v>44838</c:v>
                </c:pt>
                <c:pt idx="317">
                  <c:v>44839</c:v>
                </c:pt>
                <c:pt idx="318">
                  <c:v>44840</c:v>
                </c:pt>
                <c:pt idx="319">
                  <c:v>44841</c:v>
                </c:pt>
                <c:pt idx="320">
                  <c:v>44842</c:v>
                </c:pt>
                <c:pt idx="321">
                  <c:v>44843</c:v>
                </c:pt>
                <c:pt idx="322">
                  <c:v>44844</c:v>
                </c:pt>
                <c:pt idx="323">
                  <c:v>44845</c:v>
                </c:pt>
                <c:pt idx="324">
                  <c:v>44846</c:v>
                </c:pt>
                <c:pt idx="325">
                  <c:v>44847</c:v>
                </c:pt>
                <c:pt idx="326">
                  <c:v>44848</c:v>
                </c:pt>
                <c:pt idx="327">
                  <c:v>44849</c:v>
                </c:pt>
                <c:pt idx="328">
                  <c:v>44850</c:v>
                </c:pt>
                <c:pt idx="329">
                  <c:v>44851</c:v>
                </c:pt>
                <c:pt idx="330">
                  <c:v>44852</c:v>
                </c:pt>
                <c:pt idx="331">
                  <c:v>44853</c:v>
                </c:pt>
                <c:pt idx="332">
                  <c:v>44854</c:v>
                </c:pt>
                <c:pt idx="333">
                  <c:v>44855</c:v>
                </c:pt>
                <c:pt idx="334">
                  <c:v>44856</c:v>
                </c:pt>
                <c:pt idx="335">
                  <c:v>44857</c:v>
                </c:pt>
                <c:pt idx="336">
                  <c:v>44858</c:v>
                </c:pt>
                <c:pt idx="337">
                  <c:v>44859</c:v>
                </c:pt>
                <c:pt idx="338">
                  <c:v>44860</c:v>
                </c:pt>
                <c:pt idx="339">
                  <c:v>44861</c:v>
                </c:pt>
                <c:pt idx="340">
                  <c:v>44862</c:v>
                </c:pt>
                <c:pt idx="341">
                  <c:v>44863</c:v>
                </c:pt>
                <c:pt idx="342">
                  <c:v>44864</c:v>
                </c:pt>
                <c:pt idx="343">
                  <c:v>44865</c:v>
                </c:pt>
                <c:pt idx="344">
                  <c:v>44866</c:v>
                </c:pt>
                <c:pt idx="345">
                  <c:v>44867</c:v>
                </c:pt>
                <c:pt idx="346">
                  <c:v>44868</c:v>
                </c:pt>
                <c:pt idx="347">
                  <c:v>44869</c:v>
                </c:pt>
                <c:pt idx="348">
                  <c:v>44870</c:v>
                </c:pt>
                <c:pt idx="349">
                  <c:v>44871</c:v>
                </c:pt>
                <c:pt idx="350">
                  <c:v>44872</c:v>
                </c:pt>
                <c:pt idx="351">
                  <c:v>44873</c:v>
                </c:pt>
                <c:pt idx="352">
                  <c:v>44874</c:v>
                </c:pt>
                <c:pt idx="353">
                  <c:v>44875</c:v>
                </c:pt>
                <c:pt idx="354">
                  <c:v>44876</c:v>
                </c:pt>
                <c:pt idx="355">
                  <c:v>44877</c:v>
                </c:pt>
                <c:pt idx="356">
                  <c:v>44878</c:v>
                </c:pt>
                <c:pt idx="357">
                  <c:v>44879</c:v>
                </c:pt>
                <c:pt idx="358">
                  <c:v>44880</c:v>
                </c:pt>
                <c:pt idx="359">
                  <c:v>44881</c:v>
                </c:pt>
                <c:pt idx="360">
                  <c:v>44882</c:v>
                </c:pt>
                <c:pt idx="361">
                  <c:v>44883</c:v>
                </c:pt>
                <c:pt idx="362">
                  <c:v>44884</c:v>
                </c:pt>
                <c:pt idx="363">
                  <c:v>44885</c:v>
                </c:pt>
                <c:pt idx="364">
                  <c:v>44886</c:v>
                </c:pt>
                <c:pt idx="365">
                  <c:v>44887</c:v>
                </c:pt>
              </c:numCache>
            </c:numRef>
          </c:cat>
          <c:val>
            <c:numRef>
              <c:f>worksheet!$AP$2:$AP$367</c:f>
              <c:numCache>
                <c:formatCode>General</c:formatCode>
                <c:ptCount val="366"/>
                <c:pt idx="0">
                  <c:v>1.000046</c:v>
                </c:pt>
                <c:pt idx="1">
                  <c:v>1.000076</c:v>
                </c:pt>
                <c:pt idx="2">
                  <c:v>0.99977199999999999</c:v>
                </c:pt>
                <c:pt idx="3">
                  <c:v>0.99939199999999995</c:v>
                </c:pt>
                <c:pt idx="4">
                  <c:v>1.00065</c:v>
                </c:pt>
                <c:pt idx="5">
                  <c:v>0.99978</c:v>
                </c:pt>
                <c:pt idx="6">
                  <c:v>1.001431</c:v>
                </c:pt>
                <c:pt idx="7">
                  <c:v>0.99990400000000002</c:v>
                </c:pt>
                <c:pt idx="8">
                  <c:v>0.99973500000000004</c:v>
                </c:pt>
                <c:pt idx="9">
                  <c:v>1.0002059999999999</c:v>
                </c:pt>
                <c:pt idx="10">
                  <c:v>0.99965999999999999</c:v>
                </c:pt>
                <c:pt idx="11">
                  <c:v>0.99903200000000003</c:v>
                </c:pt>
                <c:pt idx="12">
                  <c:v>1.0003169999999999</c:v>
                </c:pt>
                <c:pt idx="13">
                  <c:v>1.0001979999999999</c:v>
                </c:pt>
                <c:pt idx="14">
                  <c:v>0.99877000000000005</c:v>
                </c:pt>
                <c:pt idx="15">
                  <c:v>1.0002070000000001</c:v>
                </c:pt>
                <c:pt idx="16">
                  <c:v>1.00007</c:v>
                </c:pt>
                <c:pt idx="17">
                  <c:v>0.99890800000000002</c:v>
                </c:pt>
                <c:pt idx="18">
                  <c:v>1.0002629999999999</c:v>
                </c:pt>
                <c:pt idx="19">
                  <c:v>1.0010730000000001</c:v>
                </c:pt>
                <c:pt idx="20">
                  <c:v>1.000113</c:v>
                </c:pt>
                <c:pt idx="21">
                  <c:v>1.0001370000000001</c:v>
                </c:pt>
                <c:pt idx="22">
                  <c:v>1.000019</c:v>
                </c:pt>
                <c:pt idx="23">
                  <c:v>0.99962499999999999</c:v>
                </c:pt>
                <c:pt idx="24">
                  <c:v>1.0004960000000001</c:v>
                </c:pt>
                <c:pt idx="25">
                  <c:v>1.000011</c:v>
                </c:pt>
                <c:pt idx="26">
                  <c:v>0.99809800000000004</c:v>
                </c:pt>
                <c:pt idx="27">
                  <c:v>1.000016</c:v>
                </c:pt>
                <c:pt idx="28">
                  <c:v>1.0000560000000001</c:v>
                </c:pt>
                <c:pt idx="29">
                  <c:v>0.99918899999999999</c:v>
                </c:pt>
                <c:pt idx="30">
                  <c:v>1.0001469999999999</c:v>
                </c:pt>
                <c:pt idx="31">
                  <c:v>0.99826599999999999</c:v>
                </c:pt>
                <c:pt idx="32">
                  <c:v>1.0004</c:v>
                </c:pt>
                <c:pt idx="33">
                  <c:v>1.0005120000000001</c:v>
                </c:pt>
                <c:pt idx="34">
                  <c:v>0.99984399999999996</c:v>
                </c:pt>
                <c:pt idx="35">
                  <c:v>0.99921700000000002</c:v>
                </c:pt>
                <c:pt idx="36">
                  <c:v>0.99963299999999999</c:v>
                </c:pt>
                <c:pt idx="37">
                  <c:v>1.000758</c:v>
                </c:pt>
                <c:pt idx="38">
                  <c:v>0.99962200000000001</c:v>
                </c:pt>
                <c:pt idx="39">
                  <c:v>1.000383</c:v>
                </c:pt>
                <c:pt idx="40">
                  <c:v>1.0000830000000001</c:v>
                </c:pt>
                <c:pt idx="41">
                  <c:v>1.000081</c:v>
                </c:pt>
                <c:pt idx="42">
                  <c:v>0.999776</c:v>
                </c:pt>
                <c:pt idx="43">
                  <c:v>0.99981799999999998</c:v>
                </c:pt>
                <c:pt idx="44">
                  <c:v>1.000604</c:v>
                </c:pt>
                <c:pt idx="45">
                  <c:v>0.99975199999999997</c:v>
                </c:pt>
                <c:pt idx="46">
                  <c:v>0.999525</c:v>
                </c:pt>
                <c:pt idx="47">
                  <c:v>1.0004740000000001</c:v>
                </c:pt>
                <c:pt idx="48">
                  <c:v>0.99950600000000001</c:v>
                </c:pt>
                <c:pt idx="49">
                  <c:v>0.99983</c:v>
                </c:pt>
                <c:pt idx="50">
                  <c:v>1.000354</c:v>
                </c:pt>
                <c:pt idx="51">
                  <c:v>1.0002249999999999</c:v>
                </c:pt>
                <c:pt idx="52">
                  <c:v>0.99978599999999995</c:v>
                </c:pt>
                <c:pt idx="53">
                  <c:v>0.99909499999999996</c:v>
                </c:pt>
                <c:pt idx="54">
                  <c:v>1.000054</c:v>
                </c:pt>
                <c:pt idx="55">
                  <c:v>0.99949399999999999</c:v>
                </c:pt>
                <c:pt idx="56">
                  <c:v>0.99975000000000003</c:v>
                </c:pt>
                <c:pt idx="57">
                  <c:v>0.99966900000000003</c:v>
                </c:pt>
                <c:pt idx="58">
                  <c:v>1.0000979999999999</c:v>
                </c:pt>
                <c:pt idx="59">
                  <c:v>1.0003359999999999</c:v>
                </c:pt>
                <c:pt idx="60">
                  <c:v>1.000488</c:v>
                </c:pt>
                <c:pt idx="61">
                  <c:v>1.0004390000000001</c:v>
                </c:pt>
                <c:pt idx="62">
                  <c:v>1.0000899999999999</c:v>
                </c:pt>
                <c:pt idx="63">
                  <c:v>1.00017</c:v>
                </c:pt>
                <c:pt idx="64">
                  <c:v>1.000318</c:v>
                </c:pt>
                <c:pt idx="65">
                  <c:v>1.0004200000000001</c:v>
                </c:pt>
                <c:pt idx="66">
                  <c:v>0.99985000000000002</c:v>
                </c:pt>
                <c:pt idx="67">
                  <c:v>0.999749</c:v>
                </c:pt>
                <c:pt idx="68">
                  <c:v>0.99966299999999997</c:v>
                </c:pt>
                <c:pt idx="69">
                  <c:v>1.000405</c:v>
                </c:pt>
                <c:pt idx="70">
                  <c:v>1.0000849999999999</c:v>
                </c:pt>
                <c:pt idx="71">
                  <c:v>0.99951999999999996</c:v>
                </c:pt>
                <c:pt idx="72">
                  <c:v>0.99970599999999998</c:v>
                </c:pt>
                <c:pt idx="73">
                  <c:v>0.99990100000000004</c:v>
                </c:pt>
                <c:pt idx="74">
                  <c:v>1.0001869999999999</c:v>
                </c:pt>
                <c:pt idx="75">
                  <c:v>0.99958499999999995</c:v>
                </c:pt>
                <c:pt idx="76">
                  <c:v>1.0000910000000001</c:v>
                </c:pt>
                <c:pt idx="77">
                  <c:v>1.0003120000000001</c:v>
                </c:pt>
                <c:pt idx="78">
                  <c:v>0.99907699999999999</c:v>
                </c:pt>
                <c:pt idx="79">
                  <c:v>0.99911300000000003</c:v>
                </c:pt>
                <c:pt idx="80">
                  <c:v>0.99959200000000004</c:v>
                </c:pt>
                <c:pt idx="81">
                  <c:v>1.0001439999999999</c:v>
                </c:pt>
                <c:pt idx="82">
                  <c:v>0.99938300000000002</c:v>
                </c:pt>
                <c:pt idx="83">
                  <c:v>1.0001549999999999</c:v>
                </c:pt>
                <c:pt idx="84">
                  <c:v>0.99998500000000001</c:v>
                </c:pt>
                <c:pt idx="85">
                  <c:v>0.99933000000000005</c:v>
                </c:pt>
                <c:pt idx="86">
                  <c:v>0.99960899999999997</c:v>
                </c:pt>
                <c:pt idx="87">
                  <c:v>0.99969699999999995</c:v>
                </c:pt>
                <c:pt idx="88">
                  <c:v>0.99940399999999996</c:v>
                </c:pt>
                <c:pt idx="89">
                  <c:v>0.99973400000000001</c:v>
                </c:pt>
                <c:pt idx="90">
                  <c:v>0.99986399999999998</c:v>
                </c:pt>
                <c:pt idx="91">
                  <c:v>1.0000009999999999</c:v>
                </c:pt>
                <c:pt idx="92">
                  <c:v>0.999359</c:v>
                </c:pt>
                <c:pt idx="93">
                  <c:v>1.000046</c:v>
                </c:pt>
                <c:pt idx="94">
                  <c:v>0.99952099999999999</c:v>
                </c:pt>
                <c:pt idx="95">
                  <c:v>0.99994400000000006</c:v>
                </c:pt>
                <c:pt idx="96">
                  <c:v>0.99990400000000002</c:v>
                </c:pt>
                <c:pt idx="97">
                  <c:v>0.99993500000000002</c:v>
                </c:pt>
                <c:pt idx="98">
                  <c:v>0.99968800000000002</c:v>
                </c:pt>
                <c:pt idx="99">
                  <c:v>0.99983999999999995</c:v>
                </c:pt>
                <c:pt idx="100">
                  <c:v>0.999803</c:v>
                </c:pt>
                <c:pt idx="101">
                  <c:v>0.99956400000000001</c:v>
                </c:pt>
                <c:pt idx="102">
                  <c:v>0.99995900000000004</c:v>
                </c:pt>
                <c:pt idx="103">
                  <c:v>0.99992199999999998</c:v>
                </c:pt>
                <c:pt idx="104">
                  <c:v>0.99938000000000005</c:v>
                </c:pt>
                <c:pt idx="105">
                  <c:v>0.99987499999999996</c:v>
                </c:pt>
                <c:pt idx="106">
                  <c:v>0.99910100000000002</c:v>
                </c:pt>
                <c:pt idx="107">
                  <c:v>1.0002690000000001</c:v>
                </c:pt>
                <c:pt idx="108">
                  <c:v>1.00044</c:v>
                </c:pt>
                <c:pt idx="109">
                  <c:v>0.99980800000000003</c:v>
                </c:pt>
                <c:pt idx="110">
                  <c:v>0.99934699999999999</c:v>
                </c:pt>
                <c:pt idx="111">
                  <c:v>0.999699</c:v>
                </c:pt>
                <c:pt idx="112">
                  <c:v>0.99994700000000003</c:v>
                </c:pt>
                <c:pt idx="113">
                  <c:v>1.0002690000000001</c:v>
                </c:pt>
                <c:pt idx="114">
                  <c:v>0.99936199999999997</c:v>
                </c:pt>
                <c:pt idx="115">
                  <c:v>0.99990500000000004</c:v>
                </c:pt>
                <c:pt idx="116">
                  <c:v>0.999753</c:v>
                </c:pt>
                <c:pt idx="117">
                  <c:v>0.99980599999999997</c:v>
                </c:pt>
                <c:pt idx="118">
                  <c:v>0.99975499999999995</c:v>
                </c:pt>
                <c:pt idx="119">
                  <c:v>0.99992700000000001</c:v>
                </c:pt>
                <c:pt idx="120">
                  <c:v>0.99982000000000004</c:v>
                </c:pt>
                <c:pt idx="121">
                  <c:v>0.99988999999999995</c:v>
                </c:pt>
                <c:pt idx="122">
                  <c:v>0.999977</c:v>
                </c:pt>
                <c:pt idx="123">
                  <c:v>0.99970300000000001</c:v>
                </c:pt>
                <c:pt idx="124">
                  <c:v>0.99920299999999995</c:v>
                </c:pt>
                <c:pt idx="125">
                  <c:v>0.99992000000000003</c:v>
                </c:pt>
                <c:pt idx="126">
                  <c:v>1.0000450000000001</c:v>
                </c:pt>
                <c:pt idx="127">
                  <c:v>1.0000640000000001</c:v>
                </c:pt>
                <c:pt idx="128">
                  <c:v>0.999996</c:v>
                </c:pt>
                <c:pt idx="129">
                  <c:v>0.999448</c:v>
                </c:pt>
                <c:pt idx="130">
                  <c:v>0.99951599999999996</c:v>
                </c:pt>
                <c:pt idx="131">
                  <c:v>1.0000070000000001</c:v>
                </c:pt>
                <c:pt idx="132">
                  <c:v>0.99930399999999997</c:v>
                </c:pt>
                <c:pt idx="133">
                  <c:v>1.0000880000000001</c:v>
                </c:pt>
                <c:pt idx="134">
                  <c:v>1.000138</c:v>
                </c:pt>
                <c:pt idx="135">
                  <c:v>0.99965899999999996</c:v>
                </c:pt>
                <c:pt idx="136">
                  <c:v>0.99961199999999995</c:v>
                </c:pt>
                <c:pt idx="137">
                  <c:v>1.0001100000000001</c:v>
                </c:pt>
                <c:pt idx="138">
                  <c:v>0.99974600000000002</c:v>
                </c:pt>
                <c:pt idx="139">
                  <c:v>1.000084</c:v>
                </c:pt>
                <c:pt idx="140">
                  <c:v>0.99969600000000003</c:v>
                </c:pt>
                <c:pt idx="141">
                  <c:v>0.99981399999999998</c:v>
                </c:pt>
                <c:pt idx="142">
                  <c:v>0.99982899999999997</c:v>
                </c:pt>
                <c:pt idx="143">
                  <c:v>0.99972499999999997</c:v>
                </c:pt>
                <c:pt idx="144">
                  <c:v>0.99983100000000003</c:v>
                </c:pt>
                <c:pt idx="145">
                  <c:v>0.99973400000000001</c:v>
                </c:pt>
                <c:pt idx="146">
                  <c:v>1.000202</c:v>
                </c:pt>
                <c:pt idx="147">
                  <c:v>0.99927299999999997</c:v>
                </c:pt>
                <c:pt idx="148">
                  <c:v>0.99988299999999997</c:v>
                </c:pt>
                <c:pt idx="149">
                  <c:v>0.99990800000000002</c:v>
                </c:pt>
                <c:pt idx="150">
                  <c:v>0.99983900000000003</c:v>
                </c:pt>
                <c:pt idx="151">
                  <c:v>1.0002470000000001</c:v>
                </c:pt>
                <c:pt idx="152">
                  <c:v>1.000237</c:v>
                </c:pt>
                <c:pt idx="153">
                  <c:v>0.99979099999999999</c:v>
                </c:pt>
                <c:pt idx="154">
                  <c:v>0.99995999999999996</c:v>
                </c:pt>
                <c:pt idx="155">
                  <c:v>1.000192</c:v>
                </c:pt>
                <c:pt idx="156">
                  <c:v>1.000129</c:v>
                </c:pt>
                <c:pt idx="157">
                  <c:v>1.00031</c:v>
                </c:pt>
                <c:pt idx="158">
                  <c:v>1.0000070000000001</c:v>
                </c:pt>
                <c:pt idx="159">
                  <c:v>1.000008</c:v>
                </c:pt>
                <c:pt idx="160">
                  <c:v>1.0002789999999999</c:v>
                </c:pt>
                <c:pt idx="161">
                  <c:v>1.0003610000000001</c:v>
                </c:pt>
                <c:pt idx="162">
                  <c:v>1.0000560000000001</c:v>
                </c:pt>
                <c:pt idx="163">
                  <c:v>1.0001180000000001</c:v>
                </c:pt>
                <c:pt idx="164">
                  <c:v>1.0000659999999999</c:v>
                </c:pt>
                <c:pt idx="165">
                  <c:v>0.99994700000000003</c:v>
                </c:pt>
                <c:pt idx="166">
                  <c:v>1.000065</c:v>
                </c:pt>
                <c:pt idx="167">
                  <c:v>0.99991799999999997</c:v>
                </c:pt>
                <c:pt idx="168">
                  <c:v>0.99999400000000005</c:v>
                </c:pt>
                <c:pt idx="169">
                  <c:v>0.99957600000000002</c:v>
                </c:pt>
                <c:pt idx="170">
                  <c:v>0.99978500000000003</c:v>
                </c:pt>
                <c:pt idx="171">
                  <c:v>1.000777</c:v>
                </c:pt>
                <c:pt idx="172">
                  <c:v>1.0006010000000001</c:v>
                </c:pt>
                <c:pt idx="173">
                  <c:v>1.000418</c:v>
                </c:pt>
                <c:pt idx="174">
                  <c:v>1.0003679999999999</c:v>
                </c:pt>
                <c:pt idx="175">
                  <c:v>1.0001949999999999</c:v>
                </c:pt>
                <c:pt idx="176">
                  <c:v>1.000623</c:v>
                </c:pt>
                <c:pt idx="177">
                  <c:v>1.000219</c:v>
                </c:pt>
                <c:pt idx="178">
                  <c:v>0.99980999999999998</c:v>
                </c:pt>
                <c:pt idx="179">
                  <c:v>1.000278</c:v>
                </c:pt>
                <c:pt idx="180">
                  <c:v>0.99994400000000006</c:v>
                </c:pt>
                <c:pt idx="181">
                  <c:v>1.0002549999999999</c:v>
                </c:pt>
                <c:pt idx="182">
                  <c:v>1.0001150000000001</c:v>
                </c:pt>
                <c:pt idx="183">
                  <c:v>1.000149</c:v>
                </c:pt>
                <c:pt idx="184">
                  <c:v>1.0001770000000001</c:v>
                </c:pt>
                <c:pt idx="185">
                  <c:v>0.999838</c:v>
                </c:pt>
                <c:pt idx="186">
                  <c:v>0.99996399999999996</c:v>
                </c:pt>
                <c:pt idx="187">
                  <c:v>1.000251</c:v>
                </c:pt>
                <c:pt idx="188">
                  <c:v>1.000149</c:v>
                </c:pt>
                <c:pt idx="189">
                  <c:v>1.0005679999999999</c:v>
                </c:pt>
                <c:pt idx="190">
                  <c:v>1.0000800000000001</c:v>
                </c:pt>
                <c:pt idx="191">
                  <c:v>1.000216</c:v>
                </c:pt>
                <c:pt idx="192">
                  <c:v>1.00014</c:v>
                </c:pt>
                <c:pt idx="193">
                  <c:v>1.000272</c:v>
                </c:pt>
                <c:pt idx="194">
                  <c:v>1.000175</c:v>
                </c:pt>
                <c:pt idx="195">
                  <c:v>1.000205</c:v>
                </c:pt>
                <c:pt idx="196">
                  <c:v>1.00014</c:v>
                </c:pt>
                <c:pt idx="197">
                  <c:v>1.000089</c:v>
                </c:pt>
                <c:pt idx="198">
                  <c:v>1.0000439999999999</c:v>
                </c:pt>
                <c:pt idx="199">
                  <c:v>1.0002120000000001</c:v>
                </c:pt>
                <c:pt idx="200">
                  <c:v>1.000208</c:v>
                </c:pt>
                <c:pt idx="201">
                  <c:v>1.0000880000000001</c:v>
                </c:pt>
                <c:pt idx="202">
                  <c:v>1.0001949999999999</c:v>
                </c:pt>
                <c:pt idx="203">
                  <c:v>0.99997400000000003</c:v>
                </c:pt>
                <c:pt idx="204">
                  <c:v>1.0005029999999999</c:v>
                </c:pt>
                <c:pt idx="205">
                  <c:v>1.0006429999999999</c:v>
                </c:pt>
                <c:pt idx="206">
                  <c:v>1.0007109999999999</c:v>
                </c:pt>
                <c:pt idx="207">
                  <c:v>1.0004489999999999</c:v>
                </c:pt>
                <c:pt idx="208">
                  <c:v>1.000151</c:v>
                </c:pt>
                <c:pt idx="209">
                  <c:v>1.0002580000000001</c:v>
                </c:pt>
                <c:pt idx="210">
                  <c:v>1.0004090000000001</c:v>
                </c:pt>
                <c:pt idx="211">
                  <c:v>1.0001800000000001</c:v>
                </c:pt>
                <c:pt idx="212">
                  <c:v>0.99996399999999996</c:v>
                </c:pt>
                <c:pt idx="213">
                  <c:v>1.0000929999999999</c:v>
                </c:pt>
                <c:pt idx="214">
                  <c:v>1.0005599999999999</c:v>
                </c:pt>
                <c:pt idx="215">
                  <c:v>0.99992000000000003</c:v>
                </c:pt>
                <c:pt idx="216">
                  <c:v>1.0000830000000001</c:v>
                </c:pt>
                <c:pt idx="217">
                  <c:v>1.0000089999999999</c:v>
                </c:pt>
                <c:pt idx="218">
                  <c:v>1.0001230000000001</c:v>
                </c:pt>
                <c:pt idx="219">
                  <c:v>1.000121</c:v>
                </c:pt>
                <c:pt idx="220">
                  <c:v>1.0003930000000001</c:v>
                </c:pt>
                <c:pt idx="221">
                  <c:v>1.0000899999999999</c:v>
                </c:pt>
                <c:pt idx="222">
                  <c:v>1.000216</c:v>
                </c:pt>
                <c:pt idx="223">
                  <c:v>0.99995999999999996</c:v>
                </c:pt>
                <c:pt idx="224">
                  <c:v>1.0003569999999999</c:v>
                </c:pt>
                <c:pt idx="225">
                  <c:v>1.0003359999999999</c:v>
                </c:pt>
                <c:pt idx="226">
                  <c:v>1.0001119999999999</c:v>
                </c:pt>
                <c:pt idx="227">
                  <c:v>0.99989300000000003</c:v>
                </c:pt>
                <c:pt idx="228">
                  <c:v>1.000105</c:v>
                </c:pt>
                <c:pt idx="229">
                  <c:v>0.999915</c:v>
                </c:pt>
                <c:pt idx="230">
                  <c:v>1.0000599999999999</c:v>
                </c:pt>
                <c:pt idx="231">
                  <c:v>1.000046</c:v>
                </c:pt>
                <c:pt idx="232">
                  <c:v>1.0001709999999999</c:v>
                </c:pt>
                <c:pt idx="233">
                  <c:v>0.99990999999999997</c:v>
                </c:pt>
                <c:pt idx="234">
                  <c:v>1.0001640000000001</c:v>
                </c:pt>
                <c:pt idx="235">
                  <c:v>1.0000089999999999</c:v>
                </c:pt>
                <c:pt idx="236">
                  <c:v>0.999946</c:v>
                </c:pt>
                <c:pt idx="237">
                  <c:v>1.0001720000000001</c:v>
                </c:pt>
                <c:pt idx="238">
                  <c:v>1.0002420000000001</c:v>
                </c:pt>
                <c:pt idx="239">
                  <c:v>0.99987199999999998</c:v>
                </c:pt>
                <c:pt idx="240">
                  <c:v>0.99987300000000001</c:v>
                </c:pt>
                <c:pt idx="241">
                  <c:v>0.99988699999999997</c:v>
                </c:pt>
                <c:pt idx="242">
                  <c:v>1.0000789999999999</c:v>
                </c:pt>
                <c:pt idx="243">
                  <c:v>0.99995199999999995</c:v>
                </c:pt>
                <c:pt idx="244">
                  <c:v>1.0000070000000001</c:v>
                </c:pt>
                <c:pt idx="245">
                  <c:v>1.0000640000000001</c:v>
                </c:pt>
                <c:pt idx="246">
                  <c:v>0.99977700000000003</c:v>
                </c:pt>
                <c:pt idx="247">
                  <c:v>1.0001610000000001</c:v>
                </c:pt>
                <c:pt idx="248">
                  <c:v>1.0001409999999999</c:v>
                </c:pt>
                <c:pt idx="249">
                  <c:v>1.000024</c:v>
                </c:pt>
                <c:pt idx="250">
                  <c:v>0.99972000000000005</c:v>
                </c:pt>
                <c:pt idx="251">
                  <c:v>0.99974799999999997</c:v>
                </c:pt>
                <c:pt idx="252">
                  <c:v>0.99975800000000004</c:v>
                </c:pt>
                <c:pt idx="253">
                  <c:v>0.99985599999999997</c:v>
                </c:pt>
                <c:pt idx="254">
                  <c:v>0.99996700000000005</c:v>
                </c:pt>
                <c:pt idx="255">
                  <c:v>1.0000340000000001</c:v>
                </c:pt>
                <c:pt idx="256">
                  <c:v>1.0000370000000001</c:v>
                </c:pt>
                <c:pt idx="257">
                  <c:v>1.000121</c:v>
                </c:pt>
                <c:pt idx="258">
                  <c:v>0.99984799999999996</c:v>
                </c:pt>
                <c:pt idx="259">
                  <c:v>0.99993799999999999</c:v>
                </c:pt>
                <c:pt idx="260">
                  <c:v>1.0000800000000001</c:v>
                </c:pt>
                <c:pt idx="261">
                  <c:v>0.99977199999999999</c:v>
                </c:pt>
                <c:pt idx="262">
                  <c:v>1.0001359999999999</c:v>
                </c:pt>
                <c:pt idx="263">
                  <c:v>0.999884</c:v>
                </c:pt>
                <c:pt idx="264">
                  <c:v>1.000041</c:v>
                </c:pt>
                <c:pt idx="265">
                  <c:v>0.99995199999999995</c:v>
                </c:pt>
                <c:pt idx="266">
                  <c:v>0.99988200000000005</c:v>
                </c:pt>
                <c:pt idx="267">
                  <c:v>0.999915</c:v>
                </c:pt>
                <c:pt idx="268">
                  <c:v>1.0000640000000001</c:v>
                </c:pt>
                <c:pt idx="269">
                  <c:v>0.99997499999999995</c:v>
                </c:pt>
                <c:pt idx="270">
                  <c:v>0.99993699999999996</c:v>
                </c:pt>
                <c:pt idx="271">
                  <c:v>0.99995400000000001</c:v>
                </c:pt>
                <c:pt idx="272">
                  <c:v>1.0001880000000001</c:v>
                </c:pt>
                <c:pt idx="273">
                  <c:v>1.0001139999999999</c:v>
                </c:pt>
                <c:pt idx="274">
                  <c:v>1.0000500000000001</c:v>
                </c:pt>
                <c:pt idx="275">
                  <c:v>1.000105</c:v>
                </c:pt>
                <c:pt idx="276">
                  <c:v>1.00013</c:v>
                </c:pt>
                <c:pt idx="277">
                  <c:v>1.0001389999999999</c:v>
                </c:pt>
                <c:pt idx="278">
                  <c:v>1.00014</c:v>
                </c:pt>
                <c:pt idx="279">
                  <c:v>1.0000869999999999</c:v>
                </c:pt>
                <c:pt idx="280">
                  <c:v>1.0000910000000001</c:v>
                </c:pt>
                <c:pt idx="281">
                  <c:v>1.0002340000000001</c:v>
                </c:pt>
                <c:pt idx="282">
                  <c:v>1.0001629999999999</c:v>
                </c:pt>
                <c:pt idx="283">
                  <c:v>1.0001169999999999</c:v>
                </c:pt>
                <c:pt idx="284">
                  <c:v>1.0001199999999999</c:v>
                </c:pt>
                <c:pt idx="285">
                  <c:v>1.0001199999999999</c:v>
                </c:pt>
                <c:pt idx="286">
                  <c:v>1.0001009999999999</c:v>
                </c:pt>
                <c:pt idx="287">
                  <c:v>1.000092</c:v>
                </c:pt>
                <c:pt idx="288">
                  <c:v>1.0000929999999999</c:v>
                </c:pt>
                <c:pt idx="289">
                  <c:v>1.000178</c:v>
                </c:pt>
                <c:pt idx="290">
                  <c:v>1.000173</c:v>
                </c:pt>
                <c:pt idx="291">
                  <c:v>1.0003029999999999</c:v>
                </c:pt>
                <c:pt idx="292">
                  <c:v>1.0004200000000001</c:v>
                </c:pt>
                <c:pt idx="293">
                  <c:v>1.000343</c:v>
                </c:pt>
                <c:pt idx="294">
                  <c:v>1.0003230000000001</c:v>
                </c:pt>
                <c:pt idx="295">
                  <c:v>1.00034</c:v>
                </c:pt>
                <c:pt idx="296">
                  <c:v>1.000213</c:v>
                </c:pt>
                <c:pt idx="297">
                  <c:v>1.000275</c:v>
                </c:pt>
                <c:pt idx="298">
                  <c:v>1.000095</c:v>
                </c:pt>
                <c:pt idx="299">
                  <c:v>1.0001370000000001</c:v>
                </c:pt>
                <c:pt idx="300">
                  <c:v>1.0001450000000001</c:v>
                </c:pt>
                <c:pt idx="301">
                  <c:v>1.000175</c:v>
                </c:pt>
                <c:pt idx="302">
                  <c:v>1.000194</c:v>
                </c:pt>
                <c:pt idx="303">
                  <c:v>1.000194</c:v>
                </c:pt>
                <c:pt idx="304">
                  <c:v>1.0001720000000001</c:v>
                </c:pt>
                <c:pt idx="305">
                  <c:v>1.000048</c:v>
                </c:pt>
                <c:pt idx="306">
                  <c:v>1.000102</c:v>
                </c:pt>
                <c:pt idx="307">
                  <c:v>1.0001370000000001</c:v>
                </c:pt>
                <c:pt idx="308">
                  <c:v>1.000157</c:v>
                </c:pt>
                <c:pt idx="309">
                  <c:v>1.0000960000000001</c:v>
                </c:pt>
                <c:pt idx="310">
                  <c:v>1.0000519999999999</c:v>
                </c:pt>
                <c:pt idx="311">
                  <c:v>1.000097</c:v>
                </c:pt>
                <c:pt idx="312">
                  <c:v>1.000165</c:v>
                </c:pt>
                <c:pt idx="313">
                  <c:v>1.0001070000000001</c:v>
                </c:pt>
                <c:pt idx="314">
                  <c:v>1.0001059999999999</c:v>
                </c:pt>
                <c:pt idx="315">
                  <c:v>1.0001580000000001</c:v>
                </c:pt>
                <c:pt idx="316">
                  <c:v>1.000256</c:v>
                </c:pt>
                <c:pt idx="317">
                  <c:v>1.000305</c:v>
                </c:pt>
                <c:pt idx="318">
                  <c:v>1.000224</c:v>
                </c:pt>
                <c:pt idx="319">
                  <c:v>1.0002120000000001</c:v>
                </c:pt>
                <c:pt idx="320">
                  <c:v>1.0001899999999999</c:v>
                </c:pt>
                <c:pt idx="321">
                  <c:v>1.0001819999999999</c:v>
                </c:pt>
                <c:pt idx="322">
                  <c:v>1.000189</c:v>
                </c:pt>
                <c:pt idx="323">
                  <c:v>1.000065</c:v>
                </c:pt>
                <c:pt idx="324">
                  <c:v>1.0000439999999999</c:v>
                </c:pt>
                <c:pt idx="325">
                  <c:v>1.0001359999999999</c:v>
                </c:pt>
                <c:pt idx="326">
                  <c:v>1.0001530000000001</c:v>
                </c:pt>
                <c:pt idx="327">
                  <c:v>1.000159</c:v>
                </c:pt>
                <c:pt idx="328">
                  <c:v>1.000149</c:v>
                </c:pt>
                <c:pt idx="329">
                  <c:v>1.000148</c:v>
                </c:pt>
                <c:pt idx="330">
                  <c:v>1.0001979999999999</c:v>
                </c:pt>
                <c:pt idx="331">
                  <c:v>1.00021</c:v>
                </c:pt>
                <c:pt idx="332">
                  <c:v>1.000159</c:v>
                </c:pt>
                <c:pt idx="333">
                  <c:v>1.0001409999999999</c:v>
                </c:pt>
                <c:pt idx="334">
                  <c:v>1.0001960000000001</c:v>
                </c:pt>
                <c:pt idx="335">
                  <c:v>1.000203</c:v>
                </c:pt>
                <c:pt idx="336">
                  <c:v>1.000175</c:v>
                </c:pt>
                <c:pt idx="337">
                  <c:v>1.0002549999999999</c:v>
                </c:pt>
                <c:pt idx="338">
                  <c:v>1.0002770000000001</c:v>
                </c:pt>
                <c:pt idx="339">
                  <c:v>1.0002629999999999</c:v>
                </c:pt>
                <c:pt idx="340">
                  <c:v>1.0002249999999999</c:v>
                </c:pt>
                <c:pt idx="341">
                  <c:v>1.000346</c:v>
                </c:pt>
                <c:pt idx="342">
                  <c:v>1.000346</c:v>
                </c:pt>
                <c:pt idx="343">
                  <c:v>1.0002519999999999</c:v>
                </c:pt>
                <c:pt idx="344">
                  <c:v>0.99998500000000001</c:v>
                </c:pt>
                <c:pt idx="345">
                  <c:v>1.0000789999999999</c:v>
                </c:pt>
                <c:pt idx="346">
                  <c:v>1.000048</c:v>
                </c:pt>
                <c:pt idx="347">
                  <c:v>1.000119</c:v>
                </c:pt>
                <c:pt idx="348">
                  <c:v>1.0001800000000001</c:v>
                </c:pt>
                <c:pt idx="349">
                  <c:v>1.0001640000000001</c:v>
                </c:pt>
                <c:pt idx="350">
                  <c:v>1.000165</c:v>
                </c:pt>
                <c:pt idx="351">
                  <c:v>1.000515</c:v>
                </c:pt>
                <c:pt idx="352">
                  <c:v>1.000043</c:v>
                </c:pt>
                <c:pt idx="353">
                  <c:v>0.99863400000000002</c:v>
                </c:pt>
                <c:pt idx="354">
                  <c:v>0.99781399999999998</c:v>
                </c:pt>
                <c:pt idx="355">
                  <c:v>0.99819800000000003</c:v>
                </c:pt>
                <c:pt idx="356">
                  <c:v>0.99861699999999998</c:v>
                </c:pt>
                <c:pt idx="357">
                  <c:v>0.99875000000000003</c:v>
                </c:pt>
                <c:pt idx="358">
                  <c:v>0.99902100000000005</c:v>
                </c:pt>
                <c:pt idx="359">
                  <c:v>0.99913600000000002</c:v>
                </c:pt>
                <c:pt idx="360">
                  <c:v>0.99923099999999998</c:v>
                </c:pt>
                <c:pt idx="361">
                  <c:v>0.99939599999999995</c:v>
                </c:pt>
                <c:pt idx="362">
                  <c:v>0.99917500000000004</c:v>
                </c:pt>
                <c:pt idx="363">
                  <c:v>0.99908699999999995</c:v>
                </c:pt>
                <c:pt idx="364">
                  <c:v>0.99899499999999997</c:v>
                </c:pt>
                <c:pt idx="365">
                  <c:v>0.999081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32-4108-A363-2C8ABBEAC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87392216"/>
        <c:axId val="387390904"/>
      </c:lineChart>
      <c:dateAx>
        <c:axId val="387392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rgbClr val="FF0000"/>
                    </a:solidFill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50307714294844708"/>
              <c:y val="0.86768707873261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90904"/>
        <c:crosses val="autoZero"/>
        <c:auto val="1"/>
        <c:lblOffset val="100"/>
        <c:baseTimeUnit val="days"/>
      </c:dateAx>
      <c:valAx>
        <c:axId val="387390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rgbClr val="FF0000"/>
                    </a:solidFill>
                  </a:rPr>
                  <a:t>SHARE PRICE</a:t>
                </a:r>
              </a:p>
            </c:rich>
          </c:tx>
          <c:layout>
            <c:manualLayout>
              <c:xMode val="edge"/>
              <c:yMode val="edge"/>
              <c:x val="5.9780814038127633E-3"/>
              <c:y val="0.33179124133561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9221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tx1"/>
      </a:solidFill>
      <a:prstDash val="solid"/>
      <a:miter lim="800000"/>
    </a:ln>
    <a:effectLst>
      <a:glow rad="63500">
        <a:schemeClr val="accent3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600075</xdr:colOff>
      <xdr:row>0</xdr:row>
      <xdr:rowOff>0</xdr:rowOff>
    </xdr:from>
    <xdr:to>
      <xdr:col>50</xdr:col>
      <xdr:colOff>57150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47FF86-D1F2-C525-1A12-9162F58C5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66675</xdr:colOff>
      <xdr:row>15</xdr:row>
      <xdr:rowOff>23812</xdr:rowOff>
    </xdr:from>
    <xdr:to>
      <xdr:col>50</xdr:col>
      <xdr:colOff>133350</xdr:colOff>
      <xdr:row>29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0A7168-8213-2DE4-75B5-622277F73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77376</xdr:colOff>
      <xdr:row>3</xdr:row>
      <xdr:rowOff>67850</xdr:rowOff>
    </xdr:from>
    <xdr:to>
      <xdr:col>16</xdr:col>
      <xdr:colOff>834776</xdr:colOff>
      <xdr:row>22</xdr:row>
      <xdr:rowOff>149830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CC1F39-9554-416E-A8D5-5A55C7E45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CC41-DA88-4A22-A5AE-F4136CBEEE8F}">
  <dimension ref="A1:AE367"/>
  <sheetViews>
    <sheetView workbookViewId="0">
      <selection activeCell="H17" sqref="H17"/>
    </sheetView>
  </sheetViews>
  <sheetFormatPr defaultRowHeight="15" x14ac:dyDescent="0.25"/>
  <cols>
    <col min="1" max="1" width="12.140625" customWidth="1"/>
    <col min="2" max="2" width="14.140625" bestFit="1" customWidth="1"/>
    <col min="3" max="3" width="13.28515625" bestFit="1" customWidth="1"/>
    <col min="4" max="4" width="12.7109375" bestFit="1" customWidth="1"/>
    <col min="5" max="5" width="14.140625" bestFit="1" customWidth="1"/>
    <col min="6" max="6" width="17.7109375" bestFit="1" customWidth="1"/>
    <col min="7" max="7" width="16.28515625" bestFit="1" customWidth="1"/>
    <col min="8" max="8" width="12.42578125" bestFit="1" customWidth="1"/>
    <col min="9" max="10" width="12" bestFit="1" customWidth="1"/>
    <col min="11" max="11" width="12.42578125" bestFit="1" customWidth="1"/>
    <col min="12" max="12" width="16" bestFit="1" customWidth="1"/>
    <col min="13" max="13" width="13.28515625" customWidth="1"/>
    <col min="14" max="14" width="12.140625" bestFit="1" customWidth="1"/>
    <col min="15" max="15" width="11.28515625" bestFit="1" customWidth="1"/>
    <col min="16" max="16" width="10.85546875" bestFit="1" customWidth="1"/>
    <col min="17" max="17" width="12.140625" bestFit="1" customWidth="1"/>
    <col min="18" max="18" width="15.7109375" bestFit="1" customWidth="1"/>
    <col min="19" max="19" width="14.42578125" bestFit="1" customWidth="1"/>
    <col min="20" max="20" width="13.85546875" bestFit="1" customWidth="1"/>
    <col min="21" max="21" width="12.85546875" bestFit="1" customWidth="1"/>
    <col min="22" max="22" width="12.42578125" bestFit="1" customWidth="1"/>
    <col min="23" max="23" width="13.85546875" bestFit="1" customWidth="1"/>
    <col min="24" max="24" width="17.42578125" bestFit="1" customWidth="1"/>
    <col min="25" max="25" width="16" bestFit="1" customWidth="1"/>
    <col min="26" max="26" width="13.7109375" bestFit="1" customWidth="1"/>
    <col min="27" max="27" width="12.7109375" bestFit="1" customWidth="1"/>
    <col min="28" max="28" width="12.28515625" bestFit="1" customWidth="1"/>
    <col min="29" max="29" width="13.7109375" bestFit="1" customWidth="1"/>
    <col min="30" max="30" width="17.28515625" bestFit="1" customWidth="1"/>
    <col min="31" max="31" width="15.855468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>
        <v>44522</v>
      </c>
      <c r="B2">
        <v>4266.5092770000001</v>
      </c>
      <c r="C2">
        <v>4302.0229490000002</v>
      </c>
      <c r="D2">
        <v>4033.5722660000001</v>
      </c>
      <c r="E2">
        <v>4088.4577640000002</v>
      </c>
      <c r="F2">
        <v>4088.4577640000002</v>
      </c>
      <c r="G2">
        <v>19752218877</v>
      </c>
      <c r="H2">
        <v>58706.847655999998</v>
      </c>
      <c r="I2">
        <v>59266.359375</v>
      </c>
      <c r="J2">
        <v>55679.839844000002</v>
      </c>
      <c r="K2">
        <v>56289.289062999997</v>
      </c>
      <c r="L2">
        <v>56289.289062999997</v>
      </c>
      <c r="M2">
        <v>35036121783</v>
      </c>
      <c r="N2">
        <v>1.001288</v>
      </c>
      <c r="O2">
        <v>1.001986</v>
      </c>
      <c r="P2">
        <v>0.99807999999999997</v>
      </c>
      <c r="Q2">
        <v>1.000451</v>
      </c>
      <c r="R2">
        <v>1.000451</v>
      </c>
      <c r="S2">
        <v>79375135623</v>
      </c>
      <c r="T2">
        <v>1.000046</v>
      </c>
      <c r="U2">
        <v>1.001978</v>
      </c>
      <c r="V2">
        <v>0.99804599999999999</v>
      </c>
      <c r="W2">
        <v>0.99996200000000002</v>
      </c>
      <c r="X2">
        <v>0.99996200000000002</v>
      </c>
      <c r="Y2">
        <v>5353790196</v>
      </c>
      <c r="Z2">
        <v>1.8382909999999999</v>
      </c>
      <c r="AA2">
        <v>1.8398110000000001</v>
      </c>
      <c r="AB2">
        <v>1.75983</v>
      </c>
      <c r="AC2">
        <v>1.7765550000000001</v>
      </c>
      <c r="AD2">
        <v>1.7765550000000001</v>
      </c>
      <c r="AE2">
        <v>1581033619</v>
      </c>
    </row>
    <row r="3" spans="1:31" x14ac:dyDescent="0.25">
      <c r="A3" s="1">
        <v>44523</v>
      </c>
      <c r="B3">
        <v>4089.6804200000001</v>
      </c>
      <c r="C3">
        <v>4385.4833980000003</v>
      </c>
      <c r="D3">
        <v>4069.7666020000001</v>
      </c>
      <c r="E3">
        <v>4340.763672</v>
      </c>
      <c r="F3">
        <v>4340.763672</v>
      </c>
      <c r="G3">
        <v>22133497059</v>
      </c>
      <c r="H3">
        <v>56304.554687999997</v>
      </c>
      <c r="I3">
        <v>57875.515625</v>
      </c>
      <c r="J3">
        <v>55632.761719000002</v>
      </c>
      <c r="K3">
        <v>57569.074219000002</v>
      </c>
      <c r="L3">
        <v>57569.074219000002</v>
      </c>
      <c r="M3">
        <v>37485803899</v>
      </c>
      <c r="N3">
        <v>1.000507</v>
      </c>
      <c r="O3">
        <v>1.0025139999999999</v>
      </c>
      <c r="P3">
        <v>0.99804400000000004</v>
      </c>
      <c r="Q3">
        <v>1.0001249999999999</v>
      </c>
      <c r="R3">
        <v>1.0001249999999999</v>
      </c>
      <c r="S3">
        <v>84196469142</v>
      </c>
      <c r="T3">
        <v>1.000076</v>
      </c>
      <c r="U3">
        <v>1.001997</v>
      </c>
      <c r="V3">
        <v>0.99801300000000004</v>
      </c>
      <c r="W3">
        <v>1.0001150000000001</v>
      </c>
      <c r="X3">
        <v>1.0001150000000001</v>
      </c>
      <c r="Y3">
        <v>4805345753</v>
      </c>
      <c r="Z3">
        <v>1.7782830000000001</v>
      </c>
      <c r="AA3">
        <v>1.8176300000000001</v>
      </c>
      <c r="AB3">
        <v>1.7451270000000001</v>
      </c>
      <c r="AC3">
        <v>1.7505029999999999</v>
      </c>
      <c r="AD3">
        <v>1.7505029999999999</v>
      </c>
      <c r="AE3">
        <v>1765447419</v>
      </c>
    </row>
    <row r="4" spans="1:31" x14ac:dyDescent="0.25">
      <c r="A4" s="1">
        <v>44524</v>
      </c>
      <c r="B4">
        <v>4340.0361329999996</v>
      </c>
      <c r="C4">
        <v>4376.8759769999997</v>
      </c>
      <c r="D4">
        <v>4176.1835940000001</v>
      </c>
      <c r="E4">
        <v>4239.9814450000003</v>
      </c>
      <c r="F4">
        <v>4239.9814450000003</v>
      </c>
      <c r="G4">
        <v>21838037128</v>
      </c>
      <c r="H4">
        <v>57565.851562999997</v>
      </c>
      <c r="I4">
        <v>57803.066405999998</v>
      </c>
      <c r="J4">
        <v>55964.222655999998</v>
      </c>
      <c r="K4">
        <v>56280.425780999998</v>
      </c>
      <c r="L4">
        <v>56280.425780999998</v>
      </c>
      <c r="M4">
        <v>36635566789</v>
      </c>
      <c r="N4">
        <v>0.99998600000000004</v>
      </c>
      <c r="O4">
        <v>1.001992</v>
      </c>
      <c r="P4">
        <v>0.99804700000000002</v>
      </c>
      <c r="Q4">
        <v>1.0006969999999999</v>
      </c>
      <c r="R4">
        <v>1.0006969999999999</v>
      </c>
      <c r="S4">
        <v>84317323264</v>
      </c>
      <c r="T4">
        <v>0.99977199999999999</v>
      </c>
      <c r="U4">
        <v>1.0019880000000001</v>
      </c>
      <c r="V4">
        <v>0.998058</v>
      </c>
      <c r="W4">
        <v>1.000707</v>
      </c>
      <c r="X4">
        <v>1.000707</v>
      </c>
      <c r="Y4">
        <v>4771592674</v>
      </c>
      <c r="Z4">
        <v>1.7512460000000001</v>
      </c>
      <c r="AA4">
        <v>1.7523880000000001</v>
      </c>
      <c r="AB4">
        <v>1.594203</v>
      </c>
      <c r="AC4">
        <v>1.686423</v>
      </c>
      <c r="AD4">
        <v>1.686423</v>
      </c>
      <c r="AE4">
        <v>1983587289</v>
      </c>
    </row>
    <row r="5" spans="1:31" x14ac:dyDescent="0.25">
      <c r="A5" s="1">
        <v>44525</v>
      </c>
      <c r="B5">
        <v>4271.3945309999999</v>
      </c>
      <c r="C5">
        <v>4550.5180659999996</v>
      </c>
      <c r="D5">
        <v>4249.7744140000004</v>
      </c>
      <c r="E5">
        <v>4274.7431640000004</v>
      </c>
      <c r="F5">
        <v>4274.7431640000004</v>
      </c>
      <c r="G5">
        <v>18705358318</v>
      </c>
      <c r="H5">
        <v>57165.417969000002</v>
      </c>
      <c r="I5">
        <v>59367.96875</v>
      </c>
      <c r="J5">
        <v>57146.683594000002</v>
      </c>
      <c r="K5">
        <v>57274.679687999997</v>
      </c>
      <c r="L5">
        <v>57274.679687999997</v>
      </c>
      <c r="M5">
        <v>34284016248</v>
      </c>
      <c r="N5">
        <v>0.99948300000000001</v>
      </c>
      <c r="O5">
        <v>1.0019899999999999</v>
      </c>
      <c r="P5">
        <v>0.99829299999999999</v>
      </c>
      <c r="Q5">
        <v>0.99960099999999996</v>
      </c>
      <c r="R5">
        <v>0.99960099999999996</v>
      </c>
      <c r="S5">
        <v>91394294449</v>
      </c>
      <c r="T5">
        <v>0.99939199999999995</v>
      </c>
      <c r="U5">
        <v>1.0019910000000001</v>
      </c>
      <c r="V5">
        <v>0.99818499999999999</v>
      </c>
      <c r="W5">
        <v>1.000332</v>
      </c>
      <c r="X5">
        <v>1.000332</v>
      </c>
      <c r="Y5">
        <v>4514614915</v>
      </c>
      <c r="Z5">
        <v>1.6672610000000001</v>
      </c>
      <c r="AA5">
        <v>1.7488669999999999</v>
      </c>
      <c r="AB5">
        <v>1.6208849999999999</v>
      </c>
      <c r="AC5">
        <v>1.6513450000000001</v>
      </c>
      <c r="AD5">
        <v>1.6513450000000001</v>
      </c>
      <c r="AE5">
        <v>3072612884</v>
      </c>
    </row>
    <row r="6" spans="1:31" x14ac:dyDescent="0.25">
      <c r="A6" s="1">
        <v>44526</v>
      </c>
      <c r="B6">
        <v>4522.2089839999999</v>
      </c>
      <c r="C6">
        <v>4550.8422849999997</v>
      </c>
      <c r="D6">
        <v>3933.5065920000002</v>
      </c>
      <c r="E6">
        <v>4030.9089359999998</v>
      </c>
      <c r="F6">
        <v>4030.9089359999998</v>
      </c>
      <c r="G6">
        <v>26281795488</v>
      </c>
      <c r="H6">
        <v>58960.285155999998</v>
      </c>
      <c r="I6">
        <v>59183.480469000002</v>
      </c>
      <c r="J6">
        <v>53569.765625</v>
      </c>
      <c r="K6">
        <v>53569.765625</v>
      </c>
      <c r="L6">
        <v>53569.765625</v>
      </c>
      <c r="M6">
        <v>41810748221</v>
      </c>
      <c r="N6">
        <v>1.0009859999999999</v>
      </c>
      <c r="O6">
        <v>1.001981</v>
      </c>
      <c r="P6">
        <v>0.99826099999999995</v>
      </c>
      <c r="Q6">
        <v>1.000367</v>
      </c>
      <c r="R6">
        <v>1.000367</v>
      </c>
      <c r="S6">
        <v>106740129710</v>
      </c>
      <c r="T6">
        <v>1.00065</v>
      </c>
      <c r="U6">
        <v>1.001981</v>
      </c>
      <c r="V6">
        <v>0.99815299999999996</v>
      </c>
      <c r="W6">
        <v>0.99984300000000004</v>
      </c>
      <c r="X6">
        <v>0.99984300000000004</v>
      </c>
      <c r="Y6">
        <v>6592288363</v>
      </c>
      <c r="Z6">
        <v>1.676388</v>
      </c>
      <c r="AA6">
        <v>1.68544</v>
      </c>
      <c r="AB6">
        <v>1.502046</v>
      </c>
      <c r="AC6">
        <v>1.5284199999999999</v>
      </c>
      <c r="AD6">
        <v>1.5284199999999999</v>
      </c>
      <c r="AE6">
        <v>3011271612</v>
      </c>
    </row>
    <row r="7" spans="1:31" x14ac:dyDescent="0.25">
      <c r="A7" s="1">
        <v>44527</v>
      </c>
      <c r="B7">
        <v>4042.9990229999999</v>
      </c>
      <c r="C7">
        <v>4187.6840819999998</v>
      </c>
      <c r="D7">
        <v>4033.5139159999999</v>
      </c>
      <c r="E7">
        <v>4096.9121089999999</v>
      </c>
      <c r="F7">
        <v>4096.9121089999999</v>
      </c>
      <c r="G7">
        <v>16515693874</v>
      </c>
      <c r="H7">
        <v>53736.429687999997</v>
      </c>
      <c r="I7">
        <v>55329.257812999997</v>
      </c>
      <c r="J7">
        <v>53668.355469000002</v>
      </c>
      <c r="K7">
        <v>54815.078125</v>
      </c>
      <c r="L7">
        <v>54815.078125</v>
      </c>
      <c r="M7">
        <v>30560857714</v>
      </c>
      <c r="N7">
        <v>1.0002869999999999</v>
      </c>
      <c r="O7">
        <v>1.0019990000000001</v>
      </c>
      <c r="P7">
        <v>0.998305</v>
      </c>
      <c r="Q7">
        <v>1.001099</v>
      </c>
      <c r="R7">
        <v>1.001099</v>
      </c>
      <c r="S7">
        <v>73666340601</v>
      </c>
      <c r="T7">
        <v>0.99978</v>
      </c>
      <c r="U7">
        <v>1.0019979999999999</v>
      </c>
      <c r="V7">
        <v>0.99803200000000003</v>
      </c>
      <c r="W7">
        <v>1.0015940000000001</v>
      </c>
      <c r="X7">
        <v>1.0015940000000001</v>
      </c>
      <c r="Y7">
        <v>3824221682</v>
      </c>
      <c r="Z7">
        <v>1.531957</v>
      </c>
      <c r="AA7">
        <v>1.585799</v>
      </c>
      <c r="AB7">
        <v>1.531957</v>
      </c>
      <c r="AC7">
        <v>1.5461180000000001</v>
      </c>
      <c r="AD7">
        <v>1.5461180000000001</v>
      </c>
      <c r="AE7">
        <v>1560548721</v>
      </c>
    </row>
    <row r="8" spans="1:31" x14ac:dyDescent="0.25">
      <c r="A8" s="1">
        <v>44528</v>
      </c>
      <c r="B8">
        <v>4101.6489259999998</v>
      </c>
      <c r="C8">
        <v>4297.9165039999998</v>
      </c>
      <c r="D8">
        <v>3989.969971</v>
      </c>
      <c r="E8">
        <v>4294.4536129999997</v>
      </c>
      <c r="F8">
        <v>4294.4536129999997</v>
      </c>
      <c r="G8">
        <v>15953126340</v>
      </c>
      <c r="H8">
        <v>54813.023437999997</v>
      </c>
      <c r="I8">
        <v>57393.84375</v>
      </c>
      <c r="J8">
        <v>53576.734375</v>
      </c>
      <c r="K8">
        <v>57248.457030999998</v>
      </c>
      <c r="L8">
        <v>57248.457030999998</v>
      </c>
      <c r="M8">
        <v>28116886357</v>
      </c>
      <c r="N8">
        <v>1.0012810000000001</v>
      </c>
      <c r="O8">
        <v>1.0019990000000001</v>
      </c>
      <c r="P8">
        <v>0.99853899999999995</v>
      </c>
      <c r="Q8">
        <v>1.0001249999999999</v>
      </c>
      <c r="R8">
        <v>1.0001249999999999</v>
      </c>
      <c r="S8">
        <v>73452340871</v>
      </c>
      <c r="T8">
        <v>1.001431</v>
      </c>
      <c r="U8">
        <v>1.0019769999999999</v>
      </c>
      <c r="V8">
        <v>0.99800999999999995</v>
      </c>
      <c r="W8">
        <v>0.99987499999999996</v>
      </c>
      <c r="X8">
        <v>0.99987499999999996</v>
      </c>
      <c r="Y8">
        <v>4387793390</v>
      </c>
      <c r="Z8">
        <v>1.546672</v>
      </c>
      <c r="AA8">
        <v>1.598509</v>
      </c>
      <c r="AB8">
        <v>1.4336180000000001</v>
      </c>
      <c r="AC8">
        <v>1.5928549999999999</v>
      </c>
      <c r="AD8">
        <v>1.5928549999999999</v>
      </c>
      <c r="AE8">
        <v>2236244253</v>
      </c>
    </row>
    <row r="9" spans="1:31" x14ac:dyDescent="0.25">
      <c r="A9" s="1">
        <v>44529</v>
      </c>
      <c r="B9">
        <v>4296.9467770000001</v>
      </c>
      <c r="C9">
        <v>4460.8486329999996</v>
      </c>
      <c r="D9">
        <v>4284.5048829999996</v>
      </c>
      <c r="E9">
        <v>4445.1049800000001</v>
      </c>
      <c r="F9">
        <v>4445.1049800000001</v>
      </c>
      <c r="G9">
        <v>19086475837</v>
      </c>
      <c r="H9">
        <v>57291.90625</v>
      </c>
      <c r="I9">
        <v>58872.878905999998</v>
      </c>
      <c r="J9">
        <v>56792.527344000002</v>
      </c>
      <c r="K9">
        <v>57806.566405999998</v>
      </c>
      <c r="L9">
        <v>57806.566405999998</v>
      </c>
      <c r="M9">
        <v>32370840356</v>
      </c>
      <c r="N9">
        <v>0.99992899999999996</v>
      </c>
      <c r="O9">
        <v>1.0019670000000001</v>
      </c>
      <c r="P9">
        <v>0.99810500000000002</v>
      </c>
      <c r="Q9">
        <v>1.000526</v>
      </c>
      <c r="R9">
        <v>1.000526</v>
      </c>
      <c r="S9">
        <v>73041134842</v>
      </c>
      <c r="T9">
        <v>0.99990400000000002</v>
      </c>
      <c r="U9">
        <v>1.0019579999999999</v>
      </c>
      <c r="V9">
        <v>0.99808300000000005</v>
      </c>
      <c r="W9">
        <v>1.000078</v>
      </c>
      <c r="X9">
        <v>1.000078</v>
      </c>
      <c r="Y9">
        <v>4339110918</v>
      </c>
      <c r="Z9">
        <v>1.5945009999999999</v>
      </c>
      <c r="AA9">
        <v>1.6361479999999999</v>
      </c>
      <c r="AB9">
        <v>1.5599179999999999</v>
      </c>
      <c r="AC9">
        <v>1.602508</v>
      </c>
      <c r="AD9">
        <v>1.602508</v>
      </c>
      <c r="AE9">
        <v>1801591216</v>
      </c>
    </row>
    <row r="10" spans="1:31" x14ac:dyDescent="0.25">
      <c r="A10" s="1">
        <v>44530</v>
      </c>
      <c r="B10">
        <v>4447.7680659999996</v>
      </c>
      <c r="C10">
        <v>4753.2661129999997</v>
      </c>
      <c r="D10">
        <v>4358.0742190000001</v>
      </c>
      <c r="E10">
        <v>4631.4790039999998</v>
      </c>
      <c r="F10">
        <v>4631.4790039999998</v>
      </c>
      <c r="G10">
        <v>28626354111</v>
      </c>
      <c r="H10">
        <v>57830.113280999998</v>
      </c>
      <c r="I10">
        <v>59113.402344000002</v>
      </c>
      <c r="J10">
        <v>56057.28125</v>
      </c>
      <c r="K10">
        <v>57005.425780999998</v>
      </c>
      <c r="L10">
        <v>57005.425780999998</v>
      </c>
      <c r="M10">
        <v>36708594618</v>
      </c>
      <c r="N10">
        <v>1.000583</v>
      </c>
      <c r="O10">
        <v>1.001925</v>
      </c>
      <c r="P10">
        <v>0.99842299999999995</v>
      </c>
      <c r="Q10">
        <v>1.000286</v>
      </c>
      <c r="R10">
        <v>1.000286</v>
      </c>
      <c r="S10">
        <v>87396693339</v>
      </c>
      <c r="T10">
        <v>0.99973500000000004</v>
      </c>
      <c r="U10">
        <v>1.001987</v>
      </c>
      <c r="V10">
        <v>0.99806499999999998</v>
      </c>
      <c r="W10">
        <v>0.99945600000000001</v>
      </c>
      <c r="X10">
        <v>0.99945600000000001</v>
      </c>
      <c r="Y10">
        <v>5698220779</v>
      </c>
      <c r="Z10">
        <v>1.6021019999999999</v>
      </c>
      <c r="AA10">
        <v>1.628403</v>
      </c>
      <c r="AB10">
        <v>1.5498430000000001</v>
      </c>
      <c r="AC10">
        <v>1.5549029999999999</v>
      </c>
      <c r="AD10">
        <v>1.5549029999999999</v>
      </c>
      <c r="AE10">
        <v>1814169292</v>
      </c>
    </row>
    <row r="11" spans="1:31" x14ac:dyDescent="0.25">
      <c r="A11" s="1">
        <v>44531</v>
      </c>
      <c r="B11">
        <v>4623.6796880000002</v>
      </c>
      <c r="C11">
        <v>4780.732422</v>
      </c>
      <c r="D11">
        <v>4530.2724609999996</v>
      </c>
      <c r="E11">
        <v>4586.9902339999999</v>
      </c>
      <c r="F11">
        <v>4586.9902339999999</v>
      </c>
      <c r="G11">
        <v>27634826695</v>
      </c>
      <c r="H11">
        <v>56907.964844000002</v>
      </c>
      <c r="I11">
        <v>59041.683594000002</v>
      </c>
      <c r="J11">
        <v>56553.082030999998</v>
      </c>
      <c r="K11">
        <v>57229.828125</v>
      </c>
      <c r="L11">
        <v>57229.828125</v>
      </c>
      <c r="M11">
        <v>36858195307</v>
      </c>
      <c r="N11">
        <v>1.0004489999999999</v>
      </c>
      <c r="O11">
        <v>1.001976</v>
      </c>
      <c r="P11">
        <v>0.99847300000000005</v>
      </c>
      <c r="Q11">
        <v>1.0002549999999999</v>
      </c>
      <c r="R11">
        <v>1.0002549999999999</v>
      </c>
      <c r="S11">
        <v>80908197091</v>
      </c>
      <c r="T11">
        <v>1.0002059999999999</v>
      </c>
      <c r="U11">
        <v>1.0019819999999999</v>
      </c>
      <c r="V11">
        <v>0.998031</v>
      </c>
      <c r="W11">
        <v>0.99959299999999995</v>
      </c>
      <c r="X11">
        <v>0.99959299999999995</v>
      </c>
      <c r="Y11">
        <v>4989445952</v>
      </c>
      <c r="Z11">
        <v>1.5528189999999999</v>
      </c>
      <c r="AA11">
        <v>1.6223879999999999</v>
      </c>
      <c r="AB11">
        <v>1.534562</v>
      </c>
      <c r="AC11">
        <v>1.5477129999999999</v>
      </c>
      <c r="AD11">
        <v>1.5477129999999999</v>
      </c>
      <c r="AE11">
        <v>1666236481</v>
      </c>
    </row>
    <row r="12" spans="1:31" x14ac:dyDescent="0.25">
      <c r="A12" s="1">
        <v>44532</v>
      </c>
      <c r="B12">
        <v>4586.3330079999996</v>
      </c>
      <c r="C12">
        <v>4628.919922</v>
      </c>
      <c r="D12">
        <v>4441.5078130000002</v>
      </c>
      <c r="E12">
        <v>4511.3022460000002</v>
      </c>
      <c r="F12">
        <v>4511.3022460000002</v>
      </c>
      <c r="G12">
        <v>21502671027</v>
      </c>
      <c r="H12">
        <v>57217.371094000002</v>
      </c>
      <c r="I12">
        <v>57349.234375</v>
      </c>
      <c r="J12">
        <v>55895.132812999997</v>
      </c>
      <c r="K12">
        <v>56477.816405999998</v>
      </c>
      <c r="L12">
        <v>56477.816405999998</v>
      </c>
      <c r="M12">
        <v>32379968686</v>
      </c>
      <c r="N12">
        <v>1.0002340000000001</v>
      </c>
      <c r="O12">
        <v>1.0019990000000001</v>
      </c>
      <c r="P12">
        <v>0.99817199999999995</v>
      </c>
      <c r="Q12">
        <v>1.0001739999999999</v>
      </c>
      <c r="R12">
        <v>1.0001739999999999</v>
      </c>
      <c r="S12">
        <v>77139535799</v>
      </c>
      <c r="T12">
        <v>0.99965999999999999</v>
      </c>
      <c r="U12">
        <v>1.0019990000000001</v>
      </c>
      <c r="V12">
        <v>0.998004</v>
      </c>
      <c r="W12">
        <v>0.99883900000000003</v>
      </c>
      <c r="X12">
        <v>0.99883900000000003</v>
      </c>
      <c r="Y12">
        <v>5089421584</v>
      </c>
      <c r="Z12">
        <v>1.547706</v>
      </c>
      <c r="AA12">
        <v>1.7568630000000001</v>
      </c>
      <c r="AB12">
        <v>1.5216449999999999</v>
      </c>
      <c r="AC12">
        <v>1.7153659999999999</v>
      </c>
      <c r="AD12">
        <v>1.7153659999999999</v>
      </c>
      <c r="AE12">
        <v>3716108059</v>
      </c>
    </row>
    <row r="13" spans="1:31" x14ac:dyDescent="0.25">
      <c r="A13" s="1">
        <v>44533</v>
      </c>
      <c r="B13">
        <v>4514.3559569999998</v>
      </c>
      <c r="C13">
        <v>4647.2890630000002</v>
      </c>
      <c r="D13">
        <v>4100.1455079999996</v>
      </c>
      <c r="E13">
        <v>4220.7060549999997</v>
      </c>
      <c r="F13">
        <v>4220.7060549999997</v>
      </c>
      <c r="G13">
        <v>25879591528</v>
      </c>
      <c r="H13">
        <v>56509.164062999997</v>
      </c>
      <c r="I13">
        <v>57482.167969000002</v>
      </c>
      <c r="J13">
        <v>52496.585937999997</v>
      </c>
      <c r="K13">
        <v>53598.246094000002</v>
      </c>
      <c r="L13">
        <v>53598.246094000002</v>
      </c>
      <c r="M13">
        <v>39789134215</v>
      </c>
      <c r="N13">
        <v>0.99999300000000002</v>
      </c>
      <c r="O13">
        <v>1.0019929999999999</v>
      </c>
      <c r="P13">
        <v>0.99844100000000002</v>
      </c>
      <c r="Q13">
        <v>1.0006170000000001</v>
      </c>
      <c r="R13">
        <v>1.0006170000000001</v>
      </c>
      <c r="S13">
        <v>92639344690</v>
      </c>
      <c r="T13">
        <v>0.99903200000000003</v>
      </c>
      <c r="U13">
        <v>1.0019720000000001</v>
      </c>
      <c r="V13">
        <v>0.99805500000000003</v>
      </c>
      <c r="W13">
        <v>1.000327</v>
      </c>
      <c r="X13">
        <v>1.000327</v>
      </c>
      <c r="Y13">
        <v>5879299772</v>
      </c>
      <c r="Z13">
        <v>1.7207190000000001</v>
      </c>
      <c r="AA13">
        <v>1.7285090000000001</v>
      </c>
      <c r="AB13">
        <v>1.532564</v>
      </c>
      <c r="AC13">
        <v>1.5565549999999999</v>
      </c>
      <c r="AD13">
        <v>1.5565549999999999</v>
      </c>
      <c r="AE13">
        <v>2675040145</v>
      </c>
    </row>
    <row r="14" spans="1:31" x14ac:dyDescent="0.25">
      <c r="A14" s="1">
        <v>44534</v>
      </c>
      <c r="B14">
        <v>4227.7622069999998</v>
      </c>
      <c r="C14">
        <v>4242.7255859999996</v>
      </c>
      <c r="D14">
        <v>3525.4941410000001</v>
      </c>
      <c r="E14">
        <v>4119.5874020000001</v>
      </c>
      <c r="F14">
        <v>4119.5874020000001</v>
      </c>
      <c r="G14">
        <v>38478999182</v>
      </c>
      <c r="H14">
        <v>53727.878905999998</v>
      </c>
      <c r="I14">
        <v>53904.679687999997</v>
      </c>
      <c r="J14">
        <v>42874.617187999997</v>
      </c>
      <c r="K14">
        <v>49200.703125</v>
      </c>
      <c r="L14">
        <v>49200.703125</v>
      </c>
      <c r="M14">
        <v>61385677469</v>
      </c>
      <c r="N14">
        <v>1.000505</v>
      </c>
      <c r="O14">
        <v>1.001997</v>
      </c>
      <c r="P14">
        <v>0.99876600000000004</v>
      </c>
      <c r="Q14">
        <v>1.0000070000000001</v>
      </c>
      <c r="R14">
        <v>1.0000070000000001</v>
      </c>
      <c r="S14">
        <v>138598008408</v>
      </c>
      <c r="T14">
        <v>1.0003169999999999</v>
      </c>
      <c r="U14">
        <v>1.0019610000000001</v>
      </c>
      <c r="V14">
        <v>0.99800900000000003</v>
      </c>
      <c r="W14">
        <v>0.99999400000000005</v>
      </c>
      <c r="X14">
        <v>0.99999400000000005</v>
      </c>
      <c r="Y14">
        <v>9498203241</v>
      </c>
      <c r="Z14">
        <v>1.558386</v>
      </c>
      <c r="AA14">
        <v>1.5586150000000001</v>
      </c>
      <c r="AB14">
        <v>1.2051240000000001</v>
      </c>
      <c r="AC14">
        <v>1.420706</v>
      </c>
      <c r="AD14">
        <v>1.420706</v>
      </c>
      <c r="AE14">
        <v>4076290725</v>
      </c>
    </row>
    <row r="15" spans="1:31" x14ac:dyDescent="0.25">
      <c r="A15" s="1">
        <v>44535</v>
      </c>
      <c r="B15">
        <v>4119.6289059999999</v>
      </c>
      <c r="C15">
        <v>4246.9233400000003</v>
      </c>
      <c r="D15">
        <v>4040.217529</v>
      </c>
      <c r="E15">
        <v>4198.3227539999998</v>
      </c>
      <c r="F15">
        <v>4198.3227539999998</v>
      </c>
      <c r="G15">
        <v>25533062707</v>
      </c>
      <c r="H15">
        <v>49201.519530999998</v>
      </c>
      <c r="I15">
        <v>49768.148437999997</v>
      </c>
      <c r="J15">
        <v>47857.496094000002</v>
      </c>
      <c r="K15">
        <v>49368.847655999998</v>
      </c>
      <c r="L15">
        <v>49368.847655999998</v>
      </c>
      <c r="M15">
        <v>37198201161</v>
      </c>
      <c r="N15">
        <v>0.999861</v>
      </c>
      <c r="O15">
        <v>1.001997</v>
      </c>
      <c r="P15">
        <v>0.99854699999999996</v>
      </c>
      <c r="Q15">
        <v>1.0006299999999999</v>
      </c>
      <c r="R15">
        <v>1.0006299999999999</v>
      </c>
      <c r="S15">
        <v>82054153191</v>
      </c>
      <c r="T15">
        <v>1.0001979999999999</v>
      </c>
      <c r="U15">
        <v>1.0019979999999999</v>
      </c>
      <c r="V15">
        <v>0.99800699999999998</v>
      </c>
      <c r="W15">
        <v>0.99871500000000002</v>
      </c>
      <c r="X15">
        <v>0.99871500000000002</v>
      </c>
      <c r="Y15">
        <v>5815739519</v>
      </c>
      <c r="Z15">
        <v>1.420609</v>
      </c>
      <c r="AA15">
        <v>1.4365730000000001</v>
      </c>
      <c r="AB15">
        <v>1.2905489999999999</v>
      </c>
      <c r="AC15">
        <v>1.3781049999999999</v>
      </c>
      <c r="AD15">
        <v>1.3781049999999999</v>
      </c>
      <c r="AE15">
        <v>3034823821</v>
      </c>
    </row>
    <row r="16" spans="1:31" x14ac:dyDescent="0.25">
      <c r="A16" s="1">
        <v>44536</v>
      </c>
      <c r="B16">
        <v>4199</v>
      </c>
      <c r="C16">
        <v>4375.5205079999996</v>
      </c>
      <c r="D16">
        <v>3930.8066410000001</v>
      </c>
      <c r="E16">
        <v>4358.7373049999997</v>
      </c>
      <c r="F16">
        <v>4358.7373049999997</v>
      </c>
      <c r="G16">
        <v>28229518513</v>
      </c>
      <c r="H16">
        <v>49413.480469000002</v>
      </c>
      <c r="I16">
        <v>50929.519530999998</v>
      </c>
      <c r="J16">
        <v>47281.035155999998</v>
      </c>
      <c r="K16">
        <v>50582.625</v>
      </c>
      <c r="L16">
        <v>50582.625</v>
      </c>
      <c r="M16">
        <v>37707308001</v>
      </c>
      <c r="N16">
        <v>1.000632</v>
      </c>
      <c r="O16">
        <v>1.001952</v>
      </c>
      <c r="P16">
        <v>0.99827200000000005</v>
      </c>
      <c r="Q16">
        <v>1.0013620000000001</v>
      </c>
      <c r="R16">
        <v>1.0013620000000001</v>
      </c>
      <c r="S16">
        <v>93691250219</v>
      </c>
      <c r="T16">
        <v>0.99877000000000005</v>
      </c>
      <c r="U16">
        <v>1.0019499999999999</v>
      </c>
      <c r="V16">
        <v>0.99800500000000003</v>
      </c>
      <c r="W16">
        <v>0.99952600000000003</v>
      </c>
      <c r="X16">
        <v>0.99952600000000003</v>
      </c>
      <c r="Y16">
        <v>7085836821</v>
      </c>
      <c r="Z16">
        <v>1.379189</v>
      </c>
      <c r="AA16">
        <v>1.4389940000000001</v>
      </c>
      <c r="AB16">
        <v>1.257868</v>
      </c>
      <c r="AC16">
        <v>1.4253929999999999</v>
      </c>
      <c r="AD16">
        <v>1.4253929999999999</v>
      </c>
      <c r="AE16">
        <v>2642050277</v>
      </c>
    </row>
    <row r="17" spans="1:31" x14ac:dyDescent="0.25">
      <c r="A17" s="1">
        <v>44537</v>
      </c>
      <c r="B17">
        <v>4358.5869140000004</v>
      </c>
      <c r="C17">
        <v>4428.5893550000001</v>
      </c>
      <c r="D17">
        <v>4264.3237300000001</v>
      </c>
      <c r="E17">
        <v>4315.0615230000003</v>
      </c>
      <c r="F17">
        <v>4315.0615230000003</v>
      </c>
      <c r="G17">
        <v>22366213354</v>
      </c>
      <c r="H17">
        <v>50581.828125</v>
      </c>
      <c r="I17">
        <v>51934.78125</v>
      </c>
      <c r="J17">
        <v>50175.808594000002</v>
      </c>
      <c r="K17">
        <v>50700.085937999997</v>
      </c>
      <c r="L17">
        <v>50700.085937999997</v>
      </c>
      <c r="M17">
        <v>33676814852</v>
      </c>
      <c r="N17">
        <v>1.0012399999999999</v>
      </c>
      <c r="O17">
        <v>1.0019940000000001</v>
      </c>
      <c r="P17">
        <v>0.99926800000000005</v>
      </c>
      <c r="Q17">
        <v>1.000972</v>
      </c>
      <c r="R17">
        <v>1.000972</v>
      </c>
      <c r="S17">
        <v>76247192218</v>
      </c>
      <c r="T17">
        <v>1.0002070000000001</v>
      </c>
      <c r="U17">
        <v>1.0019279999999999</v>
      </c>
      <c r="V17">
        <v>0.99801099999999998</v>
      </c>
      <c r="W17">
        <v>1.0000629999999999</v>
      </c>
      <c r="X17">
        <v>1.0000629999999999</v>
      </c>
      <c r="Y17">
        <v>4621758475</v>
      </c>
      <c r="Z17">
        <v>1.423189</v>
      </c>
      <c r="AA17">
        <v>1.4775480000000001</v>
      </c>
      <c r="AB17">
        <v>1.370552</v>
      </c>
      <c r="AC17">
        <v>1.3819410000000001</v>
      </c>
      <c r="AD17">
        <v>1.3819410000000001</v>
      </c>
      <c r="AE17">
        <v>2210387832</v>
      </c>
    </row>
    <row r="18" spans="1:31" x14ac:dyDescent="0.25">
      <c r="A18" s="1">
        <v>44538</v>
      </c>
      <c r="B18">
        <v>4311.6743159999996</v>
      </c>
      <c r="C18">
        <v>4453.1123049999997</v>
      </c>
      <c r="D18">
        <v>4234.5375979999999</v>
      </c>
      <c r="E18">
        <v>4439.3579099999997</v>
      </c>
      <c r="F18">
        <v>4439.3579099999997</v>
      </c>
      <c r="G18">
        <v>18704315119</v>
      </c>
      <c r="H18">
        <v>50667.648437999997</v>
      </c>
      <c r="I18">
        <v>51171.375</v>
      </c>
      <c r="J18">
        <v>48765.988280999998</v>
      </c>
      <c r="K18">
        <v>50504.796875</v>
      </c>
      <c r="L18">
        <v>50504.796875</v>
      </c>
      <c r="M18">
        <v>28479699446</v>
      </c>
      <c r="N18">
        <v>1.0009410000000001</v>
      </c>
      <c r="O18">
        <v>1.0019849999999999</v>
      </c>
      <c r="P18">
        <v>0.99801300000000004</v>
      </c>
      <c r="Q18">
        <v>0.99936599999999998</v>
      </c>
      <c r="R18">
        <v>0.99936599999999998</v>
      </c>
      <c r="S18">
        <v>69621457268</v>
      </c>
      <c r="T18">
        <v>1.00007</v>
      </c>
      <c r="U18">
        <v>1.001887</v>
      </c>
      <c r="V18">
        <v>0.99808300000000005</v>
      </c>
      <c r="W18">
        <v>0.99991300000000005</v>
      </c>
      <c r="X18">
        <v>0.99991300000000005</v>
      </c>
      <c r="Y18">
        <v>4169038670</v>
      </c>
      <c r="Z18">
        <v>1.3809389999999999</v>
      </c>
      <c r="AA18">
        <v>1.4236880000000001</v>
      </c>
      <c r="AB18">
        <v>1.3435170000000001</v>
      </c>
      <c r="AC18">
        <v>1.3970739999999999</v>
      </c>
      <c r="AD18">
        <v>1.3970739999999999</v>
      </c>
      <c r="AE18">
        <v>1764297116</v>
      </c>
    </row>
    <row r="19" spans="1:31" x14ac:dyDescent="0.25">
      <c r="A19" s="1">
        <v>44539</v>
      </c>
      <c r="B19">
        <v>4433.0249020000001</v>
      </c>
      <c r="C19">
        <v>4482.3139650000003</v>
      </c>
      <c r="D19">
        <v>4078.8442380000001</v>
      </c>
      <c r="E19">
        <v>4119.8159180000002</v>
      </c>
      <c r="F19">
        <v>4119.8159180000002</v>
      </c>
      <c r="G19">
        <v>22296131874</v>
      </c>
      <c r="H19">
        <v>50450.082030999998</v>
      </c>
      <c r="I19">
        <v>50797.164062999997</v>
      </c>
      <c r="J19">
        <v>47358.351562999997</v>
      </c>
      <c r="K19">
        <v>47672.121094000002</v>
      </c>
      <c r="L19">
        <v>47672.121094000002</v>
      </c>
      <c r="M19">
        <v>29603577251</v>
      </c>
      <c r="N19">
        <v>0.99897000000000002</v>
      </c>
      <c r="O19">
        <v>1.001976</v>
      </c>
      <c r="P19">
        <v>0.99813799999999997</v>
      </c>
      <c r="Q19">
        <v>1.000882</v>
      </c>
      <c r="R19">
        <v>1.000882</v>
      </c>
      <c r="S19">
        <v>69831553004</v>
      </c>
      <c r="T19">
        <v>0.99890800000000002</v>
      </c>
      <c r="U19">
        <v>1.001989</v>
      </c>
      <c r="V19">
        <v>0.998058</v>
      </c>
      <c r="W19">
        <v>1.0005269999999999</v>
      </c>
      <c r="X19">
        <v>1.0005269999999999</v>
      </c>
      <c r="Y19">
        <v>5294556413</v>
      </c>
      <c r="Z19">
        <v>1.3937390000000001</v>
      </c>
      <c r="AA19">
        <v>1.4078850000000001</v>
      </c>
      <c r="AB19">
        <v>1.29044</v>
      </c>
      <c r="AC19">
        <v>1.29044</v>
      </c>
      <c r="AD19">
        <v>1.29044</v>
      </c>
      <c r="AE19">
        <v>1670588001</v>
      </c>
    </row>
    <row r="20" spans="1:31" x14ac:dyDescent="0.25">
      <c r="A20" s="1">
        <v>44540</v>
      </c>
      <c r="B20">
        <v>4113.5883789999998</v>
      </c>
      <c r="C20">
        <v>4227.1118159999996</v>
      </c>
      <c r="D20">
        <v>3897.767578</v>
      </c>
      <c r="E20">
        <v>3908.4960940000001</v>
      </c>
      <c r="F20">
        <v>3908.4960940000001</v>
      </c>
      <c r="G20">
        <v>28014595631</v>
      </c>
      <c r="H20">
        <v>47642.144530999998</v>
      </c>
      <c r="I20">
        <v>50015.253905999998</v>
      </c>
      <c r="J20">
        <v>47023.699219000002</v>
      </c>
      <c r="K20">
        <v>47243.304687999997</v>
      </c>
      <c r="L20">
        <v>47243.304687999997</v>
      </c>
      <c r="M20">
        <v>30966005122</v>
      </c>
      <c r="N20">
        <v>1.000591</v>
      </c>
      <c r="O20">
        <v>1.0019849999999999</v>
      </c>
      <c r="P20">
        <v>0.99802500000000005</v>
      </c>
      <c r="Q20">
        <v>1.0017400000000001</v>
      </c>
      <c r="R20">
        <v>1.0017400000000001</v>
      </c>
      <c r="S20">
        <v>68959994142</v>
      </c>
      <c r="T20">
        <v>1.0002629999999999</v>
      </c>
      <c r="U20">
        <v>1.0019940000000001</v>
      </c>
      <c r="V20">
        <v>0.99803399999999998</v>
      </c>
      <c r="W20">
        <v>1.0012160000000001</v>
      </c>
      <c r="X20">
        <v>1.0012160000000001</v>
      </c>
      <c r="Y20">
        <v>5667174420</v>
      </c>
      <c r="Z20">
        <v>1.2917529999999999</v>
      </c>
      <c r="AA20">
        <v>1.331853</v>
      </c>
      <c r="AB20">
        <v>1.210024</v>
      </c>
      <c r="AC20">
        <v>1.211689</v>
      </c>
      <c r="AD20">
        <v>1.211689</v>
      </c>
      <c r="AE20">
        <v>1721213997</v>
      </c>
    </row>
    <row r="21" spans="1:31" x14ac:dyDescent="0.25">
      <c r="A21" s="1">
        <v>44541</v>
      </c>
      <c r="B21">
        <v>3909.6677249999998</v>
      </c>
      <c r="C21">
        <v>4095.6484380000002</v>
      </c>
      <c r="D21">
        <v>3846.054443</v>
      </c>
      <c r="E21">
        <v>4084.452393</v>
      </c>
      <c r="F21">
        <v>4084.452393</v>
      </c>
      <c r="G21">
        <v>19131502454</v>
      </c>
      <c r="H21">
        <v>47264.632812999997</v>
      </c>
      <c r="I21">
        <v>49458.210937999997</v>
      </c>
      <c r="J21">
        <v>46942.347655999998</v>
      </c>
      <c r="K21">
        <v>49362.507812999997</v>
      </c>
      <c r="L21">
        <v>49362.507812999997</v>
      </c>
      <c r="M21">
        <v>25775869261</v>
      </c>
      <c r="N21">
        <v>1.001641</v>
      </c>
      <c r="O21">
        <v>1.0019960000000001</v>
      </c>
      <c r="P21">
        <v>0.99804599999999999</v>
      </c>
      <c r="Q21">
        <v>1.000556</v>
      </c>
      <c r="R21">
        <v>1.000556</v>
      </c>
      <c r="S21">
        <v>57132834419</v>
      </c>
      <c r="T21">
        <v>1.0010730000000001</v>
      </c>
      <c r="U21">
        <v>1.0019439999999999</v>
      </c>
      <c r="V21">
        <v>0.998004</v>
      </c>
      <c r="W21">
        <v>1.0001720000000001</v>
      </c>
      <c r="X21">
        <v>1.0001720000000001</v>
      </c>
      <c r="Y21">
        <v>4131962866</v>
      </c>
      <c r="Z21">
        <v>1.2134069999999999</v>
      </c>
      <c r="AA21">
        <v>1.3621570000000001</v>
      </c>
      <c r="AB21">
        <v>1.1951430000000001</v>
      </c>
      <c r="AC21">
        <v>1.3542479999999999</v>
      </c>
      <c r="AD21">
        <v>1.3542479999999999</v>
      </c>
      <c r="AE21">
        <v>1693932686</v>
      </c>
    </row>
    <row r="22" spans="1:31" x14ac:dyDescent="0.25">
      <c r="A22" s="1">
        <v>44542</v>
      </c>
      <c r="B22">
        <v>4084.811279</v>
      </c>
      <c r="C22">
        <v>4173.6088870000003</v>
      </c>
      <c r="D22">
        <v>3993.0559079999998</v>
      </c>
      <c r="E22">
        <v>4134.453125</v>
      </c>
      <c r="F22">
        <v>4134.453125</v>
      </c>
      <c r="G22">
        <v>14057603914</v>
      </c>
      <c r="H22">
        <v>49354.855469000002</v>
      </c>
      <c r="I22">
        <v>50724.867187999997</v>
      </c>
      <c r="J22">
        <v>48725.851562999997</v>
      </c>
      <c r="K22">
        <v>50098.335937999997</v>
      </c>
      <c r="L22">
        <v>50098.335937999997</v>
      </c>
      <c r="M22">
        <v>21939223599</v>
      </c>
      <c r="N22">
        <v>1.0009589999999999</v>
      </c>
      <c r="O22">
        <v>1.0019389999999999</v>
      </c>
      <c r="P22">
        <v>0.99807199999999996</v>
      </c>
      <c r="Q22">
        <v>1.0010509999999999</v>
      </c>
      <c r="R22">
        <v>1.0010509999999999</v>
      </c>
      <c r="S22">
        <v>46141935617</v>
      </c>
      <c r="T22">
        <v>1.000113</v>
      </c>
      <c r="U22">
        <v>1.0019800000000001</v>
      </c>
      <c r="V22">
        <v>0.99801200000000001</v>
      </c>
      <c r="W22">
        <v>1.0002390000000001</v>
      </c>
      <c r="X22">
        <v>1.0002390000000001</v>
      </c>
      <c r="Y22">
        <v>3253441868</v>
      </c>
      <c r="Z22">
        <v>1.3522209999999999</v>
      </c>
      <c r="AA22">
        <v>1.4119600000000001</v>
      </c>
      <c r="AB22">
        <v>1.3218369999999999</v>
      </c>
      <c r="AC22">
        <v>1.3472820000000001</v>
      </c>
      <c r="AD22">
        <v>1.3472820000000001</v>
      </c>
      <c r="AE22">
        <v>1473164555</v>
      </c>
    </row>
    <row r="23" spans="1:31" x14ac:dyDescent="0.25">
      <c r="A23" s="1">
        <v>44543</v>
      </c>
      <c r="B23">
        <v>4136.3598629999997</v>
      </c>
      <c r="C23">
        <v>4145.955078</v>
      </c>
      <c r="D23">
        <v>3680.6091310000002</v>
      </c>
      <c r="E23">
        <v>3784.226807</v>
      </c>
      <c r="F23">
        <v>3784.226807</v>
      </c>
      <c r="G23">
        <v>23999841386</v>
      </c>
      <c r="H23">
        <v>50114.742187999997</v>
      </c>
      <c r="I23">
        <v>50205</v>
      </c>
      <c r="J23">
        <v>45894.847655999998</v>
      </c>
      <c r="K23">
        <v>46737.480469000002</v>
      </c>
      <c r="L23">
        <v>46737.480469000002</v>
      </c>
      <c r="M23">
        <v>32166727776</v>
      </c>
      <c r="N23">
        <v>1.0006170000000001</v>
      </c>
      <c r="O23">
        <v>1.0019940000000001</v>
      </c>
      <c r="P23">
        <v>0.998089</v>
      </c>
      <c r="Q23">
        <v>1.0001310000000001</v>
      </c>
      <c r="R23">
        <v>1.0001310000000001</v>
      </c>
      <c r="S23">
        <v>66458705759</v>
      </c>
      <c r="T23">
        <v>1.0001370000000001</v>
      </c>
      <c r="U23">
        <v>1.0019990000000001</v>
      </c>
      <c r="V23">
        <v>0.99825799999999998</v>
      </c>
      <c r="W23">
        <v>0.99978</v>
      </c>
      <c r="X23">
        <v>0.99978</v>
      </c>
      <c r="Y23">
        <v>4967338939</v>
      </c>
      <c r="Z23">
        <v>1.3478950000000001</v>
      </c>
      <c r="AA23">
        <v>1.3577729999999999</v>
      </c>
      <c r="AB23">
        <v>1.202574</v>
      </c>
      <c r="AC23">
        <v>1.2253480000000001</v>
      </c>
      <c r="AD23">
        <v>1.2253480000000001</v>
      </c>
      <c r="AE23">
        <v>1448791702</v>
      </c>
    </row>
    <row r="24" spans="1:31" x14ac:dyDescent="0.25">
      <c r="A24" s="1">
        <v>44544</v>
      </c>
      <c r="B24">
        <v>3782.8227539999998</v>
      </c>
      <c r="C24">
        <v>3866.633789</v>
      </c>
      <c r="D24">
        <v>3700.1047359999998</v>
      </c>
      <c r="E24">
        <v>3745.4404300000001</v>
      </c>
      <c r="F24">
        <v>3745.4404300000001</v>
      </c>
      <c r="G24">
        <v>23836759957</v>
      </c>
      <c r="H24">
        <v>46709.824219000002</v>
      </c>
      <c r="I24">
        <v>48431.398437999997</v>
      </c>
      <c r="J24">
        <v>46424.496094000002</v>
      </c>
      <c r="K24">
        <v>46612.632812999997</v>
      </c>
      <c r="L24">
        <v>46612.632812999997</v>
      </c>
      <c r="M24">
        <v>34638619079</v>
      </c>
      <c r="N24">
        <v>1.00038</v>
      </c>
      <c r="O24">
        <v>1.0019990000000001</v>
      </c>
      <c r="P24">
        <v>0.99818099999999998</v>
      </c>
      <c r="Q24">
        <v>1.000648</v>
      </c>
      <c r="R24">
        <v>1.000648</v>
      </c>
      <c r="S24">
        <v>72787499023</v>
      </c>
      <c r="T24">
        <v>1.000019</v>
      </c>
      <c r="U24">
        <v>1.0019929999999999</v>
      </c>
      <c r="V24">
        <v>0.99811499999999997</v>
      </c>
      <c r="W24">
        <v>1.0001949999999999</v>
      </c>
      <c r="X24">
        <v>1.0001949999999999</v>
      </c>
      <c r="Y24">
        <v>4929898732</v>
      </c>
      <c r="Z24">
        <v>1.2244600000000001</v>
      </c>
      <c r="AA24">
        <v>1.269876</v>
      </c>
      <c r="AB24">
        <v>1.201422</v>
      </c>
      <c r="AC24">
        <v>1.2228349999999999</v>
      </c>
      <c r="AD24">
        <v>1.2228349999999999</v>
      </c>
      <c r="AE24">
        <v>1596202685</v>
      </c>
    </row>
    <row r="25" spans="1:31" x14ac:dyDescent="0.25">
      <c r="A25" s="1">
        <v>44545</v>
      </c>
      <c r="B25">
        <v>3862.2514649999998</v>
      </c>
      <c r="C25">
        <v>4086.3728030000002</v>
      </c>
      <c r="D25">
        <v>3664.719971</v>
      </c>
      <c r="E25">
        <v>4018.388672</v>
      </c>
      <c r="F25">
        <v>4018.388672</v>
      </c>
      <c r="G25">
        <v>26411188833</v>
      </c>
      <c r="H25">
        <v>48379.753905999998</v>
      </c>
      <c r="I25">
        <v>49473.957030999998</v>
      </c>
      <c r="J25">
        <v>46671.964844000002</v>
      </c>
      <c r="K25">
        <v>48896.722655999998</v>
      </c>
      <c r="L25">
        <v>48896.722655999998</v>
      </c>
      <c r="M25">
        <v>36541828520</v>
      </c>
      <c r="N25">
        <v>1.0004630000000001</v>
      </c>
      <c r="O25">
        <v>1.001206</v>
      </c>
      <c r="P25">
        <v>0.99809599999999998</v>
      </c>
      <c r="Q25">
        <v>1.000402</v>
      </c>
      <c r="R25">
        <v>1.000402</v>
      </c>
      <c r="S25">
        <v>77440719349</v>
      </c>
      <c r="T25">
        <v>0.99962499999999999</v>
      </c>
      <c r="U25">
        <v>1.0019610000000001</v>
      </c>
      <c r="V25">
        <v>0.99814400000000003</v>
      </c>
      <c r="W25">
        <v>1.0002439999999999</v>
      </c>
      <c r="X25">
        <v>1.0002439999999999</v>
      </c>
      <c r="Y25">
        <v>5885434505</v>
      </c>
      <c r="Z25">
        <v>1.2662629999999999</v>
      </c>
      <c r="AA25">
        <v>1.329269</v>
      </c>
      <c r="AB25">
        <v>1.2071609999999999</v>
      </c>
      <c r="AC25">
        <v>1.311847</v>
      </c>
      <c r="AD25">
        <v>1.311847</v>
      </c>
      <c r="AE25">
        <v>1634066534</v>
      </c>
    </row>
    <row r="26" spans="1:31" x14ac:dyDescent="0.25">
      <c r="A26" s="1">
        <v>44546</v>
      </c>
      <c r="B26">
        <v>4020.415039</v>
      </c>
      <c r="C26">
        <v>4110.3686520000001</v>
      </c>
      <c r="D26">
        <v>3956.0571289999998</v>
      </c>
      <c r="E26">
        <v>3962.4697270000001</v>
      </c>
      <c r="F26">
        <v>3962.4697270000001</v>
      </c>
      <c r="G26">
        <v>19825531254</v>
      </c>
      <c r="H26">
        <v>48900.464844000002</v>
      </c>
      <c r="I26">
        <v>49425.574219000002</v>
      </c>
      <c r="J26">
        <v>47529.878905999998</v>
      </c>
      <c r="K26">
        <v>47665.425780999998</v>
      </c>
      <c r="L26">
        <v>47665.425780999998</v>
      </c>
      <c r="M26">
        <v>27268150947</v>
      </c>
      <c r="N26">
        <v>1.00023</v>
      </c>
      <c r="O26">
        <v>1.0019990000000001</v>
      </c>
      <c r="P26">
        <v>0.99851599999999996</v>
      </c>
      <c r="Q26">
        <v>1.0002599999999999</v>
      </c>
      <c r="R26">
        <v>1.0002599999999999</v>
      </c>
      <c r="S26">
        <v>60612599459</v>
      </c>
      <c r="T26">
        <v>1.0004960000000001</v>
      </c>
      <c r="U26">
        <v>1.0019940000000001</v>
      </c>
      <c r="V26">
        <v>0.99800599999999995</v>
      </c>
      <c r="W26">
        <v>0.99895199999999995</v>
      </c>
      <c r="X26">
        <v>0.99895199999999995</v>
      </c>
      <c r="Y26">
        <v>4261770587</v>
      </c>
      <c r="Z26">
        <v>1.3118179999999999</v>
      </c>
      <c r="AA26">
        <v>1.33101</v>
      </c>
      <c r="AB26">
        <v>1.2367840000000001</v>
      </c>
      <c r="AC26">
        <v>1.240534</v>
      </c>
      <c r="AD26">
        <v>1.240534</v>
      </c>
      <c r="AE26">
        <v>1293311594</v>
      </c>
    </row>
    <row r="27" spans="1:31" x14ac:dyDescent="0.25">
      <c r="A27" s="1">
        <v>44547</v>
      </c>
      <c r="B27">
        <v>3959.0124510000001</v>
      </c>
      <c r="C27">
        <v>3992.7924800000001</v>
      </c>
      <c r="D27">
        <v>3711.4245609999998</v>
      </c>
      <c r="E27">
        <v>3879.4865719999998</v>
      </c>
      <c r="F27">
        <v>3879.4865719999998</v>
      </c>
      <c r="G27">
        <v>23143541098</v>
      </c>
      <c r="H27">
        <v>47653.730469000002</v>
      </c>
      <c r="I27">
        <v>48004.894530999998</v>
      </c>
      <c r="J27">
        <v>45618.214844000002</v>
      </c>
      <c r="K27">
        <v>46202.144530999998</v>
      </c>
      <c r="L27">
        <v>46202.144530999998</v>
      </c>
      <c r="M27">
        <v>32902725329</v>
      </c>
      <c r="N27">
        <v>1.0000929999999999</v>
      </c>
      <c r="O27">
        <v>1.0019960000000001</v>
      </c>
      <c r="P27">
        <v>0.99815100000000001</v>
      </c>
      <c r="Q27">
        <v>1.0008379999999999</v>
      </c>
      <c r="R27">
        <v>1.0008379999999999</v>
      </c>
      <c r="S27">
        <v>69599166416</v>
      </c>
      <c r="T27">
        <v>1.000011</v>
      </c>
      <c r="U27">
        <v>1.001817</v>
      </c>
      <c r="V27">
        <v>0.99807599999999996</v>
      </c>
      <c r="W27">
        <v>0.99980599999999997</v>
      </c>
      <c r="X27">
        <v>0.99980599999999997</v>
      </c>
      <c r="Y27">
        <v>4989557925</v>
      </c>
      <c r="Z27">
        <v>1.2407440000000001</v>
      </c>
      <c r="AA27">
        <v>1.2586949999999999</v>
      </c>
      <c r="AB27">
        <v>1.187881</v>
      </c>
      <c r="AC27">
        <v>1.219892</v>
      </c>
      <c r="AD27">
        <v>1.219892</v>
      </c>
      <c r="AE27">
        <v>1376131289</v>
      </c>
    </row>
    <row r="28" spans="1:31" x14ac:dyDescent="0.25">
      <c r="A28" s="1">
        <v>44548</v>
      </c>
      <c r="B28">
        <v>3880.2915039999998</v>
      </c>
      <c r="C28">
        <v>3993.8298340000001</v>
      </c>
      <c r="D28">
        <v>3774.61499</v>
      </c>
      <c r="E28">
        <v>3960.860107</v>
      </c>
      <c r="F28">
        <v>3960.860107</v>
      </c>
      <c r="G28">
        <v>19530895889</v>
      </c>
      <c r="H28">
        <v>46219.253905999998</v>
      </c>
      <c r="I28">
        <v>47313.828125</v>
      </c>
      <c r="J28">
        <v>45598.441405999998</v>
      </c>
      <c r="K28">
        <v>46848.777344000002</v>
      </c>
      <c r="L28">
        <v>46848.777344000002</v>
      </c>
      <c r="M28">
        <v>26098292690</v>
      </c>
      <c r="N28">
        <v>1.000356</v>
      </c>
      <c r="O28">
        <v>1.0019690000000001</v>
      </c>
      <c r="P28">
        <v>0.99819899999999995</v>
      </c>
      <c r="Q28">
        <v>1.000183</v>
      </c>
      <c r="R28">
        <v>1.000183</v>
      </c>
      <c r="S28">
        <v>55813387710</v>
      </c>
      <c r="T28">
        <v>0.99809800000000004</v>
      </c>
      <c r="U28">
        <v>1.001844</v>
      </c>
      <c r="V28">
        <v>0.99808300000000005</v>
      </c>
      <c r="W28">
        <v>0.99992999999999999</v>
      </c>
      <c r="X28">
        <v>0.99992999999999999</v>
      </c>
      <c r="Y28">
        <v>3839132525</v>
      </c>
      <c r="Z28">
        <v>1.2205170000000001</v>
      </c>
      <c r="AA28">
        <v>1.2672220000000001</v>
      </c>
      <c r="AB28">
        <v>1.2019470000000001</v>
      </c>
      <c r="AC28">
        <v>1.242534</v>
      </c>
      <c r="AD28">
        <v>1.242534</v>
      </c>
      <c r="AE28">
        <v>1057989368</v>
      </c>
    </row>
    <row r="29" spans="1:31" x14ac:dyDescent="0.25">
      <c r="A29" s="1">
        <v>44549</v>
      </c>
      <c r="B29">
        <v>3960.8723140000002</v>
      </c>
      <c r="C29">
        <v>4018.6584469999998</v>
      </c>
      <c r="D29">
        <v>3894.398682</v>
      </c>
      <c r="E29">
        <v>3922.592529</v>
      </c>
      <c r="F29">
        <v>3922.592529</v>
      </c>
      <c r="G29">
        <v>16167785597</v>
      </c>
      <c r="H29">
        <v>46853.867187999997</v>
      </c>
      <c r="I29">
        <v>48089.664062999997</v>
      </c>
      <c r="J29">
        <v>46502.953125</v>
      </c>
      <c r="K29">
        <v>46707.015625</v>
      </c>
      <c r="L29">
        <v>46707.015625</v>
      </c>
      <c r="M29">
        <v>25154053861</v>
      </c>
      <c r="N29">
        <v>1.00004</v>
      </c>
      <c r="O29">
        <v>1.0019579999999999</v>
      </c>
      <c r="P29">
        <v>0.99826199999999998</v>
      </c>
      <c r="Q29">
        <v>0.99998799999999999</v>
      </c>
      <c r="R29">
        <v>0.99998799999999999</v>
      </c>
      <c r="S29">
        <v>49752180810</v>
      </c>
      <c r="T29">
        <v>1.000016</v>
      </c>
      <c r="U29">
        <v>1.001992</v>
      </c>
      <c r="V29">
        <v>0.99803600000000003</v>
      </c>
      <c r="W29">
        <v>0.99988299999999997</v>
      </c>
      <c r="X29">
        <v>0.99988299999999997</v>
      </c>
      <c r="Y29">
        <v>3413716404</v>
      </c>
      <c r="Z29">
        <v>1.242394</v>
      </c>
      <c r="AA29">
        <v>1.309385</v>
      </c>
      <c r="AB29">
        <v>1.241757</v>
      </c>
      <c r="AC29">
        <v>1.244661</v>
      </c>
      <c r="AD29">
        <v>1.244661</v>
      </c>
      <c r="AE29">
        <v>1220196479</v>
      </c>
    </row>
    <row r="30" spans="1:31" x14ac:dyDescent="0.25">
      <c r="A30" s="1">
        <v>44550</v>
      </c>
      <c r="B30">
        <v>3923.6958009999998</v>
      </c>
      <c r="C30">
        <v>3980.0986330000001</v>
      </c>
      <c r="D30">
        <v>3759.4033199999999</v>
      </c>
      <c r="E30">
        <v>3933.844482</v>
      </c>
      <c r="F30">
        <v>3933.844482</v>
      </c>
      <c r="G30">
        <v>21589690675</v>
      </c>
      <c r="H30">
        <v>46707.0625</v>
      </c>
      <c r="I30">
        <v>47401.71875</v>
      </c>
      <c r="J30">
        <v>45579.808594000002</v>
      </c>
      <c r="K30">
        <v>46880.277344000002</v>
      </c>
      <c r="L30">
        <v>46880.277344000002</v>
      </c>
      <c r="M30">
        <v>30961902129</v>
      </c>
      <c r="N30">
        <v>1.0000789999999999</v>
      </c>
      <c r="O30">
        <v>1.001997</v>
      </c>
      <c r="P30">
        <v>0.99807299999999999</v>
      </c>
      <c r="Q30">
        <v>0.99897100000000005</v>
      </c>
      <c r="R30">
        <v>0.99897100000000005</v>
      </c>
      <c r="S30">
        <v>66647887174</v>
      </c>
      <c r="T30">
        <v>1.0000560000000001</v>
      </c>
      <c r="U30">
        <v>1.0019480000000001</v>
      </c>
      <c r="V30">
        <v>0.99800999999999995</v>
      </c>
      <c r="W30">
        <v>0.99964200000000003</v>
      </c>
      <c r="X30">
        <v>0.99964200000000003</v>
      </c>
      <c r="Y30">
        <v>4314880732</v>
      </c>
      <c r="Z30">
        <v>1.2434369999999999</v>
      </c>
      <c r="AA30">
        <v>1.260699</v>
      </c>
      <c r="AB30">
        <v>1.2027159999999999</v>
      </c>
      <c r="AC30">
        <v>1.23824</v>
      </c>
      <c r="AD30">
        <v>1.23824</v>
      </c>
      <c r="AE30">
        <v>1365306484</v>
      </c>
    </row>
    <row r="31" spans="1:31" x14ac:dyDescent="0.25">
      <c r="A31" s="1">
        <v>44551</v>
      </c>
      <c r="B31">
        <v>3938.4638669999999</v>
      </c>
      <c r="C31">
        <v>4058.821289</v>
      </c>
      <c r="D31">
        <v>3918.8378910000001</v>
      </c>
      <c r="E31">
        <v>4020.26001</v>
      </c>
      <c r="F31">
        <v>4020.26001</v>
      </c>
      <c r="G31">
        <v>16388555198</v>
      </c>
      <c r="H31">
        <v>46886.078125</v>
      </c>
      <c r="I31">
        <v>49300.917969000002</v>
      </c>
      <c r="J31">
        <v>46698.773437999997</v>
      </c>
      <c r="K31">
        <v>48936.613280999998</v>
      </c>
      <c r="L31">
        <v>48936.613280999998</v>
      </c>
      <c r="M31">
        <v>27055803928</v>
      </c>
      <c r="N31">
        <v>0.99887999999999999</v>
      </c>
      <c r="O31">
        <v>1.001957</v>
      </c>
      <c r="P31">
        <v>0.99802000000000002</v>
      </c>
      <c r="Q31">
        <v>1.000397</v>
      </c>
      <c r="R31">
        <v>1.000397</v>
      </c>
      <c r="S31">
        <v>55687834682</v>
      </c>
      <c r="T31">
        <v>0.99918899999999999</v>
      </c>
      <c r="U31">
        <v>1.0019940000000001</v>
      </c>
      <c r="V31">
        <v>0.99802400000000002</v>
      </c>
      <c r="W31">
        <v>1.0000659999999999</v>
      </c>
      <c r="X31">
        <v>1.0000659999999999</v>
      </c>
      <c r="Y31">
        <v>3742498924</v>
      </c>
      <c r="Z31">
        <v>1.2364189999999999</v>
      </c>
      <c r="AA31">
        <v>1.289425</v>
      </c>
      <c r="AB31">
        <v>1.229115</v>
      </c>
      <c r="AC31">
        <v>1.280859</v>
      </c>
      <c r="AD31">
        <v>1.280859</v>
      </c>
      <c r="AE31">
        <v>1149078005</v>
      </c>
    </row>
    <row r="32" spans="1:31" x14ac:dyDescent="0.25">
      <c r="A32" s="1">
        <v>44552</v>
      </c>
      <c r="B32">
        <v>4018.6958009999998</v>
      </c>
      <c r="C32">
        <v>4073.7915039999998</v>
      </c>
      <c r="D32">
        <v>3947.6901859999998</v>
      </c>
      <c r="E32">
        <v>3982.0996089999999</v>
      </c>
      <c r="F32">
        <v>3982.0996089999999</v>
      </c>
      <c r="G32">
        <v>13921756199</v>
      </c>
      <c r="H32">
        <v>48937.097655999998</v>
      </c>
      <c r="I32">
        <v>49544.796875</v>
      </c>
      <c r="J32">
        <v>48450.941405999998</v>
      </c>
      <c r="K32">
        <v>48628.511719000002</v>
      </c>
      <c r="L32">
        <v>48628.511719000002</v>
      </c>
      <c r="M32">
        <v>24447979559</v>
      </c>
      <c r="N32">
        <v>1.0005440000000001</v>
      </c>
      <c r="O32">
        <v>1.0019880000000001</v>
      </c>
      <c r="P32">
        <v>0.99802900000000005</v>
      </c>
      <c r="Q32">
        <v>1.000332</v>
      </c>
      <c r="R32">
        <v>1.000332</v>
      </c>
      <c r="S32">
        <v>57931430463</v>
      </c>
      <c r="T32">
        <v>1.0001469999999999</v>
      </c>
      <c r="U32">
        <v>1.0017720000000001</v>
      </c>
      <c r="V32">
        <v>0.99802000000000002</v>
      </c>
      <c r="W32">
        <v>0.99816300000000002</v>
      </c>
      <c r="X32">
        <v>0.99816300000000002</v>
      </c>
      <c r="Y32">
        <v>3384263782</v>
      </c>
      <c r="Z32">
        <v>1.2803370000000001</v>
      </c>
      <c r="AA32">
        <v>1.366798</v>
      </c>
      <c r="AB32">
        <v>1.2782849999999999</v>
      </c>
      <c r="AC32">
        <v>1.328041</v>
      </c>
      <c r="AD32">
        <v>1.328041</v>
      </c>
      <c r="AE32">
        <v>1528804985</v>
      </c>
    </row>
    <row r="33" spans="1:31" x14ac:dyDescent="0.25">
      <c r="A33" s="1">
        <v>44553</v>
      </c>
      <c r="B33">
        <v>3981.9616700000001</v>
      </c>
      <c r="C33">
        <v>4149.0268550000001</v>
      </c>
      <c r="D33">
        <v>3897.234375</v>
      </c>
      <c r="E33">
        <v>4108.015625</v>
      </c>
      <c r="F33">
        <v>4108.015625</v>
      </c>
      <c r="G33">
        <v>18007273742</v>
      </c>
      <c r="H33">
        <v>48626.34375</v>
      </c>
      <c r="I33">
        <v>51332.339844000002</v>
      </c>
      <c r="J33">
        <v>48065.835937999997</v>
      </c>
      <c r="K33">
        <v>50784.539062999997</v>
      </c>
      <c r="L33">
        <v>50784.539062999997</v>
      </c>
      <c r="M33">
        <v>28223878108</v>
      </c>
      <c r="N33">
        <v>1.00047</v>
      </c>
      <c r="O33">
        <v>1.001987</v>
      </c>
      <c r="P33">
        <v>0.99821400000000005</v>
      </c>
      <c r="Q33">
        <v>1.0003880000000001</v>
      </c>
      <c r="R33">
        <v>1.0003880000000001</v>
      </c>
      <c r="S33">
        <v>69151777565</v>
      </c>
      <c r="T33">
        <v>0.99826599999999999</v>
      </c>
      <c r="U33">
        <v>1.0019910000000001</v>
      </c>
      <c r="V33">
        <v>0.99803500000000001</v>
      </c>
      <c r="W33">
        <v>1.000219</v>
      </c>
      <c r="X33">
        <v>1.000219</v>
      </c>
      <c r="Y33">
        <v>4090339477</v>
      </c>
      <c r="Z33">
        <v>1.328843</v>
      </c>
      <c r="AA33">
        <v>1.4894890000000001</v>
      </c>
      <c r="AB33">
        <v>1.311121</v>
      </c>
      <c r="AC33">
        <v>1.474691</v>
      </c>
      <c r="AD33">
        <v>1.474691</v>
      </c>
      <c r="AE33">
        <v>2068524292</v>
      </c>
    </row>
    <row r="34" spans="1:31" x14ac:dyDescent="0.25">
      <c r="A34" s="1">
        <v>44554</v>
      </c>
      <c r="B34">
        <v>4111.3452150000003</v>
      </c>
      <c r="C34">
        <v>4134.1064450000003</v>
      </c>
      <c r="D34">
        <v>4029.064453</v>
      </c>
      <c r="E34">
        <v>4047.9829100000002</v>
      </c>
      <c r="F34">
        <v>4047.9829100000002</v>
      </c>
      <c r="G34">
        <v>12769090623</v>
      </c>
      <c r="H34">
        <v>50806.050780999998</v>
      </c>
      <c r="I34">
        <v>51814.027344000002</v>
      </c>
      <c r="J34">
        <v>50514.496094000002</v>
      </c>
      <c r="K34">
        <v>50822.195312999997</v>
      </c>
      <c r="L34">
        <v>50822.195312999997</v>
      </c>
      <c r="M34">
        <v>24367912228</v>
      </c>
      <c r="N34">
        <v>1.0002800000000001</v>
      </c>
      <c r="O34">
        <v>1.0019979999999999</v>
      </c>
      <c r="P34">
        <v>0.99812299999999998</v>
      </c>
      <c r="Q34">
        <v>1.0012019999999999</v>
      </c>
      <c r="R34">
        <v>1.0012019999999999</v>
      </c>
      <c r="S34">
        <v>60467261268</v>
      </c>
      <c r="T34">
        <v>1.0004</v>
      </c>
      <c r="U34">
        <v>1.00197</v>
      </c>
      <c r="V34">
        <v>0.99831700000000001</v>
      </c>
      <c r="W34">
        <v>1.0006649999999999</v>
      </c>
      <c r="X34">
        <v>1.0006649999999999</v>
      </c>
      <c r="Y34">
        <v>3426361439</v>
      </c>
      <c r="Z34">
        <v>1.4738770000000001</v>
      </c>
      <c r="AA34">
        <v>1.4903470000000001</v>
      </c>
      <c r="AB34">
        <v>1.38348</v>
      </c>
      <c r="AC34">
        <v>1.3923669999999999</v>
      </c>
      <c r="AD34">
        <v>1.3923669999999999</v>
      </c>
      <c r="AE34">
        <v>1337799712</v>
      </c>
    </row>
    <row r="35" spans="1:31" x14ac:dyDescent="0.25">
      <c r="A35" s="1">
        <v>44555</v>
      </c>
      <c r="B35">
        <v>4049.781982</v>
      </c>
      <c r="C35">
        <v>4138.5649409999996</v>
      </c>
      <c r="D35">
        <v>4027.9270019999999</v>
      </c>
      <c r="E35">
        <v>4093.2810060000002</v>
      </c>
      <c r="F35">
        <v>4093.2810060000002</v>
      </c>
      <c r="G35">
        <v>10894785525</v>
      </c>
      <c r="H35">
        <v>50854.917969000002</v>
      </c>
      <c r="I35">
        <v>51176.597655999998</v>
      </c>
      <c r="J35">
        <v>50236.707030999998</v>
      </c>
      <c r="K35">
        <v>50429.859375</v>
      </c>
      <c r="L35">
        <v>50429.859375</v>
      </c>
      <c r="M35">
        <v>19030650914</v>
      </c>
      <c r="N35">
        <v>1.001028</v>
      </c>
      <c r="O35">
        <v>1.0019979999999999</v>
      </c>
      <c r="P35">
        <v>0.99802599999999997</v>
      </c>
      <c r="Q35">
        <v>0.99992300000000001</v>
      </c>
      <c r="R35">
        <v>0.99992300000000001</v>
      </c>
      <c r="S35">
        <v>48124514320</v>
      </c>
      <c r="T35">
        <v>1.0005120000000001</v>
      </c>
      <c r="U35">
        <v>1.0019819999999999</v>
      </c>
      <c r="V35">
        <v>0.99801799999999996</v>
      </c>
      <c r="W35">
        <v>0.99985599999999997</v>
      </c>
      <c r="X35">
        <v>0.99985599999999997</v>
      </c>
      <c r="Y35">
        <v>2505867410</v>
      </c>
      <c r="Z35">
        <v>1.3941859999999999</v>
      </c>
      <c r="AA35">
        <v>1.4607330000000001</v>
      </c>
      <c r="AB35">
        <v>1.385219</v>
      </c>
      <c r="AC35">
        <v>1.453495</v>
      </c>
      <c r="AD35">
        <v>1.453495</v>
      </c>
      <c r="AE35">
        <v>1005403101</v>
      </c>
    </row>
    <row r="36" spans="1:31" x14ac:dyDescent="0.25">
      <c r="A36" s="1">
        <v>44556</v>
      </c>
      <c r="B36">
        <v>4094.1516109999998</v>
      </c>
      <c r="C36">
        <v>4105.0239259999998</v>
      </c>
      <c r="D36">
        <v>4013.0263669999999</v>
      </c>
      <c r="E36">
        <v>4067.328125</v>
      </c>
      <c r="F36">
        <v>4067.328125</v>
      </c>
      <c r="G36">
        <v>11197244172</v>
      </c>
      <c r="H36">
        <v>50428.691405999998</v>
      </c>
      <c r="I36">
        <v>51196.378905999998</v>
      </c>
      <c r="J36">
        <v>49623.105469000002</v>
      </c>
      <c r="K36">
        <v>50809.515625</v>
      </c>
      <c r="L36">
        <v>50809.515625</v>
      </c>
      <c r="M36">
        <v>20964372926</v>
      </c>
      <c r="N36">
        <v>0.99999000000000005</v>
      </c>
      <c r="O36">
        <v>1.0019659999999999</v>
      </c>
      <c r="P36">
        <v>0.99813600000000002</v>
      </c>
      <c r="Q36">
        <v>1.0004489999999999</v>
      </c>
      <c r="R36">
        <v>1.0004489999999999</v>
      </c>
      <c r="S36">
        <v>50593058831</v>
      </c>
      <c r="T36">
        <v>0.99984399999999996</v>
      </c>
      <c r="U36">
        <v>1.0019990000000001</v>
      </c>
      <c r="V36">
        <v>0.99801499999999999</v>
      </c>
      <c r="W36">
        <v>0.999108</v>
      </c>
      <c r="X36">
        <v>0.999108</v>
      </c>
      <c r="Y36">
        <v>2674907883</v>
      </c>
      <c r="Z36">
        <v>1.4535100000000001</v>
      </c>
      <c r="AA36">
        <v>1.4683269999999999</v>
      </c>
      <c r="AB36">
        <v>1.4108339999999999</v>
      </c>
      <c r="AC36">
        <v>1.456045</v>
      </c>
      <c r="AD36">
        <v>1.456045</v>
      </c>
      <c r="AE36">
        <v>1111799397</v>
      </c>
    </row>
    <row r="37" spans="1:31" x14ac:dyDescent="0.25">
      <c r="A37" s="1">
        <v>44557</v>
      </c>
      <c r="B37">
        <v>4064.7463379999999</v>
      </c>
      <c r="C37">
        <v>4126.0014650000003</v>
      </c>
      <c r="D37">
        <v>4033.492432</v>
      </c>
      <c r="E37">
        <v>4037.547607</v>
      </c>
      <c r="F37">
        <v>4037.547607</v>
      </c>
      <c r="G37">
        <v>11424360002</v>
      </c>
      <c r="H37">
        <v>50802.609375</v>
      </c>
      <c r="I37">
        <v>51956.328125</v>
      </c>
      <c r="J37">
        <v>50499.46875</v>
      </c>
      <c r="K37">
        <v>50640.417969000002</v>
      </c>
      <c r="L37">
        <v>50640.417969000002</v>
      </c>
      <c r="M37">
        <v>24324345758</v>
      </c>
      <c r="N37">
        <v>1.000329</v>
      </c>
      <c r="O37">
        <v>1.001997</v>
      </c>
      <c r="P37">
        <v>0.99800900000000003</v>
      </c>
      <c r="Q37">
        <v>0.99994400000000006</v>
      </c>
      <c r="R37">
        <v>0.99994400000000006</v>
      </c>
      <c r="S37">
        <v>54788742594</v>
      </c>
      <c r="T37">
        <v>0.99921700000000002</v>
      </c>
      <c r="U37">
        <v>1.001973</v>
      </c>
      <c r="V37">
        <v>0.99804099999999996</v>
      </c>
      <c r="W37">
        <v>0.99958199999999997</v>
      </c>
      <c r="X37">
        <v>0.99958199999999997</v>
      </c>
      <c r="Y37">
        <v>2793491169</v>
      </c>
      <c r="Z37">
        <v>1.455838</v>
      </c>
      <c r="AA37">
        <v>1.5907279999999999</v>
      </c>
      <c r="AB37">
        <v>1.452088</v>
      </c>
      <c r="AC37">
        <v>1.512913</v>
      </c>
      <c r="AD37">
        <v>1.512913</v>
      </c>
      <c r="AE37">
        <v>1891237484</v>
      </c>
    </row>
    <row r="38" spans="1:31" x14ac:dyDescent="0.25">
      <c r="A38" s="1">
        <v>44558</v>
      </c>
      <c r="B38">
        <v>4037.538086</v>
      </c>
      <c r="C38">
        <v>4037.538086</v>
      </c>
      <c r="D38">
        <v>3769.280029</v>
      </c>
      <c r="E38">
        <v>3800.8930660000001</v>
      </c>
      <c r="F38">
        <v>3800.8930660000001</v>
      </c>
      <c r="G38">
        <v>17299472803</v>
      </c>
      <c r="H38">
        <v>50679.859375</v>
      </c>
      <c r="I38">
        <v>50679.859375</v>
      </c>
      <c r="J38">
        <v>47414.210937999997</v>
      </c>
      <c r="K38">
        <v>47588.855469000002</v>
      </c>
      <c r="L38">
        <v>47588.855469000002</v>
      </c>
      <c r="M38">
        <v>33430376883</v>
      </c>
      <c r="N38">
        <v>0.99957099999999999</v>
      </c>
      <c r="O38">
        <v>1.001997</v>
      </c>
      <c r="P38">
        <v>0.99849299999999996</v>
      </c>
      <c r="Q38">
        <v>1.0011680000000001</v>
      </c>
      <c r="R38">
        <v>1.0011680000000001</v>
      </c>
      <c r="S38">
        <v>74531099414</v>
      </c>
      <c r="T38">
        <v>0.99963299999999999</v>
      </c>
      <c r="U38">
        <v>1.001997</v>
      </c>
      <c r="V38">
        <v>0.99816499999999997</v>
      </c>
      <c r="W38">
        <v>1.0008410000000001</v>
      </c>
      <c r="X38">
        <v>1.0008410000000001</v>
      </c>
      <c r="Y38">
        <v>4171719361</v>
      </c>
      <c r="Z38">
        <v>1.5150920000000001</v>
      </c>
      <c r="AA38">
        <v>1.537979</v>
      </c>
      <c r="AB38">
        <v>1.3813519999999999</v>
      </c>
      <c r="AC38">
        <v>1.402264</v>
      </c>
      <c r="AD38">
        <v>1.402264</v>
      </c>
      <c r="AE38">
        <v>2111991275</v>
      </c>
    </row>
    <row r="39" spans="1:31" x14ac:dyDescent="0.25">
      <c r="A39" s="1">
        <v>44559</v>
      </c>
      <c r="B39">
        <v>3797.436279</v>
      </c>
      <c r="C39">
        <v>3827.9819339999999</v>
      </c>
      <c r="D39">
        <v>3612.7958979999999</v>
      </c>
      <c r="E39">
        <v>3628.5317380000001</v>
      </c>
      <c r="F39">
        <v>3628.5317380000001</v>
      </c>
      <c r="G39">
        <v>15722555672</v>
      </c>
      <c r="H39">
        <v>47623.871094000002</v>
      </c>
      <c r="I39">
        <v>48119.742187999997</v>
      </c>
      <c r="J39">
        <v>46201.496094000002</v>
      </c>
      <c r="K39">
        <v>46444.710937999997</v>
      </c>
      <c r="L39">
        <v>46444.710937999997</v>
      </c>
      <c r="M39">
        <v>30049226299</v>
      </c>
      <c r="N39">
        <v>1.0012529999999999</v>
      </c>
      <c r="O39">
        <v>1.001981</v>
      </c>
      <c r="P39">
        <v>0.99804400000000004</v>
      </c>
      <c r="Q39">
        <v>1.000294</v>
      </c>
      <c r="R39">
        <v>1.000294</v>
      </c>
      <c r="S39">
        <v>63544101067</v>
      </c>
      <c r="T39">
        <v>1.000758</v>
      </c>
      <c r="U39">
        <v>1.001935</v>
      </c>
      <c r="V39">
        <v>0.99822900000000003</v>
      </c>
      <c r="W39">
        <v>0.99946299999999999</v>
      </c>
      <c r="X39">
        <v>0.99946299999999999</v>
      </c>
      <c r="Y39">
        <v>3506506629</v>
      </c>
      <c r="Z39">
        <v>1.4019619999999999</v>
      </c>
      <c r="AA39">
        <v>1.436113</v>
      </c>
      <c r="AB39">
        <v>1.32847</v>
      </c>
      <c r="AC39">
        <v>1.3308139999999999</v>
      </c>
      <c r="AD39">
        <v>1.3308139999999999</v>
      </c>
      <c r="AE39">
        <v>1516774796</v>
      </c>
    </row>
    <row r="40" spans="1:31" x14ac:dyDescent="0.25">
      <c r="A40" s="1">
        <v>44560</v>
      </c>
      <c r="B40">
        <v>3632.2197270000001</v>
      </c>
      <c r="C40">
        <v>3767.5598140000002</v>
      </c>
      <c r="D40">
        <v>3595.2048340000001</v>
      </c>
      <c r="E40">
        <v>3713.8520509999998</v>
      </c>
      <c r="F40">
        <v>3713.8520509999998</v>
      </c>
      <c r="G40">
        <v>12925377999</v>
      </c>
      <c r="H40">
        <v>46490.605469000002</v>
      </c>
      <c r="I40">
        <v>47879.964844000002</v>
      </c>
      <c r="J40">
        <v>46060.3125</v>
      </c>
      <c r="K40">
        <v>47178.125</v>
      </c>
      <c r="L40">
        <v>47178.125</v>
      </c>
      <c r="M40">
        <v>26686491018</v>
      </c>
      <c r="N40">
        <v>1.0001990000000001</v>
      </c>
      <c r="O40">
        <v>1.0019560000000001</v>
      </c>
      <c r="P40">
        <v>0.99829999999999997</v>
      </c>
      <c r="Q40">
        <v>1.001036</v>
      </c>
      <c r="R40">
        <v>1.001036</v>
      </c>
      <c r="S40">
        <v>54862404131</v>
      </c>
      <c r="T40">
        <v>0.99962200000000001</v>
      </c>
      <c r="U40">
        <v>1.0018069999999999</v>
      </c>
      <c r="V40">
        <v>0.99810399999999999</v>
      </c>
      <c r="W40">
        <v>1.000346</v>
      </c>
      <c r="X40">
        <v>1.000346</v>
      </c>
      <c r="Y40">
        <v>3137476099</v>
      </c>
      <c r="Z40">
        <v>1.3327469999999999</v>
      </c>
      <c r="AA40">
        <v>1.376474</v>
      </c>
      <c r="AB40">
        <v>1.3000039999999999</v>
      </c>
      <c r="AC40">
        <v>1.3604149999999999</v>
      </c>
      <c r="AD40">
        <v>1.3604149999999999</v>
      </c>
      <c r="AE40">
        <v>1292798472</v>
      </c>
    </row>
    <row r="41" spans="1:31" x14ac:dyDescent="0.25">
      <c r="A41" s="1">
        <v>44561</v>
      </c>
      <c r="B41">
        <v>3713.4301759999998</v>
      </c>
      <c r="C41">
        <v>3807.288818</v>
      </c>
      <c r="D41">
        <v>3636.8698730000001</v>
      </c>
      <c r="E41">
        <v>3682.6328130000002</v>
      </c>
      <c r="F41">
        <v>3682.6328130000002</v>
      </c>
      <c r="G41">
        <v>14157285268</v>
      </c>
      <c r="H41">
        <v>47169.371094000002</v>
      </c>
      <c r="I41">
        <v>48472.527344000002</v>
      </c>
      <c r="J41">
        <v>45819.953125</v>
      </c>
      <c r="K41">
        <v>46306.445312999997</v>
      </c>
      <c r="L41">
        <v>46306.445312999997</v>
      </c>
      <c r="M41">
        <v>36974172400</v>
      </c>
      <c r="N41">
        <v>1.000955</v>
      </c>
      <c r="O41">
        <v>1.000955</v>
      </c>
      <c r="P41">
        <v>0.99956</v>
      </c>
      <c r="Q41">
        <v>1.000189</v>
      </c>
      <c r="R41">
        <v>1.000189</v>
      </c>
      <c r="S41">
        <v>57299598140</v>
      </c>
      <c r="T41">
        <v>1.000383</v>
      </c>
      <c r="U41">
        <v>1.0009330000000001</v>
      </c>
      <c r="V41">
        <v>0.99918399999999996</v>
      </c>
      <c r="W41">
        <v>1.0000389999999999</v>
      </c>
      <c r="X41">
        <v>1.0000389999999999</v>
      </c>
      <c r="Y41">
        <v>3283686715</v>
      </c>
      <c r="Z41">
        <v>1.3604700000000001</v>
      </c>
      <c r="AA41">
        <v>1.379202</v>
      </c>
      <c r="AB41">
        <v>1.2873650000000001</v>
      </c>
      <c r="AC41">
        <v>1.310209</v>
      </c>
      <c r="AD41">
        <v>1.310209</v>
      </c>
      <c r="AE41">
        <v>1271633462</v>
      </c>
    </row>
    <row r="42" spans="1:31" x14ac:dyDescent="0.25">
      <c r="A42" s="1">
        <v>44562</v>
      </c>
      <c r="B42">
        <v>3683.0471189999998</v>
      </c>
      <c r="C42">
        <v>3769.9179690000001</v>
      </c>
      <c r="D42">
        <v>3682.2866210000002</v>
      </c>
      <c r="E42">
        <v>3769.6970209999999</v>
      </c>
      <c r="F42">
        <v>3769.6970209999999</v>
      </c>
      <c r="G42">
        <v>9776191466</v>
      </c>
      <c r="H42">
        <v>46311.746094000002</v>
      </c>
      <c r="I42">
        <v>47827.3125</v>
      </c>
      <c r="J42">
        <v>46288.484375</v>
      </c>
      <c r="K42">
        <v>47686.8125</v>
      </c>
      <c r="L42">
        <v>47686.8125</v>
      </c>
      <c r="M42">
        <v>24582667004</v>
      </c>
      <c r="N42">
        <v>1.0000929999999999</v>
      </c>
      <c r="O42">
        <v>1.0007470000000001</v>
      </c>
      <c r="P42">
        <v>1.00003</v>
      </c>
      <c r="Q42">
        <v>1.0004999999999999</v>
      </c>
      <c r="R42">
        <v>1.0004999999999999</v>
      </c>
      <c r="S42">
        <v>43336209524</v>
      </c>
      <c r="T42">
        <v>1.0000830000000001</v>
      </c>
      <c r="U42">
        <v>1.000861</v>
      </c>
      <c r="V42">
        <v>0.99921700000000002</v>
      </c>
      <c r="W42">
        <v>1.0000849999999999</v>
      </c>
      <c r="X42">
        <v>1.0000849999999999</v>
      </c>
      <c r="Y42">
        <v>2655459065</v>
      </c>
      <c r="Z42">
        <v>1.31013</v>
      </c>
      <c r="AA42">
        <v>1.3769750000000001</v>
      </c>
      <c r="AB42">
        <v>1.309787</v>
      </c>
      <c r="AC42">
        <v>1.3769750000000001</v>
      </c>
      <c r="AD42">
        <v>1.3769750000000001</v>
      </c>
      <c r="AE42">
        <v>851279685</v>
      </c>
    </row>
    <row r="43" spans="1:31" x14ac:dyDescent="0.25">
      <c r="A43" s="1">
        <v>44563</v>
      </c>
      <c r="B43">
        <v>3769.2983399999998</v>
      </c>
      <c r="C43">
        <v>3836.161865</v>
      </c>
      <c r="D43">
        <v>3727.357422</v>
      </c>
      <c r="E43">
        <v>3829.5649410000001</v>
      </c>
      <c r="F43">
        <v>3829.5649410000001</v>
      </c>
      <c r="G43">
        <v>9881471548</v>
      </c>
      <c r="H43">
        <v>47680.925780999998</v>
      </c>
      <c r="I43">
        <v>47881.40625</v>
      </c>
      <c r="J43">
        <v>46856.9375</v>
      </c>
      <c r="K43">
        <v>47345.21875</v>
      </c>
      <c r="L43">
        <v>47345.21875</v>
      </c>
      <c r="M43">
        <v>27951569547</v>
      </c>
      <c r="N43">
        <v>1.000491</v>
      </c>
      <c r="O43">
        <v>1.00085</v>
      </c>
      <c r="P43">
        <v>1.0001599999999999</v>
      </c>
      <c r="Q43">
        <v>1.0004599999999999</v>
      </c>
      <c r="R43">
        <v>1.0004599999999999</v>
      </c>
      <c r="S43">
        <v>43202922802</v>
      </c>
      <c r="T43">
        <v>1.000081</v>
      </c>
      <c r="U43">
        <v>1.000966</v>
      </c>
      <c r="V43">
        <v>0.99926499999999996</v>
      </c>
      <c r="W43">
        <v>0.99976500000000001</v>
      </c>
      <c r="X43">
        <v>0.99976500000000001</v>
      </c>
      <c r="Y43">
        <v>2491554185</v>
      </c>
      <c r="Z43">
        <v>1.3770169999999999</v>
      </c>
      <c r="AA43">
        <v>1.388755</v>
      </c>
      <c r="AB43">
        <v>1.3465149999999999</v>
      </c>
      <c r="AC43">
        <v>1.3775839999999999</v>
      </c>
      <c r="AD43">
        <v>1.3775839999999999</v>
      </c>
      <c r="AE43">
        <v>881893010</v>
      </c>
    </row>
    <row r="44" spans="1:31" x14ac:dyDescent="0.25">
      <c r="A44" s="1">
        <v>44564</v>
      </c>
      <c r="B44">
        <v>3829.5356449999999</v>
      </c>
      <c r="C44">
        <v>3836.1987300000001</v>
      </c>
      <c r="D44">
        <v>3698.047607</v>
      </c>
      <c r="E44">
        <v>3761.3803710000002</v>
      </c>
      <c r="F44">
        <v>3761.3803710000002</v>
      </c>
      <c r="G44">
        <v>12080777893</v>
      </c>
      <c r="H44">
        <v>47343.542969000002</v>
      </c>
      <c r="I44">
        <v>47510.726562999997</v>
      </c>
      <c r="J44">
        <v>45835.964844000002</v>
      </c>
      <c r="K44">
        <v>46458.117187999997</v>
      </c>
      <c r="L44">
        <v>46458.117187999997</v>
      </c>
      <c r="M44">
        <v>33071628362</v>
      </c>
      <c r="N44">
        <v>1.000453</v>
      </c>
      <c r="O44">
        <v>1.0007269999999999</v>
      </c>
      <c r="P44">
        <v>1.00004</v>
      </c>
      <c r="Q44">
        <v>1.000165</v>
      </c>
      <c r="R44">
        <v>1.000165</v>
      </c>
      <c r="S44">
        <v>54125933259</v>
      </c>
      <c r="T44">
        <v>0.999776</v>
      </c>
      <c r="U44">
        <v>1.0009140000000001</v>
      </c>
      <c r="V44">
        <v>0.99939599999999995</v>
      </c>
      <c r="W44">
        <v>0.99970800000000004</v>
      </c>
      <c r="X44">
        <v>0.99970800000000004</v>
      </c>
      <c r="Y44">
        <v>2979943098</v>
      </c>
      <c r="Z44">
        <v>1.377599</v>
      </c>
      <c r="AA44">
        <v>1.377599</v>
      </c>
      <c r="AB44">
        <v>1.3158000000000001</v>
      </c>
      <c r="AC44">
        <v>1.321637</v>
      </c>
      <c r="AD44">
        <v>1.321637</v>
      </c>
      <c r="AE44">
        <v>956659954</v>
      </c>
    </row>
    <row r="45" spans="1:31" x14ac:dyDescent="0.25">
      <c r="A45" s="1">
        <v>44565</v>
      </c>
      <c r="B45">
        <v>3761.3615719999998</v>
      </c>
      <c r="C45">
        <v>3876.7851559999999</v>
      </c>
      <c r="D45">
        <v>3723.3498540000001</v>
      </c>
      <c r="E45">
        <v>3794.0566410000001</v>
      </c>
      <c r="F45">
        <v>3794.0566410000001</v>
      </c>
      <c r="G45">
        <v>14030925983</v>
      </c>
      <c r="H45">
        <v>46458.851562999997</v>
      </c>
      <c r="I45">
        <v>47406.546875</v>
      </c>
      <c r="J45">
        <v>45752.464844000002</v>
      </c>
      <c r="K45">
        <v>45897.574219000002</v>
      </c>
      <c r="L45">
        <v>45897.574219000002</v>
      </c>
      <c r="M45">
        <v>42494677905</v>
      </c>
      <c r="N45">
        <v>1.0001610000000001</v>
      </c>
      <c r="O45">
        <v>1.0005379999999999</v>
      </c>
      <c r="P45">
        <v>0.99997800000000003</v>
      </c>
      <c r="Q45">
        <v>1.000208</v>
      </c>
      <c r="R45">
        <v>1.000208</v>
      </c>
      <c r="S45">
        <v>60765931554</v>
      </c>
      <c r="T45">
        <v>0.99981799999999998</v>
      </c>
      <c r="U45">
        <v>1.0013559999999999</v>
      </c>
      <c r="V45">
        <v>0.99913399999999997</v>
      </c>
      <c r="W45">
        <v>1.0005850000000001</v>
      </c>
      <c r="X45">
        <v>1.0005850000000001</v>
      </c>
      <c r="Y45">
        <v>3450318436</v>
      </c>
      <c r="Z45">
        <v>1.3215079999999999</v>
      </c>
      <c r="AA45">
        <v>1.349682</v>
      </c>
      <c r="AB45">
        <v>1.299482</v>
      </c>
      <c r="AC45">
        <v>1.311658</v>
      </c>
      <c r="AD45">
        <v>1.311658</v>
      </c>
      <c r="AE45">
        <v>1014646349</v>
      </c>
    </row>
    <row r="46" spans="1:31" x14ac:dyDescent="0.25">
      <c r="A46" s="1">
        <v>44566</v>
      </c>
      <c r="B46">
        <v>3794.2690429999998</v>
      </c>
      <c r="C46">
        <v>3842.0598140000002</v>
      </c>
      <c r="D46">
        <v>3456.7453609999998</v>
      </c>
      <c r="E46">
        <v>3550.3869629999999</v>
      </c>
      <c r="F46">
        <v>3550.3869629999999</v>
      </c>
      <c r="G46">
        <v>18061338502</v>
      </c>
      <c r="H46">
        <v>45899.359375</v>
      </c>
      <c r="I46">
        <v>46929.046875</v>
      </c>
      <c r="J46">
        <v>42798.222655999998</v>
      </c>
      <c r="K46">
        <v>43569.003905999998</v>
      </c>
      <c r="L46">
        <v>43569.003905999998</v>
      </c>
      <c r="M46">
        <v>36851084859</v>
      </c>
      <c r="N46">
        <v>1.000205</v>
      </c>
      <c r="O46">
        <v>1.000626</v>
      </c>
      <c r="P46">
        <v>0.99995199999999995</v>
      </c>
      <c r="Q46">
        <v>1.000122</v>
      </c>
      <c r="R46">
        <v>1.000122</v>
      </c>
      <c r="S46">
        <v>77225535519</v>
      </c>
      <c r="T46">
        <v>1.000604</v>
      </c>
      <c r="U46">
        <v>1.000902</v>
      </c>
      <c r="V46">
        <v>0.99928700000000004</v>
      </c>
      <c r="W46">
        <v>0.99975700000000001</v>
      </c>
      <c r="X46">
        <v>0.99975700000000001</v>
      </c>
      <c r="Y46">
        <v>4834405737</v>
      </c>
      <c r="Z46">
        <v>1.311944</v>
      </c>
      <c r="AA46">
        <v>1.350875</v>
      </c>
      <c r="AB46">
        <v>1.2026790000000001</v>
      </c>
      <c r="AC46">
        <v>1.236002</v>
      </c>
      <c r="AD46">
        <v>1.236002</v>
      </c>
      <c r="AE46">
        <v>1416139355</v>
      </c>
    </row>
    <row r="47" spans="1:31" x14ac:dyDescent="0.25">
      <c r="A47" s="1">
        <v>44567</v>
      </c>
      <c r="B47">
        <v>3549.7089839999999</v>
      </c>
      <c r="C47">
        <v>3549.7089839999999</v>
      </c>
      <c r="D47">
        <v>3335.3767090000001</v>
      </c>
      <c r="E47">
        <v>3418.408203</v>
      </c>
      <c r="F47">
        <v>3418.408203</v>
      </c>
      <c r="G47">
        <v>24293791313</v>
      </c>
      <c r="H47">
        <v>43565.511719000002</v>
      </c>
      <c r="I47">
        <v>43748.71875</v>
      </c>
      <c r="J47">
        <v>42645.539062999997</v>
      </c>
      <c r="K47">
        <v>43160.929687999997</v>
      </c>
      <c r="L47">
        <v>43160.929687999997</v>
      </c>
      <c r="M47">
        <v>30208048289</v>
      </c>
      <c r="N47">
        <v>1.0001230000000001</v>
      </c>
      <c r="O47">
        <v>1.0005980000000001</v>
      </c>
      <c r="P47">
        <v>0.99998100000000001</v>
      </c>
      <c r="Q47">
        <v>1.0001949999999999</v>
      </c>
      <c r="R47">
        <v>1.0001949999999999</v>
      </c>
      <c r="S47">
        <v>71751236899</v>
      </c>
      <c r="T47">
        <v>0.99975199999999997</v>
      </c>
      <c r="U47">
        <v>1.001172</v>
      </c>
      <c r="V47">
        <v>0.99927100000000002</v>
      </c>
      <c r="W47">
        <v>0.99956</v>
      </c>
      <c r="X47">
        <v>0.99956</v>
      </c>
      <c r="Y47">
        <v>4569272674</v>
      </c>
      <c r="Z47">
        <v>1.235209</v>
      </c>
      <c r="AA47">
        <v>1.2945759999999999</v>
      </c>
      <c r="AB47">
        <v>1.193416</v>
      </c>
      <c r="AC47">
        <v>1.279782</v>
      </c>
      <c r="AD47">
        <v>1.279782</v>
      </c>
      <c r="AE47">
        <v>1559075484</v>
      </c>
    </row>
    <row r="48" spans="1:31" x14ac:dyDescent="0.25">
      <c r="A48" s="1">
        <v>44568</v>
      </c>
      <c r="B48">
        <v>3417.8378910000001</v>
      </c>
      <c r="C48">
        <v>3420.461914</v>
      </c>
      <c r="D48">
        <v>3117.3813479999999</v>
      </c>
      <c r="E48">
        <v>3193.2104490000002</v>
      </c>
      <c r="F48">
        <v>3193.2104490000002</v>
      </c>
      <c r="G48">
        <v>24494179209</v>
      </c>
      <c r="H48">
        <v>43153.570312999997</v>
      </c>
      <c r="I48">
        <v>43153.570312999997</v>
      </c>
      <c r="J48">
        <v>41077.445312999997</v>
      </c>
      <c r="K48">
        <v>41557.902344000002</v>
      </c>
      <c r="L48">
        <v>41557.902344000002</v>
      </c>
      <c r="M48">
        <v>84196607520</v>
      </c>
      <c r="N48">
        <v>1.000208</v>
      </c>
      <c r="O48">
        <v>1.0006280000000001</v>
      </c>
      <c r="P48">
        <v>0.99984499999999998</v>
      </c>
      <c r="Q48">
        <v>1.0002519999999999</v>
      </c>
      <c r="R48">
        <v>1.0002519999999999</v>
      </c>
      <c r="S48">
        <v>82344370614</v>
      </c>
      <c r="T48">
        <v>0.999525</v>
      </c>
      <c r="U48">
        <v>1.0008699999999999</v>
      </c>
      <c r="V48">
        <v>0.99940200000000001</v>
      </c>
      <c r="W48">
        <v>1.0004770000000001</v>
      </c>
      <c r="X48">
        <v>1.0004770000000001</v>
      </c>
      <c r="Y48">
        <v>4710183601</v>
      </c>
      <c r="Z48">
        <v>1.279917</v>
      </c>
      <c r="AA48">
        <v>1.282408</v>
      </c>
      <c r="AB48">
        <v>1.1932370000000001</v>
      </c>
      <c r="AC48">
        <v>1.2115469999999999</v>
      </c>
      <c r="AD48">
        <v>1.2115469999999999</v>
      </c>
      <c r="AE48">
        <v>1751707653</v>
      </c>
    </row>
    <row r="49" spans="1:31" x14ac:dyDescent="0.25">
      <c r="A49" s="1">
        <v>44569</v>
      </c>
      <c r="B49">
        <v>3193.5024410000001</v>
      </c>
      <c r="C49">
        <v>3240.304443</v>
      </c>
      <c r="D49">
        <v>3020.8808589999999</v>
      </c>
      <c r="E49">
        <v>3091.9726559999999</v>
      </c>
      <c r="F49">
        <v>3091.9726559999999</v>
      </c>
      <c r="G49">
        <v>16037732700</v>
      </c>
      <c r="H49">
        <v>41561.464844000002</v>
      </c>
      <c r="I49">
        <v>42228.941405999998</v>
      </c>
      <c r="J49">
        <v>40672.277344000002</v>
      </c>
      <c r="K49">
        <v>41733.941405999998</v>
      </c>
      <c r="L49">
        <v>41733.941405999998</v>
      </c>
      <c r="M49">
        <v>28066355845</v>
      </c>
      <c r="N49">
        <v>1.0002599999999999</v>
      </c>
      <c r="O49">
        <v>1.0004440000000001</v>
      </c>
      <c r="P49">
        <v>0.99987899999999996</v>
      </c>
      <c r="Q49">
        <v>1.000097</v>
      </c>
      <c r="R49">
        <v>1.000097</v>
      </c>
      <c r="S49">
        <v>62394894090</v>
      </c>
      <c r="T49">
        <v>1.0004740000000001</v>
      </c>
      <c r="U49">
        <v>1.0009969999999999</v>
      </c>
      <c r="V49">
        <v>0.99944999999999995</v>
      </c>
      <c r="W49">
        <v>0.99951199999999996</v>
      </c>
      <c r="X49">
        <v>0.99951199999999996</v>
      </c>
      <c r="Y49">
        <v>4278836552</v>
      </c>
      <c r="Z49">
        <v>1.211468</v>
      </c>
      <c r="AA49">
        <v>1.25267</v>
      </c>
      <c r="AB49">
        <v>1.1381159999999999</v>
      </c>
      <c r="AC49">
        <v>1.1875119999999999</v>
      </c>
      <c r="AD49">
        <v>1.1875119999999999</v>
      </c>
      <c r="AE49">
        <v>1499054949</v>
      </c>
    </row>
    <row r="50" spans="1:31" x14ac:dyDescent="0.25">
      <c r="A50" s="1">
        <v>44570</v>
      </c>
      <c r="B50">
        <v>3091.696289</v>
      </c>
      <c r="C50">
        <v>3206.7907709999999</v>
      </c>
      <c r="D50">
        <v>3075.9113769999999</v>
      </c>
      <c r="E50">
        <v>3157.7514649999998</v>
      </c>
      <c r="F50">
        <v>3157.7514649999998</v>
      </c>
      <c r="G50">
        <v>12334683863</v>
      </c>
      <c r="H50">
        <v>41734.726562999997</v>
      </c>
      <c r="I50">
        <v>42663.949219000002</v>
      </c>
      <c r="J50">
        <v>41338.160155999998</v>
      </c>
      <c r="K50">
        <v>41911.601562999997</v>
      </c>
      <c r="L50">
        <v>41911.601562999997</v>
      </c>
      <c r="M50">
        <v>21294384372</v>
      </c>
      <c r="N50">
        <v>1.000097</v>
      </c>
      <c r="O50">
        <v>1.0003139999999999</v>
      </c>
      <c r="P50">
        <v>1.000008</v>
      </c>
      <c r="Q50">
        <v>1.000257</v>
      </c>
      <c r="R50">
        <v>1.000257</v>
      </c>
      <c r="S50">
        <v>49109221960</v>
      </c>
      <c r="T50">
        <v>0.99950600000000001</v>
      </c>
      <c r="U50">
        <v>1.00112</v>
      </c>
      <c r="V50">
        <v>0.99947600000000003</v>
      </c>
      <c r="W50">
        <v>0.99983599999999995</v>
      </c>
      <c r="X50">
        <v>0.99983599999999995</v>
      </c>
      <c r="Y50">
        <v>2921877299</v>
      </c>
      <c r="Z50">
        <v>1.1876930000000001</v>
      </c>
      <c r="AA50">
        <v>1.2040360000000001</v>
      </c>
      <c r="AB50">
        <v>1.1534789999999999</v>
      </c>
      <c r="AC50">
        <v>1.1738599999999999</v>
      </c>
      <c r="AD50">
        <v>1.1738599999999999</v>
      </c>
      <c r="AE50">
        <v>1088569809</v>
      </c>
    </row>
    <row r="51" spans="1:31" x14ac:dyDescent="0.25">
      <c r="A51" s="1">
        <v>44571</v>
      </c>
      <c r="B51">
        <v>3157.570557</v>
      </c>
      <c r="C51">
        <v>3177.2133789999998</v>
      </c>
      <c r="D51">
        <v>2947.6835940000001</v>
      </c>
      <c r="E51">
        <v>3083.0979000000002</v>
      </c>
      <c r="F51">
        <v>3083.0979000000002</v>
      </c>
      <c r="G51">
        <v>19535744145</v>
      </c>
      <c r="H51">
        <v>41910.230469000002</v>
      </c>
      <c r="I51">
        <v>42199.484375</v>
      </c>
      <c r="J51">
        <v>39796.570312999997</v>
      </c>
      <c r="K51">
        <v>41821.261719000002</v>
      </c>
      <c r="L51">
        <v>41821.261719000002</v>
      </c>
      <c r="M51">
        <v>32104232331</v>
      </c>
      <c r="N51">
        <v>1.000256</v>
      </c>
      <c r="O51">
        <v>1.0003040000000001</v>
      </c>
      <c r="P51">
        <v>1.0000199999999999</v>
      </c>
      <c r="Q51">
        <v>1.000181</v>
      </c>
      <c r="R51">
        <v>1.000181</v>
      </c>
      <c r="S51">
        <v>68455690767</v>
      </c>
      <c r="T51">
        <v>0.99983</v>
      </c>
      <c r="U51">
        <v>1.0011270000000001</v>
      </c>
      <c r="V51">
        <v>0.99930399999999997</v>
      </c>
      <c r="W51">
        <v>1.000381</v>
      </c>
      <c r="X51">
        <v>1.000381</v>
      </c>
      <c r="Y51">
        <v>4659945891</v>
      </c>
      <c r="Z51">
        <v>1.173786</v>
      </c>
      <c r="AA51">
        <v>1.1788590000000001</v>
      </c>
      <c r="AB51">
        <v>1.0801529999999999</v>
      </c>
      <c r="AC51">
        <v>1.1280520000000001</v>
      </c>
      <c r="AD51">
        <v>1.1280520000000001</v>
      </c>
      <c r="AE51">
        <v>1481621292</v>
      </c>
    </row>
    <row r="52" spans="1:31" x14ac:dyDescent="0.25">
      <c r="A52" s="1">
        <v>44572</v>
      </c>
      <c r="B52">
        <v>3082.9909670000002</v>
      </c>
      <c r="C52">
        <v>3247.5119629999999</v>
      </c>
      <c r="D52">
        <v>3061.140625</v>
      </c>
      <c r="E52">
        <v>3238.1115719999998</v>
      </c>
      <c r="F52">
        <v>3238.1115719999998</v>
      </c>
      <c r="G52">
        <v>15211447193</v>
      </c>
      <c r="H52">
        <v>41819.507812999997</v>
      </c>
      <c r="I52">
        <v>43001.15625</v>
      </c>
      <c r="J52">
        <v>41407.753905999998</v>
      </c>
      <c r="K52">
        <v>42735.855469000002</v>
      </c>
      <c r="L52">
        <v>42735.855469000002</v>
      </c>
      <c r="M52">
        <v>26327648900</v>
      </c>
      <c r="N52">
        <v>1.0001789999999999</v>
      </c>
      <c r="O52">
        <v>1.0005200000000001</v>
      </c>
      <c r="P52">
        <v>1.000019</v>
      </c>
      <c r="Q52">
        <v>1.000362</v>
      </c>
      <c r="R52">
        <v>1.000362</v>
      </c>
      <c r="S52">
        <v>59061400900</v>
      </c>
      <c r="T52">
        <v>1.000354</v>
      </c>
      <c r="U52">
        <v>1.001161</v>
      </c>
      <c r="V52">
        <v>0.99907500000000005</v>
      </c>
      <c r="W52">
        <v>1.000216</v>
      </c>
      <c r="X52">
        <v>1.000216</v>
      </c>
      <c r="Y52">
        <v>3645526457</v>
      </c>
      <c r="Z52">
        <v>1.1278570000000001</v>
      </c>
      <c r="AA52">
        <v>1.1936150000000001</v>
      </c>
      <c r="AB52">
        <v>1.125648</v>
      </c>
      <c r="AC52">
        <v>1.1851100000000001</v>
      </c>
      <c r="AD52">
        <v>1.1851100000000001</v>
      </c>
      <c r="AE52">
        <v>1089929557</v>
      </c>
    </row>
    <row r="53" spans="1:31" x14ac:dyDescent="0.25">
      <c r="A53" s="1">
        <v>44573</v>
      </c>
      <c r="B53">
        <v>3238.4499510000001</v>
      </c>
      <c r="C53">
        <v>3401.219971</v>
      </c>
      <c r="D53">
        <v>3216.718018</v>
      </c>
      <c r="E53">
        <v>3372.2583009999998</v>
      </c>
      <c r="F53">
        <v>3372.2583009999998</v>
      </c>
      <c r="G53">
        <v>16662871689</v>
      </c>
      <c r="H53">
        <v>42742.179687999997</v>
      </c>
      <c r="I53">
        <v>44135.367187999997</v>
      </c>
      <c r="J53">
        <v>42528.988280999998</v>
      </c>
      <c r="K53">
        <v>43949.101562999997</v>
      </c>
      <c r="L53">
        <v>43949.101562999997</v>
      </c>
      <c r="M53">
        <v>33499938689</v>
      </c>
      <c r="N53">
        <v>1.0003690000000001</v>
      </c>
      <c r="O53">
        <v>1.000713</v>
      </c>
      <c r="P53">
        <v>1.00021</v>
      </c>
      <c r="Q53">
        <v>1.0002899999999999</v>
      </c>
      <c r="R53">
        <v>1.0002899999999999</v>
      </c>
      <c r="S53">
        <v>62300703831</v>
      </c>
      <c r="T53">
        <v>1.0002249999999999</v>
      </c>
      <c r="U53">
        <v>1.000821</v>
      </c>
      <c r="V53">
        <v>0.99915500000000002</v>
      </c>
      <c r="W53">
        <v>0.99979899999999999</v>
      </c>
      <c r="X53">
        <v>0.99979899999999999</v>
      </c>
      <c r="Y53">
        <v>3486307844</v>
      </c>
      <c r="Z53">
        <v>1.185551</v>
      </c>
      <c r="AA53">
        <v>1.306346</v>
      </c>
      <c r="AB53">
        <v>1.185551</v>
      </c>
      <c r="AC53">
        <v>1.304535</v>
      </c>
      <c r="AD53">
        <v>1.304535</v>
      </c>
      <c r="AE53">
        <v>1651269250</v>
      </c>
    </row>
    <row r="54" spans="1:31" x14ac:dyDescent="0.25">
      <c r="A54" s="1">
        <v>44574</v>
      </c>
      <c r="B54">
        <v>3372.1049800000001</v>
      </c>
      <c r="C54">
        <v>3396.9697270000001</v>
      </c>
      <c r="D54">
        <v>3247.9174800000001</v>
      </c>
      <c r="E54">
        <v>3248.2885740000002</v>
      </c>
      <c r="F54">
        <v>3248.2885740000002</v>
      </c>
      <c r="G54">
        <v>15294466275</v>
      </c>
      <c r="H54">
        <v>43946.742187999997</v>
      </c>
      <c r="I54">
        <v>44278.421875</v>
      </c>
      <c r="J54">
        <v>42447.042969000002</v>
      </c>
      <c r="K54">
        <v>42591.570312999997</v>
      </c>
      <c r="L54">
        <v>42591.570312999997</v>
      </c>
      <c r="M54">
        <v>47691135082</v>
      </c>
      <c r="N54">
        <v>1.0002869999999999</v>
      </c>
      <c r="O54">
        <v>1.0007630000000001</v>
      </c>
      <c r="P54">
        <v>1.000262</v>
      </c>
      <c r="Q54">
        <v>1.000405</v>
      </c>
      <c r="R54">
        <v>1.000405</v>
      </c>
      <c r="S54">
        <v>63231903910</v>
      </c>
      <c r="T54">
        <v>0.99978599999999995</v>
      </c>
      <c r="U54">
        <v>1.0009779999999999</v>
      </c>
      <c r="V54">
        <v>0.99899700000000002</v>
      </c>
      <c r="W54">
        <v>0.99902500000000005</v>
      </c>
      <c r="X54">
        <v>0.99902500000000005</v>
      </c>
      <c r="Y54">
        <v>3601566982</v>
      </c>
      <c r="Z54">
        <v>1.304656</v>
      </c>
      <c r="AA54">
        <v>1.3509949999999999</v>
      </c>
      <c r="AB54">
        <v>1.233161</v>
      </c>
      <c r="AC54">
        <v>1.233161</v>
      </c>
      <c r="AD54">
        <v>1.233161</v>
      </c>
      <c r="AE54">
        <v>2022506483</v>
      </c>
    </row>
    <row r="55" spans="1:31" x14ac:dyDescent="0.25">
      <c r="A55" s="1">
        <v>44575</v>
      </c>
      <c r="B55">
        <v>3248.648682</v>
      </c>
      <c r="C55">
        <v>3330.7661130000001</v>
      </c>
      <c r="D55">
        <v>3203.8237300000001</v>
      </c>
      <c r="E55">
        <v>3310.0014649999998</v>
      </c>
      <c r="F55">
        <v>3310.0014649999998</v>
      </c>
      <c r="G55">
        <v>13562957230</v>
      </c>
      <c r="H55">
        <v>42598.871094000002</v>
      </c>
      <c r="I55">
        <v>43346.6875</v>
      </c>
      <c r="J55">
        <v>41982.617187999997</v>
      </c>
      <c r="K55">
        <v>43099.699219000002</v>
      </c>
      <c r="L55">
        <v>43099.699219000002</v>
      </c>
      <c r="M55">
        <v>23577403399</v>
      </c>
      <c r="N55">
        <v>1.0004109999999999</v>
      </c>
      <c r="O55">
        <v>1.0007569999999999</v>
      </c>
      <c r="P55">
        <v>1.000162</v>
      </c>
      <c r="Q55">
        <v>1.000283</v>
      </c>
      <c r="R55">
        <v>1.000283</v>
      </c>
      <c r="S55">
        <v>60503324000</v>
      </c>
      <c r="T55">
        <v>0.99909499999999996</v>
      </c>
      <c r="U55">
        <v>1.0007550000000001</v>
      </c>
      <c r="V55">
        <v>0.99909499999999996</v>
      </c>
      <c r="W55">
        <v>1.0000340000000001</v>
      </c>
      <c r="X55">
        <v>1.0000340000000001</v>
      </c>
      <c r="Y55">
        <v>4005995393</v>
      </c>
      <c r="Z55">
        <v>1.2333700000000001</v>
      </c>
      <c r="AA55">
        <v>1.306503</v>
      </c>
      <c r="AB55">
        <v>1.2271049999999999</v>
      </c>
      <c r="AC55">
        <v>1.290926</v>
      </c>
      <c r="AD55">
        <v>1.290926</v>
      </c>
      <c r="AE55">
        <v>1855980787</v>
      </c>
    </row>
    <row r="56" spans="1:31" x14ac:dyDescent="0.25">
      <c r="A56" s="1">
        <v>44576</v>
      </c>
      <c r="B56">
        <v>3309.8442380000001</v>
      </c>
      <c r="C56">
        <v>3364.5378420000002</v>
      </c>
      <c r="D56">
        <v>3278.6708979999999</v>
      </c>
      <c r="E56">
        <v>3330.5307619999999</v>
      </c>
      <c r="F56">
        <v>3330.5307619999999</v>
      </c>
      <c r="G56">
        <v>9619999078</v>
      </c>
      <c r="H56">
        <v>43101.898437999997</v>
      </c>
      <c r="I56">
        <v>43724.671875</v>
      </c>
      <c r="J56">
        <v>42669.035155999998</v>
      </c>
      <c r="K56">
        <v>43177.398437999997</v>
      </c>
      <c r="L56">
        <v>43177.398437999997</v>
      </c>
      <c r="M56">
        <v>18371348298</v>
      </c>
      <c r="N56">
        <v>1.0003010000000001</v>
      </c>
      <c r="O56">
        <v>1.0009399999999999</v>
      </c>
      <c r="P56">
        <v>1.0002219999999999</v>
      </c>
      <c r="Q56">
        <v>1.000642</v>
      </c>
      <c r="R56">
        <v>1.000642</v>
      </c>
      <c r="S56">
        <v>41922988280</v>
      </c>
      <c r="T56">
        <v>1.000054</v>
      </c>
      <c r="U56">
        <v>1.000623</v>
      </c>
      <c r="V56">
        <v>0.99913300000000005</v>
      </c>
      <c r="W56">
        <v>0.99948199999999998</v>
      </c>
      <c r="X56">
        <v>0.99948199999999998</v>
      </c>
      <c r="Y56">
        <v>2837817560</v>
      </c>
      <c r="Z56">
        <v>1.2910889999999999</v>
      </c>
      <c r="AA56">
        <v>1.3155870000000001</v>
      </c>
      <c r="AB56">
        <v>1.257258</v>
      </c>
      <c r="AC56">
        <v>1.2962629999999999</v>
      </c>
      <c r="AD56">
        <v>1.2962629999999999</v>
      </c>
      <c r="AE56">
        <v>967735764</v>
      </c>
    </row>
    <row r="57" spans="1:31" x14ac:dyDescent="0.25">
      <c r="A57" s="1">
        <v>44577</v>
      </c>
      <c r="B57">
        <v>3330.3872070000002</v>
      </c>
      <c r="C57">
        <v>3376.4011230000001</v>
      </c>
      <c r="D57">
        <v>3291.563721</v>
      </c>
      <c r="E57">
        <v>3350.921875</v>
      </c>
      <c r="F57">
        <v>3350.921875</v>
      </c>
      <c r="G57">
        <v>9505934874</v>
      </c>
      <c r="H57">
        <v>43172.039062999997</v>
      </c>
      <c r="I57">
        <v>43436.808594000002</v>
      </c>
      <c r="J57">
        <v>42691.023437999997</v>
      </c>
      <c r="K57">
        <v>43113.878905999998</v>
      </c>
      <c r="L57">
        <v>43113.878905999998</v>
      </c>
      <c r="M57">
        <v>17902097845</v>
      </c>
      <c r="N57">
        <v>1.0007269999999999</v>
      </c>
      <c r="O57">
        <v>1.000818</v>
      </c>
      <c r="P57">
        <v>1.000243</v>
      </c>
      <c r="Q57">
        <v>1.0004169999999999</v>
      </c>
      <c r="R57">
        <v>1.0004169999999999</v>
      </c>
      <c r="S57">
        <v>41551382127</v>
      </c>
      <c r="T57">
        <v>0.99949399999999999</v>
      </c>
      <c r="U57">
        <v>1.0007550000000001</v>
      </c>
      <c r="V57">
        <v>0.99907199999999996</v>
      </c>
      <c r="W57">
        <v>0.99969200000000003</v>
      </c>
      <c r="X57">
        <v>0.99969200000000003</v>
      </c>
      <c r="Y57">
        <v>2296999988</v>
      </c>
      <c r="Z57">
        <v>1.295933</v>
      </c>
      <c r="AA57">
        <v>1.420641</v>
      </c>
      <c r="AB57">
        <v>1.2911589999999999</v>
      </c>
      <c r="AC57">
        <v>1.407251</v>
      </c>
      <c r="AD57">
        <v>1.407251</v>
      </c>
      <c r="AE57">
        <v>2436680646</v>
      </c>
    </row>
    <row r="58" spans="1:31" x14ac:dyDescent="0.25">
      <c r="A58" s="1">
        <v>44578</v>
      </c>
      <c r="B58">
        <v>3350.9472660000001</v>
      </c>
      <c r="C58">
        <v>3355.819336</v>
      </c>
      <c r="D58">
        <v>3157.2241210000002</v>
      </c>
      <c r="E58">
        <v>3212.304932</v>
      </c>
      <c r="F58">
        <v>3212.304932</v>
      </c>
      <c r="G58">
        <v>12344309617</v>
      </c>
      <c r="H58">
        <v>43118.121094000002</v>
      </c>
      <c r="I58">
        <v>43179.390625</v>
      </c>
      <c r="J58">
        <v>41680.320312999997</v>
      </c>
      <c r="K58">
        <v>42250.550780999998</v>
      </c>
      <c r="L58">
        <v>42250.550780999998</v>
      </c>
      <c r="M58">
        <v>21690904261</v>
      </c>
      <c r="N58">
        <v>1.000434</v>
      </c>
      <c r="O58">
        <v>1.0006489999999999</v>
      </c>
      <c r="P58">
        <v>1.0002180000000001</v>
      </c>
      <c r="Q58">
        <v>1.0003679999999999</v>
      </c>
      <c r="R58">
        <v>1.0003679999999999</v>
      </c>
      <c r="S58">
        <v>51430977642</v>
      </c>
      <c r="T58">
        <v>0.99975000000000003</v>
      </c>
      <c r="U58">
        <v>1.0008999999999999</v>
      </c>
      <c r="V58">
        <v>0.99920500000000001</v>
      </c>
      <c r="W58">
        <v>0.99967899999999998</v>
      </c>
      <c r="X58">
        <v>0.99967899999999998</v>
      </c>
      <c r="Y58">
        <v>3025152126</v>
      </c>
      <c r="Z58">
        <v>1.40821</v>
      </c>
      <c r="AA58">
        <v>1.594131</v>
      </c>
      <c r="AB58">
        <v>1.390763</v>
      </c>
      <c r="AC58">
        <v>1.594131</v>
      </c>
      <c r="AD58">
        <v>1.594131</v>
      </c>
      <c r="AE58">
        <v>5285117130</v>
      </c>
    </row>
    <row r="59" spans="1:31" x14ac:dyDescent="0.25">
      <c r="A59" s="1">
        <v>44579</v>
      </c>
      <c r="B59">
        <v>3212.2875979999999</v>
      </c>
      <c r="C59">
        <v>3236.0161130000001</v>
      </c>
      <c r="D59">
        <v>3096.1235350000002</v>
      </c>
      <c r="E59">
        <v>3164.0251459999999</v>
      </c>
      <c r="F59">
        <v>3164.0251459999999</v>
      </c>
      <c r="G59">
        <v>13024154091</v>
      </c>
      <c r="H59">
        <v>42250.074219000002</v>
      </c>
      <c r="I59">
        <v>42534.402344000002</v>
      </c>
      <c r="J59">
        <v>41392.214844000002</v>
      </c>
      <c r="K59">
        <v>42375.632812999997</v>
      </c>
      <c r="L59">
        <v>42375.632812999997</v>
      </c>
      <c r="M59">
        <v>22417209227</v>
      </c>
      <c r="N59">
        <v>1.000351</v>
      </c>
      <c r="O59">
        <v>1.0009969999999999</v>
      </c>
      <c r="P59">
        <v>1.0001739999999999</v>
      </c>
      <c r="Q59">
        <v>1.0004200000000001</v>
      </c>
      <c r="R59">
        <v>1.0004200000000001</v>
      </c>
      <c r="S59">
        <v>52799723207</v>
      </c>
      <c r="T59">
        <v>0.99966900000000003</v>
      </c>
      <c r="U59">
        <v>1.000953</v>
      </c>
      <c r="V59">
        <v>0.99916000000000005</v>
      </c>
      <c r="W59">
        <v>1.000105</v>
      </c>
      <c r="X59">
        <v>1.000105</v>
      </c>
      <c r="Y59">
        <v>3223501722</v>
      </c>
      <c r="Z59">
        <v>1.5964799999999999</v>
      </c>
      <c r="AA59">
        <v>1.6312979999999999</v>
      </c>
      <c r="AB59">
        <v>1.418237</v>
      </c>
      <c r="AC59">
        <v>1.465541</v>
      </c>
      <c r="AD59">
        <v>1.465541</v>
      </c>
      <c r="AE59">
        <v>4287066351</v>
      </c>
    </row>
    <row r="60" spans="1:31" x14ac:dyDescent="0.25">
      <c r="A60" s="1">
        <v>44580</v>
      </c>
      <c r="B60">
        <v>3163.8503420000002</v>
      </c>
      <c r="C60">
        <v>3171.1584469999998</v>
      </c>
      <c r="D60">
        <v>3055.2124020000001</v>
      </c>
      <c r="E60">
        <v>3095.8259280000002</v>
      </c>
      <c r="F60">
        <v>3095.8259280000002</v>
      </c>
      <c r="G60">
        <v>13187424144</v>
      </c>
      <c r="H60">
        <v>42374.039062999997</v>
      </c>
      <c r="I60">
        <v>42478.304687999997</v>
      </c>
      <c r="J60">
        <v>41242.914062999997</v>
      </c>
      <c r="K60">
        <v>41744.328125</v>
      </c>
      <c r="L60">
        <v>41744.328125</v>
      </c>
      <c r="M60">
        <v>23091543258</v>
      </c>
      <c r="N60">
        <v>1.000413</v>
      </c>
      <c r="O60">
        <v>1.0010410000000001</v>
      </c>
      <c r="P60">
        <v>1.0001899999999999</v>
      </c>
      <c r="Q60">
        <v>1.0004900000000001</v>
      </c>
      <c r="R60">
        <v>1.0004900000000001</v>
      </c>
      <c r="S60">
        <v>50127231375</v>
      </c>
      <c r="T60">
        <v>1.0000979999999999</v>
      </c>
      <c r="U60">
        <v>1.000758</v>
      </c>
      <c r="V60">
        <v>0.99913799999999997</v>
      </c>
      <c r="W60">
        <v>1.0003310000000001</v>
      </c>
      <c r="X60">
        <v>1.0003310000000001</v>
      </c>
      <c r="Y60">
        <v>3239858099</v>
      </c>
      <c r="Z60">
        <v>1.4649460000000001</v>
      </c>
      <c r="AA60">
        <v>1.5311110000000001</v>
      </c>
      <c r="AB60">
        <v>1.3314779999999999</v>
      </c>
      <c r="AC60">
        <v>1.3417570000000001</v>
      </c>
      <c r="AD60">
        <v>1.3417570000000001</v>
      </c>
      <c r="AE60">
        <v>3304139176</v>
      </c>
    </row>
    <row r="61" spans="1:31" x14ac:dyDescent="0.25">
      <c r="A61" s="1">
        <v>44581</v>
      </c>
      <c r="B61">
        <v>3095.2717290000001</v>
      </c>
      <c r="C61">
        <v>3265.336914</v>
      </c>
      <c r="D61">
        <v>3000.908203</v>
      </c>
      <c r="E61">
        <v>3001.1201169999999</v>
      </c>
      <c r="F61">
        <v>3001.1201169999999</v>
      </c>
      <c r="G61">
        <v>10645922764</v>
      </c>
      <c r="H61">
        <v>41744.027344000002</v>
      </c>
      <c r="I61">
        <v>43413.023437999997</v>
      </c>
      <c r="J61">
        <v>40672.824219000002</v>
      </c>
      <c r="K61">
        <v>40680.417969000002</v>
      </c>
      <c r="L61">
        <v>40680.417969000002</v>
      </c>
      <c r="M61">
        <v>20382033940</v>
      </c>
      <c r="N61">
        <v>1.00048</v>
      </c>
      <c r="O61">
        <v>1.0008900000000001</v>
      </c>
      <c r="P61">
        <v>1.0000709999999999</v>
      </c>
      <c r="Q61">
        <v>1.000257</v>
      </c>
      <c r="R61">
        <v>1.000257</v>
      </c>
      <c r="S61">
        <v>38591713522</v>
      </c>
      <c r="T61">
        <v>1.0003359999999999</v>
      </c>
      <c r="U61">
        <v>1.0013019999999999</v>
      </c>
      <c r="V61">
        <v>0.99892599999999998</v>
      </c>
      <c r="W61">
        <v>1.0004120000000001</v>
      </c>
      <c r="X61">
        <v>1.0004120000000001</v>
      </c>
      <c r="Y61">
        <v>3125580294</v>
      </c>
      <c r="Z61">
        <v>1.3416539999999999</v>
      </c>
      <c r="AA61">
        <v>1.423338</v>
      </c>
      <c r="AB61">
        <v>1.257876</v>
      </c>
      <c r="AC61">
        <v>1.2580549999999999</v>
      </c>
      <c r="AD61">
        <v>1.2580549999999999</v>
      </c>
      <c r="AE61">
        <v>1686210420</v>
      </c>
    </row>
    <row r="62" spans="1:31" x14ac:dyDescent="0.25">
      <c r="A62" s="1">
        <v>44582</v>
      </c>
      <c r="B62">
        <v>3002.9567870000001</v>
      </c>
      <c r="C62">
        <v>3029.0810550000001</v>
      </c>
      <c r="D62">
        <v>2496.8129880000001</v>
      </c>
      <c r="E62">
        <v>2557.9316410000001</v>
      </c>
      <c r="F62">
        <v>2557.9316410000001</v>
      </c>
      <c r="G62">
        <v>26796291874</v>
      </c>
      <c r="H62">
        <v>40699.605469000002</v>
      </c>
      <c r="I62">
        <v>41060.527344000002</v>
      </c>
      <c r="J62">
        <v>35791.425780999998</v>
      </c>
      <c r="K62">
        <v>36457.316405999998</v>
      </c>
      <c r="L62">
        <v>36457.316405999998</v>
      </c>
      <c r="M62">
        <v>43011992031</v>
      </c>
      <c r="N62">
        <v>1.0002500000000001</v>
      </c>
      <c r="O62">
        <v>1.0007200000000001</v>
      </c>
      <c r="P62">
        <v>1.000013</v>
      </c>
      <c r="Q62">
        <v>1.0001770000000001</v>
      </c>
      <c r="R62">
        <v>1.0001770000000001</v>
      </c>
      <c r="S62">
        <v>86570105642</v>
      </c>
      <c r="T62">
        <v>1.000488</v>
      </c>
      <c r="U62">
        <v>1.001214</v>
      </c>
      <c r="V62">
        <v>0.998996</v>
      </c>
      <c r="W62">
        <v>1.0004409999999999</v>
      </c>
      <c r="X62">
        <v>1.0004409999999999</v>
      </c>
      <c r="Y62">
        <v>7940219543</v>
      </c>
      <c r="Z62">
        <v>1.2588029999999999</v>
      </c>
      <c r="AA62">
        <v>1.2797780000000001</v>
      </c>
      <c r="AB62">
        <v>1.1091660000000001</v>
      </c>
      <c r="AC62">
        <v>1.1232329999999999</v>
      </c>
      <c r="AD62">
        <v>1.1232329999999999</v>
      </c>
      <c r="AE62">
        <v>3009627794</v>
      </c>
    </row>
    <row r="63" spans="1:31" x14ac:dyDescent="0.25">
      <c r="A63" s="1">
        <v>44583</v>
      </c>
      <c r="B63">
        <v>2561.1452640000002</v>
      </c>
      <c r="C63">
        <v>2615.2473140000002</v>
      </c>
      <c r="D63">
        <v>2330.2473140000002</v>
      </c>
      <c r="E63">
        <v>2405.1811520000001</v>
      </c>
      <c r="F63">
        <v>2405.1811520000001</v>
      </c>
      <c r="G63">
        <v>27369692036</v>
      </c>
      <c r="H63">
        <v>36471.589844000002</v>
      </c>
      <c r="I63">
        <v>36688.8125</v>
      </c>
      <c r="J63">
        <v>34349.25</v>
      </c>
      <c r="K63">
        <v>35030.25</v>
      </c>
      <c r="L63">
        <v>35030.25</v>
      </c>
      <c r="M63">
        <v>39714385405</v>
      </c>
      <c r="N63">
        <v>1.0001819999999999</v>
      </c>
      <c r="O63">
        <v>1.0009410000000001</v>
      </c>
      <c r="P63">
        <v>1.000073</v>
      </c>
      <c r="Q63">
        <v>1.0001580000000001</v>
      </c>
      <c r="R63">
        <v>1.0001580000000001</v>
      </c>
      <c r="S63">
        <v>90441827607</v>
      </c>
      <c r="T63">
        <v>1.0004390000000001</v>
      </c>
      <c r="U63">
        <v>1.0007550000000001</v>
      </c>
      <c r="V63">
        <v>0.99898500000000001</v>
      </c>
      <c r="W63">
        <v>1.000032</v>
      </c>
      <c r="X63">
        <v>1.000032</v>
      </c>
      <c r="Y63">
        <v>6945199430</v>
      </c>
      <c r="Z63">
        <v>1.1230789999999999</v>
      </c>
      <c r="AA63">
        <v>1.1521950000000001</v>
      </c>
      <c r="AB63">
        <v>0.93339700000000003</v>
      </c>
      <c r="AC63">
        <v>1.066716</v>
      </c>
      <c r="AD63">
        <v>1.066716</v>
      </c>
      <c r="AE63">
        <v>3930474859</v>
      </c>
    </row>
    <row r="64" spans="1:31" x14ac:dyDescent="0.25">
      <c r="A64" s="1">
        <v>44584</v>
      </c>
      <c r="B64">
        <v>2406.9243160000001</v>
      </c>
      <c r="C64">
        <v>2542.1447750000002</v>
      </c>
      <c r="D64">
        <v>2381.5151369999999</v>
      </c>
      <c r="E64">
        <v>2535.0390630000002</v>
      </c>
      <c r="F64">
        <v>2535.0390630000002</v>
      </c>
      <c r="G64">
        <v>16481489511</v>
      </c>
      <c r="H64">
        <v>35047.359375</v>
      </c>
      <c r="I64">
        <v>36433.3125</v>
      </c>
      <c r="J64">
        <v>34784.96875</v>
      </c>
      <c r="K64">
        <v>36276.804687999997</v>
      </c>
      <c r="L64">
        <v>36276.804687999997</v>
      </c>
      <c r="M64">
        <v>26017975951</v>
      </c>
      <c r="N64">
        <v>1.0001549999999999</v>
      </c>
      <c r="O64">
        <v>1.0010079999999999</v>
      </c>
      <c r="P64">
        <v>1.0001070000000001</v>
      </c>
      <c r="Q64">
        <v>1.000491</v>
      </c>
      <c r="R64">
        <v>1.000491</v>
      </c>
      <c r="S64">
        <v>57296666670</v>
      </c>
      <c r="T64">
        <v>1.0000899999999999</v>
      </c>
      <c r="U64">
        <v>1.0011319999999999</v>
      </c>
      <c r="V64">
        <v>0.999089</v>
      </c>
      <c r="W64">
        <v>1.0001450000000001</v>
      </c>
      <c r="X64">
        <v>1.0001450000000001</v>
      </c>
      <c r="Y64">
        <v>4572234577</v>
      </c>
      <c r="Z64">
        <v>1.067661</v>
      </c>
      <c r="AA64">
        <v>1.164873</v>
      </c>
      <c r="AB64">
        <v>1.056932</v>
      </c>
      <c r="AC64">
        <v>1.122371</v>
      </c>
      <c r="AD64">
        <v>1.122371</v>
      </c>
      <c r="AE64">
        <v>2362627205</v>
      </c>
    </row>
    <row r="65" spans="1:31" x14ac:dyDescent="0.25">
      <c r="A65" s="1">
        <v>44585</v>
      </c>
      <c r="B65">
        <v>2535.8911130000001</v>
      </c>
      <c r="C65">
        <v>2537.2084960000002</v>
      </c>
      <c r="D65">
        <v>2172.3012699999999</v>
      </c>
      <c r="E65">
        <v>2440.3522950000001</v>
      </c>
      <c r="F65">
        <v>2440.3522950000001</v>
      </c>
      <c r="G65">
        <v>28220804648</v>
      </c>
      <c r="H65">
        <v>36275.734375</v>
      </c>
      <c r="I65">
        <v>37247.519530999998</v>
      </c>
      <c r="J65">
        <v>33184.058594000002</v>
      </c>
      <c r="K65">
        <v>36654.328125</v>
      </c>
      <c r="L65">
        <v>36654.328125</v>
      </c>
      <c r="M65">
        <v>41856658597</v>
      </c>
      <c r="N65">
        <v>1.0004980000000001</v>
      </c>
      <c r="O65">
        <v>1.0010619999999999</v>
      </c>
      <c r="P65">
        <v>1.000108</v>
      </c>
      <c r="Q65">
        <v>1.0004390000000001</v>
      </c>
      <c r="R65">
        <v>1.0004390000000001</v>
      </c>
      <c r="S65">
        <v>88845381041</v>
      </c>
      <c r="T65">
        <v>1.00017</v>
      </c>
      <c r="U65">
        <v>1.00099</v>
      </c>
      <c r="V65">
        <v>0.99913099999999999</v>
      </c>
      <c r="W65">
        <v>1.000305</v>
      </c>
      <c r="X65">
        <v>1.000305</v>
      </c>
      <c r="Y65">
        <v>7468827146</v>
      </c>
      <c r="Z65">
        <v>1.1227819999999999</v>
      </c>
      <c r="AA65">
        <v>1.1243380000000001</v>
      </c>
      <c r="AB65">
        <v>0.95912399999999998</v>
      </c>
      <c r="AC65">
        <v>1.0665979999999999</v>
      </c>
      <c r="AD65">
        <v>1.0665979999999999</v>
      </c>
      <c r="AE65">
        <v>3237316963</v>
      </c>
    </row>
    <row r="66" spans="1:31" x14ac:dyDescent="0.25">
      <c r="A66" s="1">
        <v>44586</v>
      </c>
      <c r="B66">
        <v>2440.3935550000001</v>
      </c>
      <c r="C66">
        <v>2498.5070799999999</v>
      </c>
      <c r="D66">
        <v>2359.3847660000001</v>
      </c>
      <c r="E66">
        <v>2455.9350589999999</v>
      </c>
      <c r="F66">
        <v>2455.9350589999999</v>
      </c>
      <c r="G66">
        <v>16179776932</v>
      </c>
      <c r="H66">
        <v>36654.804687999997</v>
      </c>
      <c r="I66">
        <v>37444.570312999997</v>
      </c>
      <c r="J66">
        <v>35779.429687999997</v>
      </c>
      <c r="K66">
        <v>36954.003905999998</v>
      </c>
      <c r="L66">
        <v>36954.003905999998</v>
      </c>
      <c r="M66">
        <v>26428189594</v>
      </c>
      <c r="N66">
        <v>1.0004420000000001</v>
      </c>
      <c r="O66">
        <v>1.000902</v>
      </c>
      <c r="P66">
        <v>1.0001690000000001</v>
      </c>
      <c r="Q66">
        <v>1.000604</v>
      </c>
      <c r="R66">
        <v>1.000604</v>
      </c>
      <c r="S66">
        <v>58560287216</v>
      </c>
      <c r="T66">
        <v>1.000318</v>
      </c>
      <c r="U66">
        <v>1.00109</v>
      </c>
      <c r="V66">
        <v>0.999031</v>
      </c>
      <c r="W66">
        <v>1.000429</v>
      </c>
      <c r="X66">
        <v>1.000429</v>
      </c>
      <c r="Y66">
        <v>4146328235</v>
      </c>
      <c r="Z66">
        <v>1.066519</v>
      </c>
      <c r="AA66">
        <v>1.0720240000000001</v>
      </c>
      <c r="AB66">
        <v>0.99821199999999999</v>
      </c>
      <c r="AC66">
        <v>1.043574</v>
      </c>
      <c r="AD66">
        <v>1.043574</v>
      </c>
      <c r="AE66">
        <v>1766326155</v>
      </c>
    </row>
    <row r="67" spans="1:31" x14ac:dyDescent="0.25">
      <c r="A67" s="1">
        <v>44587</v>
      </c>
      <c r="B67">
        <v>2455.5791020000001</v>
      </c>
      <c r="C67">
        <v>2705.7841800000001</v>
      </c>
      <c r="D67">
        <v>2417.6831050000001</v>
      </c>
      <c r="E67">
        <v>2468.0302729999999</v>
      </c>
      <c r="F67">
        <v>2468.0302729999999</v>
      </c>
      <c r="G67">
        <v>21229909340</v>
      </c>
      <c r="H67">
        <v>36950.515625</v>
      </c>
      <c r="I67">
        <v>38825.410155999998</v>
      </c>
      <c r="J67">
        <v>36374.90625</v>
      </c>
      <c r="K67">
        <v>36852.121094000002</v>
      </c>
      <c r="L67">
        <v>36852.121094000002</v>
      </c>
      <c r="M67">
        <v>31324598034</v>
      </c>
      <c r="N67">
        <v>1.0005949999999999</v>
      </c>
      <c r="O67">
        <v>1.001117</v>
      </c>
      <c r="P67">
        <v>1.0002899999999999</v>
      </c>
      <c r="Q67">
        <v>1.0006299999999999</v>
      </c>
      <c r="R67">
        <v>1.0006299999999999</v>
      </c>
      <c r="S67">
        <v>70750980627</v>
      </c>
      <c r="T67">
        <v>1.0004200000000001</v>
      </c>
      <c r="U67">
        <v>1.0008859999999999</v>
      </c>
      <c r="V67">
        <v>0.99885299999999999</v>
      </c>
      <c r="W67">
        <v>0.99993500000000002</v>
      </c>
      <c r="X67">
        <v>0.99993500000000002</v>
      </c>
      <c r="Y67">
        <v>83252070566791</v>
      </c>
      <c r="Z67">
        <v>1.04362</v>
      </c>
      <c r="AA67">
        <v>1.149648</v>
      </c>
      <c r="AB67">
        <v>1.026486</v>
      </c>
      <c r="AC67">
        <v>1.0790470000000001</v>
      </c>
      <c r="AD67">
        <v>1.0790470000000001</v>
      </c>
      <c r="AE67">
        <v>2437592239</v>
      </c>
    </row>
    <row r="68" spans="1:31" x14ac:dyDescent="0.25">
      <c r="A68" s="1">
        <v>44588</v>
      </c>
      <c r="B68">
        <v>2467.1884770000001</v>
      </c>
      <c r="C68">
        <v>2510.4516600000002</v>
      </c>
      <c r="D68">
        <v>2328.4521479999999</v>
      </c>
      <c r="E68">
        <v>2423.001221</v>
      </c>
      <c r="F68">
        <v>2423.001221</v>
      </c>
      <c r="G68">
        <v>16126522783</v>
      </c>
      <c r="H68">
        <v>36841.878905999998</v>
      </c>
      <c r="I68">
        <v>37148.324219000002</v>
      </c>
      <c r="J68">
        <v>35629.28125</v>
      </c>
      <c r="K68">
        <v>37138.234375</v>
      </c>
      <c r="L68">
        <v>37138.234375</v>
      </c>
      <c r="M68">
        <v>25041426629</v>
      </c>
      <c r="N68">
        <v>1.000632</v>
      </c>
      <c r="O68">
        <v>1.0008589999999999</v>
      </c>
      <c r="P68">
        <v>1.0002070000000001</v>
      </c>
      <c r="Q68">
        <v>1.0003439999999999</v>
      </c>
      <c r="R68">
        <v>1.0003439999999999</v>
      </c>
      <c r="S68">
        <v>53950927548</v>
      </c>
      <c r="T68">
        <v>0.99985000000000002</v>
      </c>
      <c r="U68">
        <v>1.0011829999999999</v>
      </c>
      <c r="V68">
        <v>0.99892300000000001</v>
      </c>
      <c r="W68">
        <v>0.999776</v>
      </c>
      <c r="X68">
        <v>0.999776</v>
      </c>
      <c r="Y68">
        <v>5023632111</v>
      </c>
      <c r="Z68">
        <v>1.078735</v>
      </c>
      <c r="AA68">
        <v>1.078735</v>
      </c>
      <c r="AB68">
        <v>1.009166</v>
      </c>
      <c r="AC68">
        <v>1.043533</v>
      </c>
      <c r="AD68">
        <v>1.043533</v>
      </c>
      <c r="AE68">
        <v>1519972359</v>
      </c>
    </row>
    <row r="69" spans="1:31" x14ac:dyDescent="0.25">
      <c r="A69" s="1">
        <v>44589</v>
      </c>
      <c r="B69">
        <v>2421.6469729999999</v>
      </c>
      <c r="C69">
        <v>2548.7785640000002</v>
      </c>
      <c r="D69">
        <v>2367.83374</v>
      </c>
      <c r="E69">
        <v>2547.0920409999999</v>
      </c>
      <c r="F69">
        <v>2547.0920409999999</v>
      </c>
      <c r="G69">
        <v>14666227351</v>
      </c>
      <c r="H69">
        <v>37128.445312999997</v>
      </c>
      <c r="I69">
        <v>37952.878905999998</v>
      </c>
      <c r="J69">
        <v>36211.109375</v>
      </c>
      <c r="K69">
        <v>37784.332030999998</v>
      </c>
      <c r="L69">
        <v>37784.332030999998</v>
      </c>
      <c r="M69">
        <v>22238830523</v>
      </c>
      <c r="N69">
        <v>1.000343</v>
      </c>
      <c r="O69">
        <v>1.000723</v>
      </c>
      <c r="P69">
        <v>1.000151</v>
      </c>
      <c r="Q69">
        <v>1.000345</v>
      </c>
      <c r="R69">
        <v>1.000345</v>
      </c>
      <c r="S69">
        <v>50688257403</v>
      </c>
      <c r="T69">
        <v>0.999749</v>
      </c>
      <c r="U69">
        <v>1.0012760000000001</v>
      </c>
      <c r="V69">
        <v>0.998969</v>
      </c>
      <c r="W69">
        <v>0.99965099999999996</v>
      </c>
      <c r="X69">
        <v>0.99965099999999996</v>
      </c>
      <c r="Y69">
        <v>4809047239</v>
      </c>
      <c r="Z69">
        <v>1.043234</v>
      </c>
      <c r="AA69">
        <v>1.058343</v>
      </c>
      <c r="AB69">
        <v>1.0140960000000001</v>
      </c>
      <c r="AC69">
        <v>1.0506059999999999</v>
      </c>
      <c r="AD69">
        <v>1.0506059999999999</v>
      </c>
      <c r="AE69">
        <v>1206550586</v>
      </c>
    </row>
    <row r="70" spans="1:31" x14ac:dyDescent="0.25">
      <c r="A70" s="1">
        <v>44590</v>
      </c>
      <c r="B70">
        <v>2546.5905760000001</v>
      </c>
      <c r="C70">
        <v>2627.609375</v>
      </c>
      <c r="D70">
        <v>2526.9897460000002</v>
      </c>
      <c r="E70">
        <v>2597.0847170000002</v>
      </c>
      <c r="F70">
        <v>2597.0847170000002</v>
      </c>
      <c r="G70">
        <v>11172062661</v>
      </c>
      <c r="H70">
        <v>37780.714844000002</v>
      </c>
      <c r="I70">
        <v>38576.261719000002</v>
      </c>
      <c r="J70">
        <v>37406.472655999998</v>
      </c>
      <c r="K70">
        <v>38138.179687999997</v>
      </c>
      <c r="L70">
        <v>38138.179687999997</v>
      </c>
      <c r="M70">
        <v>17194183075</v>
      </c>
      <c r="N70">
        <v>1.00034</v>
      </c>
      <c r="O70">
        <v>1.0006330000000001</v>
      </c>
      <c r="P70">
        <v>1.000194</v>
      </c>
      <c r="Q70">
        <v>1.000362</v>
      </c>
      <c r="R70">
        <v>1.000362</v>
      </c>
      <c r="S70">
        <v>39357192812</v>
      </c>
      <c r="T70">
        <v>0.99966299999999997</v>
      </c>
      <c r="U70">
        <v>1.000804</v>
      </c>
      <c r="V70">
        <v>0.99895800000000001</v>
      </c>
      <c r="W70">
        <v>1.0003949999999999</v>
      </c>
      <c r="X70">
        <v>1.0003949999999999</v>
      </c>
      <c r="Y70">
        <v>77941755281506</v>
      </c>
      <c r="Z70">
        <v>1.050492</v>
      </c>
      <c r="AA70">
        <v>1.080614</v>
      </c>
      <c r="AB70">
        <v>1.041647</v>
      </c>
      <c r="AC70">
        <v>1.0595699999999999</v>
      </c>
      <c r="AD70">
        <v>1.0595699999999999</v>
      </c>
      <c r="AE70">
        <v>913122499</v>
      </c>
    </row>
    <row r="71" spans="1:31" x14ac:dyDescent="0.25">
      <c r="A71" s="1">
        <v>44591</v>
      </c>
      <c r="B71">
        <v>2598.5649410000001</v>
      </c>
      <c r="C71">
        <v>2631.4084469999998</v>
      </c>
      <c r="D71">
        <v>2550.4609380000002</v>
      </c>
      <c r="E71">
        <v>2603.4665530000002</v>
      </c>
      <c r="F71">
        <v>2603.4665530000002</v>
      </c>
      <c r="G71">
        <v>9501221177</v>
      </c>
      <c r="H71">
        <v>38151.917969000002</v>
      </c>
      <c r="I71">
        <v>38266.339844000002</v>
      </c>
      <c r="J71">
        <v>37437.710937999997</v>
      </c>
      <c r="K71">
        <v>37917.601562999997</v>
      </c>
      <c r="L71">
        <v>37917.601562999997</v>
      </c>
      <c r="M71">
        <v>14643548444</v>
      </c>
      <c r="N71">
        <v>1.0004550000000001</v>
      </c>
      <c r="O71">
        <v>1.000607</v>
      </c>
      <c r="P71">
        <v>1.0002340000000001</v>
      </c>
      <c r="Q71">
        <v>1.0003409999999999</v>
      </c>
      <c r="R71">
        <v>1.0003409999999999</v>
      </c>
      <c r="S71">
        <v>35043713256</v>
      </c>
      <c r="T71">
        <v>1.000405</v>
      </c>
      <c r="U71">
        <v>1.0007509999999999</v>
      </c>
      <c r="V71">
        <v>0.99919599999999997</v>
      </c>
      <c r="W71">
        <v>1.000065</v>
      </c>
      <c r="X71">
        <v>1.000065</v>
      </c>
      <c r="Y71">
        <v>2333906963</v>
      </c>
      <c r="Z71">
        <v>1.0597479999999999</v>
      </c>
      <c r="AA71">
        <v>1.0753459999999999</v>
      </c>
      <c r="AB71">
        <v>1.0284180000000001</v>
      </c>
      <c r="AC71">
        <v>1.0374730000000001</v>
      </c>
      <c r="AD71">
        <v>1.0374730000000001</v>
      </c>
      <c r="AE71">
        <v>748084610</v>
      </c>
    </row>
    <row r="72" spans="1:31" x14ac:dyDescent="0.25">
      <c r="A72" s="1">
        <v>44592</v>
      </c>
      <c r="B72">
        <v>2603.2634280000002</v>
      </c>
      <c r="C72">
        <v>2697.7353520000001</v>
      </c>
      <c r="D72">
        <v>2489.0722660000001</v>
      </c>
      <c r="E72">
        <v>2688.2788089999999</v>
      </c>
      <c r="F72">
        <v>2688.2788089999999</v>
      </c>
      <c r="G72">
        <v>13778234614</v>
      </c>
      <c r="H72">
        <v>37920.28125</v>
      </c>
      <c r="I72">
        <v>38647.261719000002</v>
      </c>
      <c r="J72">
        <v>36733.574219000002</v>
      </c>
      <c r="K72">
        <v>38483.125</v>
      </c>
      <c r="L72">
        <v>38483.125</v>
      </c>
      <c r="M72">
        <v>20734730465</v>
      </c>
      <c r="N72">
        <v>1.0003439999999999</v>
      </c>
      <c r="O72">
        <v>1.000677</v>
      </c>
      <c r="P72">
        <v>1.000265</v>
      </c>
      <c r="Q72">
        <v>1.0004850000000001</v>
      </c>
      <c r="R72">
        <v>1.0004850000000001</v>
      </c>
      <c r="S72">
        <v>45082693892</v>
      </c>
      <c r="T72">
        <v>1.0000849999999999</v>
      </c>
      <c r="U72">
        <v>1.0010749999999999</v>
      </c>
      <c r="V72">
        <v>0.99908399999999997</v>
      </c>
      <c r="W72">
        <v>0.99953899999999996</v>
      </c>
      <c r="X72">
        <v>0.99953899999999996</v>
      </c>
      <c r="Y72">
        <v>2977541960</v>
      </c>
      <c r="Z72">
        <v>1.037615</v>
      </c>
      <c r="AA72">
        <v>1.057604</v>
      </c>
      <c r="AB72">
        <v>1.012046</v>
      </c>
      <c r="AC72">
        <v>1.052303</v>
      </c>
      <c r="AD72">
        <v>1.052303</v>
      </c>
      <c r="AE72">
        <v>925666321</v>
      </c>
    </row>
    <row r="73" spans="1:31" x14ac:dyDescent="0.25">
      <c r="A73" s="1">
        <v>44593</v>
      </c>
      <c r="B73">
        <v>2687.8989259999998</v>
      </c>
      <c r="C73">
        <v>2802.3154300000001</v>
      </c>
      <c r="D73">
        <v>2682.6218260000001</v>
      </c>
      <c r="E73">
        <v>2792.1171880000002</v>
      </c>
      <c r="F73">
        <v>2792.1171880000002</v>
      </c>
      <c r="G73">
        <v>13194846235</v>
      </c>
      <c r="H73">
        <v>38481.765625</v>
      </c>
      <c r="I73">
        <v>39115.132812999997</v>
      </c>
      <c r="J73">
        <v>38113.664062999997</v>
      </c>
      <c r="K73">
        <v>38743.273437999997</v>
      </c>
      <c r="L73">
        <v>38743.273437999997</v>
      </c>
      <c r="M73">
        <v>20288500328</v>
      </c>
      <c r="N73">
        <v>1.000505</v>
      </c>
      <c r="O73">
        <v>1.0007410000000001</v>
      </c>
      <c r="P73">
        <v>1.000354</v>
      </c>
      <c r="Q73">
        <v>1.000426</v>
      </c>
      <c r="R73">
        <v>1.000426</v>
      </c>
      <c r="S73">
        <v>43193864245</v>
      </c>
      <c r="T73">
        <v>0.99951999999999996</v>
      </c>
      <c r="U73">
        <v>1.000467</v>
      </c>
      <c r="V73">
        <v>0.999089</v>
      </c>
      <c r="W73">
        <v>0.99968299999999999</v>
      </c>
      <c r="X73">
        <v>0.99968299999999999</v>
      </c>
      <c r="Y73">
        <v>3093316095</v>
      </c>
      <c r="Z73">
        <v>1.0522359999999999</v>
      </c>
      <c r="AA73">
        <v>1.092317</v>
      </c>
      <c r="AB73">
        <v>1.0378860000000001</v>
      </c>
      <c r="AC73">
        <v>1.088624</v>
      </c>
      <c r="AD73">
        <v>1.088624</v>
      </c>
      <c r="AE73">
        <v>1130552843</v>
      </c>
    </row>
    <row r="74" spans="1:31" x14ac:dyDescent="0.25">
      <c r="A74" s="1">
        <v>44594</v>
      </c>
      <c r="B74">
        <v>2791.9589839999999</v>
      </c>
      <c r="C74">
        <v>2802.2121579999998</v>
      </c>
      <c r="D74">
        <v>2630.1203609999998</v>
      </c>
      <c r="E74">
        <v>2682.8540039999998</v>
      </c>
      <c r="F74">
        <v>2682.8540039999998</v>
      </c>
      <c r="G74">
        <v>13876301217</v>
      </c>
      <c r="H74">
        <v>38743.714844000002</v>
      </c>
      <c r="I74">
        <v>38834.617187999997</v>
      </c>
      <c r="J74">
        <v>36832.730469000002</v>
      </c>
      <c r="K74">
        <v>36952.984375</v>
      </c>
      <c r="L74">
        <v>36952.984375</v>
      </c>
      <c r="M74">
        <v>19155189416</v>
      </c>
      <c r="N74">
        <v>1.000427</v>
      </c>
      <c r="O74">
        <v>1.000664</v>
      </c>
      <c r="P74">
        <v>1.000308</v>
      </c>
      <c r="Q74">
        <v>1.00038</v>
      </c>
      <c r="R74">
        <v>1.00038</v>
      </c>
      <c r="S74">
        <v>44198324772</v>
      </c>
      <c r="T74">
        <v>0.99970599999999998</v>
      </c>
      <c r="U74">
        <v>1.000726</v>
      </c>
      <c r="V74">
        <v>0.99917500000000004</v>
      </c>
      <c r="W74">
        <v>0.99996700000000005</v>
      </c>
      <c r="X74">
        <v>0.99996700000000005</v>
      </c>
      <c r="Y74">
        <v>2735917325</v>
      </c>
      <c r="Z74">
        <v>1.090309</v>
      </c>
      <c r="AA74">
        <v>1.1002400000000001</v>
      </c>
      <c r="AB74">
        <v>1.0277499999999999</v>
      </c>
      <c r="AC74">
        <v>1.0289060000000001</v>
      </c>
      <c r="AD74">
        <v>1.0289060000000001</v>
      </c>
      <c r="AE74">
        <v>1086043481</v>
      </c>
    </row>
    <row r="75" spans="1:31" x14ac:dyDescent="0.25">
      <c r="A75" s="1">
        <v>44595</v>
      </c>
      <c r="B75">
        <v>2682.2260740000002</v>
      </c>
      <c r="C75">
        <v>2712.4826659999999</v>
      </c>
      <c r="D75">
        <v>2587.7834469999998</v>
      </c>
      <c r="E75">
        <v>2679.1625979999999</v>
      </c>
      <c r="F75">
        <v>2679.1625979999999</v>
      </c>
      <c r="G75">
        <v>12755505065</v>
      </c>
      <c r="H75">
        <v>36944.804687999997</v>
      </c>
      <c r="I75">
        <v>37154.601562999997</v>
      </c>
      <c r="J75">
        <v>36375.539062999997</v>
      </c>
      <c r="K75">
        <v>37154.601562999997</v>
      </c>
      <c r="L75">
        <v>37154.601562999997</v>
      </c>
      <c r="M75">
        <v>18591534769</v>
      </c>
      <c r="N75">
        <v>1.00038</v>
      </c>
      <c r="O75">
        <v>1.0007619999999999</v>
      </c>
      <c r="P75">
        <v>1.0002880000000001</v>
      </c>
      <c r="Q75">
        <v>1.000386</v>
      </c>
      <c r="R75">
        <v>1.000386</v>
      </c>
      <c r="S75">
        <v>41979444063</v>
      </c>
      <c r="T75">
        <v>0.99990100000000004</v>
      </c>
      <c r="U75">
        <v>1.0006269999999999</v>
      </c>
      <c r="V75">
        <v>0.99905999999999995</v>
      </c>
      <c r="W75">
        <v>1.0002310000000001</v>
      </c>
      <c r="X75">
        <v>1.0002310000000001</v>
      </c>
      <c r="Y75">
        <v>2639131315</v>
      </c>
      <c r="Z75">
        <v>1.028688</v>
      </c>
      <c r="AA75">
        <v>1.0572250000000001</v>
      </c>
      <c r="AB75">
        <v>1.019261</v>
      </c>
      <c r="AC75">
        <v>1.0564439999999999</v>
      </c>
      <c r="AD75">
        <v>1.0564439999999999</v>
      </c>
      <c r="AE75">
        <v>873675008</v>
      </c>
    </row>
    <row r="76" spans="1:31" x14ac:dyDescent="0.25">
      <c r="A76" s="1">
        <v>44596</v>
      </c>
      <c r="B76">
        <v>2681.0576169999999</v>
      </c>
      <c r="C76">
        <v>2983.586914</v>
      </c>
      <c r="D76">
        <v>2675.4438479999999</v>
      </c>
      <c r="E76">
        <v>2983.586914</v>
      </c>
      <c r="F76">
        <v>2983.586914</v>
      </c>
      <c r="G76">
        <v>18987223729</v>
      </c>
      <c r="H76">
        <v>37149.265625</v>
      </c>
      <c r="I76">
        <v>41527.785155999998</v>
      </c>
      <c r="J76">
        <v>37093.628905999998</v>
      </c>
      <c r="K76">
        <v>41500.875</v>
      </c>
      <c r="L76">
        <v>41500.875</v>
      </c>
      <c r="M76">
        <v>29412210792</v>
      </c>
      <c r="N76">
        <v>1.0003869999999999</v>
      </c>
      <c r="O76">
        <v>1.0009939999999999</v>
      </c>
      <c r="P76">
        <v>1.000278</v>
      </c>
      <c r="Q76">
        <v>1.0005630000000001</v>
      </c>
      <c r="R76">
        <v>1.0005630000000001</v>
      </c>
      <c r="S76">
        <v>59154422463</v>
      </c>
      <c r="T76">
        <v>1.0001869999999999</v>
      </c>
      <c r="U76">
        <v>1.0006759999999999</v>
      </c>
      <c r="V76">
        <v>0.99923200000000001</v>
      </c>
      <c r="W76">
        <v>0.999533</v>
      </c>
      <c r="X76">
        <v>0.999533</v>
      </c>
      <c r="Y76">
        <v>5446795900</v>
      </c>
      <c r="Z76">
        <v>1.056243</v>
      </c>
      <c r="AA76">
        <v>1.135624</v>
      </c>
      <c r="AB76">
        <v>1.0472969999999999</v>
      </c>
      <c r="AC76">
        <v>1.135624</v>
      </c>
      <c r="AD76">
        <v>1.135624</v>
      </c>
      <c r="AE76">
        <v>1178757518</v>
      </c>
    </row>
    <row r="77" spans="1:31" x14ac:dyDescent="0.25">
      <c r="A77" s="1">
        <v>44597</v>
      </c>
      <c r="B77">
        <v>2984.4460450000001</v>
      </c>
      <c r="C77">
        <v>3054.1301269999999</v>
      </c>
      <c r="D77">
        <v>2966.7810060000002</v>
      </c>
      <c r="E77">
        <v>3014.648193</v>
      </c>
      <c r="F77">
        <v>3014.648193</v>
      </c>
      <c r="G77">
        <v>13102093957</v>
      </c>
      <c r="H77">
        <v>41501.480469000002</v>
      </c>
      <c r="I77">
        <v>41847.164062999997</v>
      </c>
      <c r="J77">
        <v>41038.097655999998</v>
      </c>
      <c r="K77">
        <v>41441.164062999997</v>
      </c>
      <c r="L77">
        <v>41441.164062999997</v>
      </c>
      <c r="M77">
        <v>19652846215</v>
      </c>
      <c r="N77">
        <v>1.000564</v>
      </c>
      <c r="O77">
        <v>1.000807</v>
      </c>
      <c r="P77">
        <v>1.000378</v>
      </c>
      <c r="Q77">
        <v>1.0005949999999999</v>
      </c>
      <c r="R77">
        <v>1.0005949999999999</v>
      </c>
      <c r="S77">
        <v>50686325002</v>
      </c>
      <c r="T77">
        <v>0.99958499999999995</v>
      </c>
      <c r="U77">
        <v>1.0004789999999999</v>
      </c>
      <c r="V77">
        <v>0.998865</v>
      </c>
      <c r="W77">
        <v>1.0001169999999999</v>
      </c>
      <c r="X77">
        <v>1.0001169999999999</v>
      </c>
      <c r="Y77">
        <v>5767688766</v>
      </c>
      <c r="Z77">
        <v>1.136061</v>
      </c>
      <c r="AA77">
        <v>1.172885</v>
      </c>
      <c r="AB77">
        <v>1.1026180000000001</v>
      </c>
      <c r="AC77">
        <v>1.127345</v>
      </c>
      <c r="AD77">
        <v>1.127345</v>
      </c>
      <c r="AE77">
        <v>1363912644</v>
      </c>
    </row>
    <row r="78" spans="1:31" x14ac:dyDescent="0.25">
      <c r="A78" s="1">
        <v>44598</v>
      </c>
      <c r="B78">
        <v>3014.9597170000002</v>
      </c>
      <c r="C78">
        <v>3061.2612300000001</v>
      </c>
      <c r="D78">
        <v>2965.429932</v>
      </c>
      <c r="E78">
        <v>3057.4760740000002</v>
      </c>
      <c r="F78">
        <v>3057.4760740000002</v>
      </c>
      <c r="G78">
        <v>9466018022</v>
      </c>
      <c r="H78">
        <v>41441.121094000002</v>
      </c>
      <c r="I78">
        <v>42500.785155999998</v>
      </c>
      <c r="J78">
        <v>41244.90625</v>
      </c>
      <c r="K78">
        <v>42412.433594000002</v>
      </c>
      <c r="L78">
        <v>42412.433594000002</v>
      </c>
      <c r="M78">
        <v>16142097334</v>
      </c>
      <c r="N78">
        <v>1.0005869999999999</v>
      </c>
      <c r="O78">
        <v>1.000829</v>
      </c>
      <c r="P78">
        <v>1.0003629999999999</v>
      </c>
      <c r="Q78">
        <v>1.0006790000000001</v>
      </c>
      <c r="R78">
        <v>1.0006790000000001</v>
      </c>
      <c r="S78">
        <v>40572292703</v>
      </c>
      <c r="T78">
        <v>1.0000910000000001</v>
      </c>
      <c r="U78">
        <v>1.000494</v>
      </c>
      <c r="V78">
        <v>0.99904099999999996</v>
      </c>
      <c r="W78">
        <v>1.0003569999999999</v>
      </c>
      <c r="X78">
        <v>1.0003569999999999</v>
      </c>
      <c r="Y78">
        <v>2185135025</v>
      </c>
      <c r="Z78">
        <v>1.127235</v>
      </c>
      <c r="AA78">
        <v>1.1478029999999999</v>
      </c>
      <c r="AB78">
        <v>1.1031679999999999</v>
      </c>
      <c r="AC78">
        <v>1.144547</v>
      </c>
      <c r="AD78">
        <v>1.144547</v>
      </c>
      <c r="AE78">
        <v>911521818</v>
      </c>
    </row>
    <row r="79" spans="1:31" x14ac:dyDescent="0.25">
      <c r="A79" s="1">
        <v>44599</v>
      </c>
      <c r="B79">
        <v>3057.4221189999998</v>
      </c>
      <c r="C79">
        <v>3182.5283199999999</v>
      </c>
      <c r="D79">
        <v>3002.9270019999999</v>
      </c>
      <c r="E79">
        <v>3142.470703</v>
      </c>
      <c r="F79">
        <v>3142.470703</v>
      </c>
      <c r="G79">
        <v>15197063785</v>
      </c>
      <c r="H79">
        <v>42406.78125</v>
      </c>
      <c r="I79">
        <v>44401.863280999998</v>
      </c>
      <c r="J79">
        <v>41748.15625</v>
      </c>
      <c r="K79">
        <v>43840.285155999998</v>
      </c>
      <c r="L79">
        <v>43840.285155999998</v>
      </c>
      <c r="M79">
        <v>28641855926</v>
      </c>
      <c r="N79">
        <v>1.000677</v>
      </c>
      <c r="O79">
        <v>1.000853</v>
      </c>
      <c r="P79">
        <v>1.000397</v>
      </c>
      <c r="Q79">
        <v>1.0005550000000001</v>
      </c>
      <c r="R79">
        <v>1.0005550000000001</v>
      </c>
      <c r="S79">
        <v>64635714287</v>
      </c>
      <c r="T79">
        <v>1.0003120000000001</v>
      </c>
      <c r="U79">
        <v>1.001153</v>
      </c>
      <c r="V79">
        <v>0.99899800000000005</v>
      </c>
      <c r="W79">
        <v>0.99902199999999997</v>
      </c>
      <c r="X79">
        <v>0.99902199999999997</v>
      </c>
      <c r="Y79">
        <v>3534437072</v>
      </c>
      <c r="Z79">
        <v>1.1443559999999999</v>
      </c>
      <c r="AA79">
        <v>1.2068540000000001</v>
      </c>
      <c r="AB79">
        <v>1.1282639999999999</v>
      </c>
      <c r="AC79">
        <v>1.1973069999999999</v>
      </c>
      <c r="AD79">
        <v>1.1973069999999999</v>
      </c>
      <c r="AE79">
        <v>2107219347</v>
      </c>
    </row>
    <row r="80" spans="1:31" x14ac:dyDescent="0.25">
      <c r="A80" s="1">
        <v>44600</v>
      </c>
      <c r="B80">
        <v>3143.0085450000001</v>
      </c>
      <c r="C80">
        <v>3219.4726559999999</v>
      </c>
      <c r="D80">
        <v>3038.3779300000001</v>
      </c>
      <c r="E80">
        <v>3122.608643</v>
      </c>
      <c r="F80">
        <v>3122.608643</v>
      </c>
      <c r="G80">
        <v>17136080906</v>
      </c>
      <c r="H80">
        <v>43854.652344000002</v>
      </c>
      <c r="I80">
        <v>45293.867187999997</v>
      </c>
      <c r="J80">
        <v>42807.835937999997</v>
      </c>
      <c r="K80">
        <v>44118.445312999997</v>
      </c>
      <c r="L80">
        <v>44118.445312999997</v>
      </c>
      <c r="M80">
        <v>33079398868</v>
      </c>
      <c r="N80">
        <v>1.0005539999999999</v>
      </c>
      <c r="O80">
        <v>1.000991</v>
      </c>
      <c r="P80">
        <v>1.0004919999999999</v>
      </c>
      <c r="Q80">
        <v>1.0006189999999999</v>
      </c>
      <c r="R80">
        <v>1.0006189999999999</v>
      </c>
      <c r="S80">
        <v>72230569455</v>
      </c>
      <c r="T80">
        <v>0.99907699999999999</v>
      </c>
      <c r="U80">
        <v>1.0005679999999999</v>
      </c>
      <c r="V80">
        <v>0.99799099999999996</v>
      </c>
      <c r="W80">
        <v>0.99917100000000003</v>
      </c>
      <c r="X80">
        <v>0.99917100000000003</v>
      </c>
      <c r="Y80">
        <v>3736950599</v>
      </c>
      <c r="Z80">
        <v>1.1976500000000001</v>
      </c>
      <c r="AA80">
        <v>1.257816</v>
      </c>
      <c r="AB80">
        <v>1.135913</v>
      </c>
      <c r="AC80">
        <v>1.17872</v>
      </c>
      <c r="AD80">
        <v>1.17872</v>
      </c>
      <c r="AE80">
        <v>2267265855</v>
      </c>
    </row>
    <row r="81" spans="1:31" x14ac:dyDescent="0.25">
      <c r="A81" s="1">
        <v>44601</v>
      </c>
      <c r="B81">
        <v>3121.1826169999999</v>
      </c>
      <c r="C81">
        <v>3263.1557619999999</v>
      </c>
      <c r="D81">
        <v>3063.1601559999999</v>
      </c>
      <c r="E81">
        <v>3239.4570309999999</v>
      </c>
      <c r="F81">
        <v>3239.4570309999999</v>
      </c>
      <c r="G81">
        <v>13951308490</v>
      </c>
      <c r="H81">
        <v>44096.703125</v>
      </c>
      <c r="I81">
        <v>44727.800780999998</v>
      </c>
      <c r="J81">
        <v>43232.96875</v>
      </c>
      <c r="K81">
        <v>44338.796875</v>
      </c>
      <c r="L81">
        <v>44338.796875</v>
      </c>
      <c r="M81">
        <v>23245887300</v>
      </c>
      <c r="N81">
        <v>1.000605</v>
      </c>
      <c r="O81">
        <v>1.000999</v>
      </c>
      <c r="P81">
        <v>1.000545</v>
      </c>
      <c r="Q81">
        <v>1.0007440000000001</v>
      </c>
      <c r="R81">
        <v>1.0007440000000001</v>
      </c>
      <c r="S81">
        <v>53386706331</v>
      </c>
      <c r="T81">
        <v>0.99911300000000003</v>
      </c>
      <c r="U81">
        <v>1.000564</v>
      </c>
      <c r="V81">
        <v>0.99900900000000004</v>
      </c>
      <c r="W81">
        <v>0.999587</v>
      </c>
      <c r="X81">
        <v>0.999587</v>
      </c>
      <c r="Y81">
        <v>2902479207</v>
      </c>
      <c r="Z81">
        <v>1.1779580000000001</v>
      </c>
      <c r="AA81">
        <v>1.2121569999999999</v>
      </c>
      <c r="AB81">
        <v>1.1547499999999999</v>
      </c>
      <c r="AC81">
        <v>1.1948099999999999</v>
      </c>
      <c r="AD81">
        <v>1.1948099999999999</v>
      </c>
      <c r="AE81">
        <v>1239455609</v>
      </c>
    </row>
    <row r="82" spans="1:31" x14ac:dyDescent="0.25">
      <c r="A82" s="1">
        <v>44602</v>
      </c>
      <c r="B82">
        <v>3240.1130370000001</v>
      </c>
      <c r="C82">
        <v>3271.3161620000001</v>
      </c>
      <c r="D82">
        <v>3070.3781739999999</v>
      </c>
      <c r="E82">
        <v>3077.4821780000002</v>
      </c>
      <c r="F82">
        <v>3077.4821780000002</v>
      </c>
      <c r="G82">
        <v>18629485080</v>
      </c>
      <c r="H82">
        <v>44347.800780999998</v>
      </c>
      <c r="I82">
        <v>45661.171875</v>
      </c>
      <c r="J82">
        <v>43402.808594000002</v>
      </c>
      <c r="K82">
        <v>43565.113280999998</v>
      </c>
      <c r="L82">
        <v>43565.113280999998</v>
      </c>
      <c r="M82">
        <v>32142048537</v>
      </c>
      <c r="N82">
        <v>1.0007299999999999</v>
      </c>
      <c r="O82">
        <v>1.0010540000000001</v>
      </c>
      <c r="P82">
        <v>1.000507</v>
      </c>
      <c r="Q82">
        <v>1.000726</v>
      </c>
      <c r="R82">
        <v>1.000726</v>
      </c>
      <c r="S82">
        <v>77334791717</v>
      </c>
      <c r="T82">
        <v>0.99959200000000004</v>
      </c>
      <c r="U82">
        <v>1.000821</v>
      </c>
      <c r="V82">
        <v>0.99888299999999997</v>
      </c>
      <c r="W82">
        <v>1.000103</v>
      </c>
      <c r="X82">
        <v>1.000103</v>
      </c>
      <c r="Y82">
        <v>4195499895</v>
      </c>
      <c r="Z82">
        <v>1.194636</v>
      </c>
      <c r="AA82">
        <v>1.2186669999999999</v>
      </c>
      <c r="AB82">
        <v>1.1491819999999999</v>
      </c>
      <c r="AC82">
        <v>1.1524779999999999</v>
      </c>
      <c r="AD82">
        <v>1.1524779999999999</v>
      </c>
      <c r="AE82">
        <v>1810255178</v>
      </c>
    </row>
    <row r="83" spans="1:31" x14ac:dyDescent="0.25">
      <c r="A83" s="1">
        <v>44603</v>
      </c>
      <c r="B83">
        <v>3077.413086</v>
      </c>
      <c r="C83">
        <v>3127.4506839999999</v>
      </c>
      <c r="D83">
        <v>2888.7077640000002</v>
      </c>
      <c r="E83">
        <v>2927.3835450000001</v>
      </c>
      <c r="F83">
        <v>2927.3835450000001</v>
      </c>
      <c r="G83">
        <v>16043881065</v>
      </c>
      <c r="H83">
        <v>43571.128905999998</v>
      </c>
      <c r="I83">
        <v>43810.832030999998</v>
      </c>
      <c r="J83">
        <v>42114.539062999997</v>
      </c>
      <c r="K83">
        <v>42407.9375</v>
      </c>
      <c r="L83">
        <v>42407.9375</v>
      </c>
      <c r="M83">
        <v>26954925781</v>
      </c>
      <c r="N83">
        <v>1.0007299999999999</v>
      </c>
      <c r="O83">
        <v>1.002683</v>
      </c>
      <c r="P83">
        <v>1.0005040000000001</v>
      </c>
      <c r="Q83">
        <v>1.0007219999999999</v>
      </c>
      <c r="R83">
        <v>1.0007219999999999</v>
      </c>
      <c r="S83">
        <v>66753002645</v>
      </c>
      <c r="T83">
        <v>1.0001439999999999</v>
      </c>
      <c r="U83">
        <v>1.000532</v>
      </c>
      <c r="V83">
        <v>0.99868400000000002</v>
      </c>
      <c r="W83">
        <v>0.99936800000000003</v>
      </c>
      <c r="X83">
        <v>0.99936800000000003</v>
      </c>
      <c r="Y83">
        <v>4014217487</v>
      </c>
      <c r="Z83">
        <v>1.152571</v>
      </c>
      <c r="AA83">
        <v>1.1625730000000001</v>
      </c>
      <c r="AB83">
        <v>1.072568</v>
      </c>
      <c r="AC83">
        <v>1.0803469999999999</v>
      </c>
      <c r="AD83">
        <v>1.0803469999999999</v>
      </c>
      <c r="AE83">
        <v>1395763170</v>
      </c>
    </row>
    <row r="84" spans="1:31" x14ac:dyDescent="0.25">
      <c r="A84" s="1">
        <v>44604</v>
      </c>
      <c r="B84">
        <v>2927.3864749999998</v>
      </c>
      <c r="C84">
        <v>2980.079346</v>
      </c>
      <c r="D84">
        <v>2870.1770019999999</v>
      </c>
      <c r="E84">
        <v>2917.3627929999998</v>
      </c>
      <c r="F84">
        <v>2917.3627929999998</v>
      </c>
      <c r="G84">
        <v>11254355757</v>
      </c>
      <c r="H84">
        <v>42412.300780999998</v>
      </c>
      <c r="I84">
        <v>42992.550780999998</v>
      </c>
      <c r="J84">
        <v>41852.574219000002</v>
      </c>
      <c r="K84">
        <v>42244.46875</v>
      </c>
      <c r="L84">
        <v>42244.46875</v>
      </c>
      <c r="M84">
        <v>18152390304</v>
      </c>
      <c r="N84">
        <v>1.0007200000000001</v>
      </c>
      <c r="O84">
        <v>1.0010730000000001</v>
      </c>
      <c r="P84">
        <v>1.000472</v>
      </c>
      <c r="Q84">
        <v>1.0006010000000001</v>
      </c>
      <c r="R84">
        <v>1.0006010000000001</v>
      </c>
      <c r="S84">
        <v>49138854287</v>
      </c>
      <c r="T84">
        <v>0.99938300000000002</v>
      </c>
      <c r="U84">
        <v>1.000678</v>
      </c>
      <c r="V84">
        <v>0.99882599999999999</v>
      </c>
      <c r="W84">
        <v>1.0001770000000001</v>
      </c>
      <c r="X84">
        <v>1.0001770000000001</v>
      </c>
      <c r="Y84">
        <v>2817156195</v>
      </c>
      <c r="Z84">
        <v>1.080511</v>
      </c>
      <c r="AA84">
        <v>1.091407</v>
      </c>
      <c r="AB84">
        <v>1.0347170000000001</v>
      </c>
      <c r="AC84">
        <v>1.0581989999999999</v>
      </c>
      <c r="AD84">
        <v>1.0581989999999999</v>
      </c>
      <c r="AE84">
        <v>1401190670</v>
      </c>
    </row>
    <row r="85" spans="1:31" x14ac:dyDescent="0.25">
      <c r="A85" s="1">
        <v>44605</v>
      </c>
      <c r="B85">
        <v>2916.7895509999998</v>
      </c>
      <c r="C85">
        <v>2947.7766109999998</v>
      </c>
      <c r="D85">
        <v>2845.3977049999999</v>
      </c>
      <c r="E85">
        <v>2883.4633789999998</v>
      </c>
      <c r="F85">
        <v>2883.4633789999998</v>
      </c>
      <c r="G85">
        <v>9054963563</v>
      </c>
      <c r="H85">
        <v>42236.566405999998</v>
      </c>
      <c r="I85">
        <v>42693.054687999997</v>
      </c>
      <c r="J85">
        <v>41950.941405999998</v>
      </c>
      <c r="K85">
        <v>42197.515625</v>
      </c>
      <c r="L85">
        <v>42197.515625</v>
      </c>
      <c r="M85">
        <v>14741589015</v>
      </c>
      <c r="N85">
        <v>1.000597</v>
      </c>
      <c r="O85">
        <v>1.000864</v>
      </c>
      <c r="P85">
        <v>1.0004169999999999</v>
      </c>
      <c r="Q85">
        <v>1.000456</v>
      </c>
      <c r="R85">
        <v>1.000456</v>
      </c>
      <c r="S85">
        <v>41277090178</v>
      </c>
      <c r="T85">
        <v>1.0001549999999999</v>
      </c>
      <c r="U85">
        <v>1.0006219999999999</v>
      </c>
      <c r="V85">
        <v>0.99876799999999999</v>
      </c>
      <c r="W85">
        <v>0.99998299999999996</v>
      </c>
      <c r="X85">
        <v>0.99998299999999996</v>
      </c>
      <c r="Y85">
        <v>2123450728</v>
      </c>
      <c r="Z85">
        <v>1.0580080000000001</v>
      </c>
      <c r="AA85">
        <v>1.0709439999999999</v>
      </c>
      <c r="AB85">
        <v>1.0356289999999999</v>
      </c>
      <c r="AC85">
        <v>1.0458190000000001</v>
      </c>
      <c r="AD85">
        <v>1.0458190000000001</v>
      </c>
      <c r="AE85">
        <v>1066206015</v>
      </c>
    </row>
    <row r="86" spans="1:31" x14ac:dyDescent="0.25">
      <c r="A86" s="1">
        <v>44606</v>
      </c>
      <c r="B86">
        <v>2880.1877439999998</v>
      </c>
      <c r="C86">
        <v>2957.9636230000001</v>
      </c>
      <c r="D86">
        <v>2840.257568</v>
      </c>
      <c r="E86">
        <v>2933.4790039999998</v>
      </c>
      <c r="F86">
        <v>2933.4790039999998</v>
      </c>
      <c r="G86">
        <v>12164552172</v>
      </c>
      <c r="H86">
        <v>42157.398437999997</v>
      </c>
      <c r="I86">
        <v>42775.777344000002</v>
      </c>
      <c r="J86">
        <v>41681.957030999998</v>
      </c>
      <c r="K86">
        <v>42586.917969000002</v>
      </c>
      <c r="L86">
        <v>42586.917969000002</v>
      </c>
      <c r="M86">
        <v>20827783012</v>
      </c>
      <c r="N86">
        <v>1.0004440000000001</v>
      </c>
      <c r="O86">
        <v>1.0008649999999999</v>
      </c>
      <c r="P86">
        <v>1.000326</v>
      </c>
      <c r="Q86">
        <v>1.000513</v>
      </c>
      <c r="R86">
        <v>1.000513</v>
      </c>
      <c r="S86">
        <v>48318327792</v>
      </c>
      <c r="T86">
        <v>0.99998500000000001</v>
      </c>
      <c r="U86">
        <v>1.000691</v>
      </c>
      <c r="V86">
        <v>0.99897800000000003</v>
      </c>
      <c r="W86">
        <v>0.99936499999999995</v>
      </c>
      <c r="X86">
        <v>0.99936499999999995</v>
      </c>
      <c r="Y86">
        <v>2963505590</v>
      </c>
      <c r="Z86">
        <v>1.045469</v>
      </c>
      <c r="AA86">
        <v>1.052781</v>
      </c>
      <c r="AB86">
        <v>1.0215289999999999</v>
      </c>
      <c r="AC86">
        <v>1.0502670000000001</v>
      </c>
      <c r="AD86">
        <v>1.0502670000000001</v>
      </c>
      <c r="AE86">
        <v>1261583495</v>
      </c>
    </row>
    <row r="87" spans="1:31" x14ac:dyDescent="0.25">
      <c r="A87" s="1">
        <v>44607</v>
      </c>
      <c r="B87">
        <v>2933.7290039999998</v>
      </c>
      <c r="C87">
        <v>3185.5207519999999</v>
      </c>
      <c r="D87">
        <v>2917.8571780000002</v>
      </c>
      <c r="E87">
        <v>3179.8771969999998</v>
      </c>
      <c r="F87">
        <v>3179.8771969999998</v>
      </c>
      <c r="G87">
        <v>13921257873</v>
      </c>
      <c r="H87">
        <v>42586.464844000002</v>
      </c>
      <c r="I87">
        <v>44667.21875</v>
      </c>
      <c r="J87">
        <v>42491.035155999998</v>
      </c>
      <c r="K87">
        <v>44575.203125</v>
      </c>
      <c r="L87">
        <v>44575.203125</v>
      </c>
      <c r="M87">
        <v>22721659051</v>
      </c>
      <c r="N87">
        <v>1.000513</v>
      </c>
      <c r="O87">
        <v>1.00074</v>
      </c>
      <c r="P87">
        <v>1.000364</v>
      </c>
      <c r="Q87">
        <v>1.0005850000000001</v>
      </c>
      <c r="R87">
        <v>1.0005850000000001</v>
      </c>
      <c r="S87">
        <v>53542330209</v>
      </c>
      <c r="T87">
        <v>0.99933000000000005</v>
      </c>
      <c r="U87">
        <v>1.0004150000000001</v>
      </c>
      <c r="V87">
        <v>0.998861</v>
      </c>
      <c r="W87">
        <v>0.99957099999999999</v>
      </c>
      <c r="X87">
        <v>0.99957099999999999</v>
      </c>
      <c r="Y87">
        <v>3303759191</v>
      </c>
      <c r="Z87">
        <v>1.0502180000000001</v>
      </c>
      <c r="AA87">
        <v>1.1133660000000001</v>
      </c>
      <c r="AB87">
        <v>1.0500179999999999</v>
      </c>
      <c r="AC87">
        <v>1.107586</v>
      </c>
      <c r="AD87">
        <v>1.107586</v>
      </c>
      <c r="AE87">
        <v>1370174980</v>
      </c>
    </row>
    <row r="88" spans="1:31" x14ac:dyDescent="0.25">
      <c r="A88" s="1">
        <v>44608</v>
      </c>
      <c r="B88">
        <v>3180.4467770000001</v>
      </c>
      <c r="C88">
        <v>3181.616943</v>
      </c>
      <c r="D88">
        <v>3055.1682129999999</v>
      </c>
      <c r="E88">
        <v>3127.830078</v>
      </c>
      <c r="F88">
        <v>3127.830078</v>
      </c>
      <c r="G88">
        <v>12352406833</v>
      </c>
      <c r="H88">
        <v>44578.277344000002</v>
      </c>
      <c r="I88">
        <v>44578.277344000002</v>
      </c>
      <c r="J88">
        <v>43456.691405999998</v>
      </c>
      <c r="K88">
        <v>43961.859375</v>
      </c>
      <c r="L88">
        <v>43961.859375</v>
      </c>
      <c r="M88">
        <v>19792547657</v>
      </c>
      <c r="N88">
        <v>1.0005999999999999</v>
      </c>
      <c r="O88">
        <v>1.000699</v>
      </c>
      <c r="P88">
        <v>1.00034</v>
      </c>
      <c r="Q88">
        <v>1.000397</v>
      </c>
      <c r="R88">
        <v>1.000397</v>
      </c>
      <c r="S88">
        <v>48729582312</v>
      </c>
      <c r="T88">
        <v>0.99960899999999997</v>
      </c>
      <c r="U88">
        <v>1.0006660000000001</v>
      </c>
      <c r="V88">
        <v>0.99892199999999998</v>
      </c>
      <c r="W88">
        <v>0.999776</v>
      </c>
      <c r="X88">
        <v>0.999776</v>
      </c>
      <c r="Y88">
        <v>3231224663</v>
      </c>
      <c r="Z88">
        <v>1.107631</v>
      </c>
      <c r="AA88">
        <v>1.110541</v>
      </c>
      <c r="AB88">
        <v>1.0692889999999999</v>
      </c>
      <c r="AC88">
        <v>1.084981</v>
      </c>
      <c r="AD88">
        <v>1.084981</v>
      </c>
      <c r="AE88">
        <v>1028924852</v>
      </c>
    </row>
    <row r="89" spans="1:31" x14ac:dyDescent="0.25">
      <c r="A89" s="1">
        <v>44609</v>
      </c>
      <c r="B89">
        <v>3126.8583979999999</v>
      </c>
      <c r="C89">
        <v>3154.6152339999999</v>
      </c>
      <c r="D89">
        <v>2861.8520509999998</v>
      </c>
      <c r="E89">
        <v>2881.4819339999999</v>
      </c>
      <c r="F89">
        <v>2881.4819339999999</v>
      </c>
      <c r="G89">
        <v>15860206214</v>
      </c>
      <c r="H89">
        <v>43937.070312999997</v>
      </c>
      <c r="I89">
        <v>44132.972655999998</v>
      </c>
      <c r="J89">
        <v>40249.371094000002</v>
      </c>
      <c r="K89">
        <v>40538.011719000002</v>
      </c>
      <c r="L89">
        <v>40538.011719000002</v>
      </c>
      <c r="M89">
        <v>26246662813</v>
      </c>
      <c r="N89">
        <v>1.0004029999999999</v>
      </c>
      <c r="O89">
        <v>1.0006010000000001</v>
      </c>
      <c r="P89">
        <v>1.0003249999999999</v>
      </c>
      <c r="Q89">
        <v>1.000515</v>
      </c>
      <c r="R89">
        <v>1.000515</v>
      </c>
      <c r="S89">
        <v>59426477844</v>
      </c>
      <c r="T89">
        <v>0.99969699999999995</v>
      </c>
      <c r="U89">
        <v>1.0004550000000001</v>
      </c>
      <c r="V89">
        <v>0.99888399999999999</v>
      </c>
      <c r="W89">
        <v>0.99940200000000001</v>
      </c>
      <c r="X89">
        <v>0.99940200000000001</v>
      </c>
      <c r="Y89">
        <v>3964363431</v>
      </c>
      <c r="Z89">
        <v>1.0843179999999999</v>
      </c>
      <c r="AA89">
        <v>1.091512</v>
      </c>
      <c r="AB89">
        <v>1.012222</v>
      </c>
      <c r="AC89">
        <v>1.019895</v>
      </c>
      <c r="AD89">
        <v>1.019895</v>
      </c>
      <c r="AE89">
        <v>1093325576</v>
      </c>
    </row>
    <row r="90" spans="1:31" x14ac:dyDescent="0.25">
      <c r="A90" s="1">
        <v>44610</v>
      </c>
      <c r="B90">
        <v>2884.3405760000001</v>
      </c>
      <c r="C90">
        <v>2937.3085940000001</v>
      </c>
      <c r="D90">
        <v>2761.6433109999998</v>
      </c>
      <c r="E90">
        <v>2785.727539</v>
      </c>
      <c r="F90">
        <v>2785.727539</v>
      </c>
      <c r="G90">
        <v>15748173433</v>
      </c>
      <c r="H90">
        <v>40552.132812999997</v>
      </c>
      <c r="I90">
        <v>40929.152344000002</v>
      </c>
      <c r="J90">
        <v>39637.617187999997</v>
      </c>
      <c r="K90">
        <v>40030.976562999997</v>
      </c>
      <c r="L90">
        <v>40030.976562999997</v>
      </c>
      <c r="M90">
        <v>23310007704</v>
      </c>
      <c r="N90">
        <v>1.0005040000000001</v>
      </c>
      <c r="O90">
        <v>1.000707</v>
      </c>
      <c r="P90">
        <v>1.000402</v>
      </c>
      <c r="Q90">
        <v>1.000559</v>
      </c>
      <c r="R90">
        <v>1.000559</v>
      </c>
      <c r="S90">
        <v>52679060916</v>
      </c>
      <c r="T90">
        <v>0.99940399999999996</v>
      </c>
      <c r="U90">
        <v>1.0005729999999999</v>
      </c>
      <c r="V90">
        <v>0.99889899999999998</v>
      </c>
      <c r="W90">
        <v>0.99977099999999997</v>
      </c>
      <c r="X90">
        <v>0.99977099999999997</v>
      </c>
      <c r="Y90">
        <v>3506445548</v>
      </c>
      <c r="Z90">
        <v>1.0202230000000001</v>
      </c>
      <c r="AA90">
        <v>1.0413110000000001</v>
      </c>
      <c r="AB90">
        <v>0.98947300000000005</v>
      </c>
      <c r="AC90">
        <v>0.99711300000000003</v>
      </c>
      <c r="AD90">
        <v>0.99711300000000003</v>
      </c>
      <c r="AE90">
        <v>1288743412</v>
      </c>
    </row>
    <row r="91" spans="1:31" x14ac:dyDescent="0.25">
      <c r="A91" s="1">
        <v>44611</v>
      </c>
      <c r="B91">
        <v>2784.8728030000002</v>
      </c>
      <c r="C91">
        <v>2826.3479000000002</v>
      </c>
      <c r="D91">
        <v>2707.3784179999998</v>
      </c>
      <c r="E91">
        <v>2763.701172</v>
      </c>
      <c r="F91">
        <v>2763.701172</v>
      </c>
      <c r="G91">
        <v>9774183169</v>
      </c>
      <c r="H91">
        <v>40026.023437999997</v>
      </c>
      <c r="I91">
        <v>40418.878905999998</v>
      </c>
      <c r="J91">
        <v>39713.058594000002</v>
      </c>
      <c r="K91">
        <v>40122.15625</v>
      </c>
      <c r="L91">
        <v>40122.15625</v>
      </c>
      <c r="M91">
        <v>13736557863</v>
      </c>
      <c r="N91">
        <v>1.0005459999999999</v>
      </c>
      <c r="O91">
        <v>1.0007699999999999</v>
      </c>
      <c r="P91">
        <v>1.000407</v>
      </c>
      <c r="Q91">
        <v>1.0005759999999999</v>
      </c>
      <c r="R91">
        <v>1.0005759999999999</v>
      </c>
      <c r="S91">
        <v>37278604791</v>
      </c>
      <c r="T91">
        <v>0.99973400000000001</v>
      </c>
      <c r="U91">
        <v>1.000507</v>
      </c>
      <c r="V91">
        <v>0.99901799999999996</v>
      </c>
      <c r="W91">
        <v>0.99987000000000004</v>
      </c>
      <c r="X91">
        <v>0.99987000000000004</v>
      </c>
      <c r="Y91">
        <v>2094832701</v>
      </c>
      <c r="Z91">
        <v>0.99700500000000003</v>
      </c>
      <c r="AA91">
        <v>1.017854</v>
      </c>
      <c r="AB91">
        <v>0.97751399999999999</v>
      </c>
      <c r="AC91">
        <v>0.99770300000000001</v>
      </c>
      <c r="AD91">
        <v>0.99770300000000001</v>
      </c>
      <c r="AE91">
        <v>1104597763</v>
      </c>
    </row>
    <row r="92" spans="1:31" x14ac:dyDescent="0.25">
      <c r="A92" s="1">
        <v>44612</v>
      </c>
      <c r="B92">
        <v>2763.7565920000002</v>
      </c>
      <c r="C92">
        <v>2763.7565920000002</v>
      </c>
      <c r="D92">
        <v>2585.946289</v>
      </c>
      <c r="E92">
        <v>2628.6484380000002</v>
      </c>
      <c r="F92">
        <v>2628.6484380000002</v>
      </c>
      <c r="G92">
        <v>11641437834</v>
      </c>
      <c r="H92">
        <v>40118.101562999997</v>
      </c>
      <c r="I92">
        <v>40119.890625</v>
      </c>
      <c r="J92">
        <v>38112.8125</v>
      </c>
      <c r="K92">
        <v>38431.378905999998</v>
      </c>
      <c r="L92">
        <v>38431.378905999998</v>
      </c>
      <c r="M92">
        <v>18340576452</v>
      </c>
      <c r="N92">
        <v>1.0005850000000001</v>
      </c>
      <c r="O92">
        <v>1.0007900000000001</v>
      </c>
      <c r="P92">
        <v>1.000318</v>
      </c>
      <c r="Q92">
        <v>1.000408</v>
      </c>
      <c r="R92">
        <v>1.000408</v>
      </c>
      <c r="S92">
        <v>45611091002</v>
      </c>
      <c r="T92">
        <v>0.99986399999999998</v>
      </c>
      <c r="U92">
        <v>1.0007109999999999</v>
      </c>
      <c r="V92">
        <v>0.99887800000000004</v>
      </c>
      <c r="W92">
        <v>1.000003</v>
      </c>
      <c r="X92">
        <v>1.000003</v>
      </c>
      <c r="Y92">
        <v>2869319070</v>
      </c>
      <c r="Z92">
        <v>0.99762899999999999</v>
      </c>
      <c r="AA92">
        <v>0.99762899999999999</v>
      </c>
      <c r="AB92">
        <v>0.92329499999999998</v>
      </c>
      <c r="AC92">
        <v>0.93290200000000001</v>
      </c>
      <c r="AD92">
        <v>0.93290200000000001</v>
      </c>
      <c r="AE92">
        <v>1429017666</v>
      </c>
    </row>
    <row r="93" spans="1:31" x14ac:dyDescent="0.25">
      <c r="A93" s="1">
        <v>44613</v>
      </c>
      <c r="B93">
        <v>2627.6655270000001</v>
      </c>
      <c r="C93">
        <v>2752.4584960000002</v>
      </c>
      <c r="D93">
        <v>2568.2543949999999</v>
      </c>
      <c r="E93">
        <v>2573.8161620000001</v>
      </c>
      <c r="F93">
        <v>2573.8161620000001</v>
      </c>
      <c r="G93">
        <v>18646392740</v>
      </c>
      <c r="H93">
        <v>38423.210937999997</v>
      </c>
      <c r="I93">
        <v>39394.4375</v>
      </c>
      <c r="J93">
        <v>36950.476562999997</v>
      </c>
      <c r="K93">
        <v>37075.28125</v>
      </c>
      <c r="L93">
        <v>37075.28125</v>
      </c>
      <c r="M93">
        <v>29280402798</v>
      </c>
      <c r="N93">
        <v>1.000402</v>
      </c>
      <c r="O93">
        <v>1.000874</v>
      </c>
      <c r="P93">
        <v>1.000319</v>
      </c>
      <c r="Q93">
        <v>1.000502</v>
      </c>
      <c r="R93">
        <v>1.000502</v>
      </c>
      <c r="S93">
        <v>72043746349</v>
      </c>
      <c r="T93">
        <v>1.0000009999999999</v>
      </c>
      <c r="U93">
        <v>1.000856</v>
      </c>
      <c r="V93">
        <v>0.99883500000000003</v>
      </c>
      <c r="W93">
        <v>0.99933499999999997</v>
      </c>
      <c r="X93">
        <v>0.99933499999999997</v>
      </c>
      <c r="Y93">
        <v>5035066514</v>
      </c>
      <c r="Z93">
        <v>0.93245199999999995</v>
      </c>
      <c r="AA93">
        <v>0.98624699999999998</v>
      </c>
      <c r="AB93">
        <v>0.85771399999999998</v>
      </c>
      <c r="AC93">
        <v>0.858236</v>
      </c>
      <c r="AD93">
        <v>0.858236</v>
      </c>
      <c r="AE93">
        <v>2072270994</v>
      </c>
    </row>
    <row r="94" spans="1:31" x14ac:dyDescent="0.25">
      <c r="A94" s="1">
        <v>44614</v>
      </c>
      <c r="B94">
        <v>2572.898682</v>
      </c>
      <c r="C94">
        <v>2648.9167480000001</v>
      </c>
      <c r="D94">
        <v>2510.678711</v>
      </c>
      <c r="E94">
        <v>2639.2993160000001</v>
      </c>
      <c r="F94">
        <v>2639.2993160000001</v>
      </c>
      <c r="G94">
        <v>16360200507</v>
      </c>
      <c r="H94">
        <v>37068.769530999998</v>
      </c>
      <c r="I94">
        <v>38359.855469000002</v>
      </c>
      <c r="J94">
        <v>36488.933594000002</v>
      </c>
      <c r="K94">
        <v>38286.027344000002</v>
      </c>
      <c r="L94">
        <v>38286.027344000002</v>
      </c>
      <c r="M94">
        <v>25493150450</v>
      </c>
      <c r="N94">
        <v>1.000459</v>
      </c>
      <c r="O94">
        <v>1.0008440000000001</v>
      </c>
      <c r="P94">
        <v>1.0003470000000001</v>
      </c>
      <c r="Q94">
        <v>1.000704</v>
      </c>
      <c r="R94">
        <v>1.000704</v>
      </c>
      <c r="S94">
        <v>60539262856</v>
      </c>
      <c r="T94">
        <v>0.999359</v>
      </c>
      <c r="U94">
        <v>1.001063</v>
      </c>
      <c r="V94">
        <v>0.99882400000000005</v>
      </c>
      <c r="W94">
        <v>1.0000450000000001</v>
      </c>
      <c r="X94">
        <v>1.0000450000000001</v>
      </c>
      <c r="Y94">
        <v>4311028906</v>
      </c>
      <c r="Z94">
        <v>0.85812999999999995</v>
      </c>
      <c r="AA94">
        <v>0.89375599999999999</v>
      </c>
      <c r="AB94">
        <v>0.81999</v>
      </c>
      <c r="AC94">
        <v>0.88901699999999995</v>
      </c>
      <c r="AD94">
        <v>0.88901699999999995</v>
      </c>
      <c r="AE94">
        <v>2058499639</v>
      </c>
    </row>
    <row r="95" spans="1:31" x14ac:dyDescent="0.25">
      <c r="A95" s="1">
        <v>44615</v>
      </c>
      <c r="B95">
        <v>2639.4470209999999</v>
      </c>
      <c r="C95">
        <v>2741.3684079999998</v>
      </c>
      <c r="D95">
        <v>2587.4128420000002</v>
      </c>
      <c r="E95">
        <v>2590.3596189999998</v>
      </c>
      <c r="F95">
        <v>2590.3596189999998</v>
      </c>
      <c r="G95">
        <v>13382637240</v>
      </c>
      <c r="H95">
        <v>38285.28125</v>
      </c>
      <c r="I95">
        <v>39122.394530999998</v>
      </c>
      <c r="J95">
        <v>37201.816405999998</v>
      </c>
      <c r="K95">
        <v>37296.570312999997</v>
      </c>
      <c r="L95">
        <v>37296.570312999997</v>
      </c>
      <c r="M95">
        <v>21849073843</v>
      </c>
      <c r="N95">
        <v>1.000712</v>
      </c>
      <c r="O95">
        <v>1.000961</v>
      </c>
      <c r="P95">
        <v>1.000453</v>
      </c>
      <c r="Q95">
        <v>1.0004980000000001</v>
      </c>
      <c r="R95">
        <v>1.0004980000000001</v>
      </c>
      <c r="S95">
        <v>54845607157</v>
      </c>
      <c r="T95">
        <v>1.000046</v>
      </c>
      <c r="U95">
        <v>1.0006980000000001</v>
      </c>
      <c r="V95">
        <v>0.99888100000000002</v>
      </c>
      <c r="W95">
        <v>0.99951299999999998</v>
      </c>
      <c r="X95">
        <v>0.99951299999999998</v>
      </c>
      <c r="Y95">
        <v>4088593001</v>
      </c>
      <c r="Z95">
        <v>0.88898900000000003</v>
      </c>
      <c r="AA95">
        <v>0.95543100000000003</v>
      </c>
      <c r="AB95">
        <v>0.86916899999999997</v>
      </c>
      <c r="AC95">
        <v>0.86916899999999997</v>
      </c>
      <c r="AD95">
        <v>0.86916899999999997</v>
      </c>
      <c r="AE95">
        <v>1824386011</v>
      </c>
    </row>
    <row r="96" spans="1:31" x14ac:dyDescent="0.25">
      <c r="A96" s="1">
        <v>44616</v>
      </c>
      <c r="B96">
        <v>2588.16626</v>
      </c>
      <c r="C96">
        <v>2689.047607</v>
      </c>
      <c r="D96">
        <v>2308.9147950000001</v>
      </c>
      <c r="E96">
        <v>2598.0671390000002</v>
      </c>
      <c r="F96">
        <v>2598.0671390000002</v>
      </c>
      <c r="G96">
        <v>29312342666</v>
      </c>
      <c r="H96">
        <v>37278.566405999998</v>
      </c>
      <c r="I96">
        <v>38968.839844000002</v>
      </c>
      <c r="J96">
        <v>34459.21875</v>
      </c>
      <c r="K96">
        <v>38332.609375</v>
      </c>
      <c r="L96">
        <v>38332.609375</v>
      </c>
      <c r="M96">
        <v>46383802093</v>
      </c>
      <c r="N96">
        <v>1.0005809999999999</v>
      </c>
      <c r="O96">
        <v>1.0010250000000001</v>
      </c>
      <c r="P96">
        <v>1.000299</v>
      </c>
      <c r="Q96">
        <v>1.0006360000000001</v>
      </c>
      <c r="R96">
        <v>1.0006360000000001</v>
      </c>
      <c r="S96">
        <v>107952010250</v>
      </c>
      <c r="T96">
        <v>0.99952099999999999</v>
      </c>
      <c r="U96">
        <v>1.0007170000000001</v>
      </c>
      <c r="V96">
        <v>0.99883999999999995</v>
      </c>
      <c r="W96">
        <v>0.99996300000000005</v>
      </c>
      <c r="X96">
        <v>0.99996300000000005</v>
      </c>
      <c r="Y96">
        <v>9044960990</v>
      </c>
      <c r="Z96">
        <v>0.86851500000000004</v>
      </c>
      <c r="AA96">
        <v>0.88234199999999996</v>
      </c>
      <c r="AB96">
        <v>0.75280999999999998</v>
      </c>
      <c r="AC96">
        <v>0.85342499999999999</v>
      </c>
      <c r="AD96">
        <v>0.85342499999999999</v>
      </c>
      <c r="AE96">
        <v>3629367685</v>
      </c>
    </row>
    <row r="97" spans="1:31" x14ac:dyDescent="0.25">
      <c r="A97" s="1">
        <v>44617</v>
      </c>
      <c r="B97">
        <v>2598.436279</v>
      </c>
      <c r="C97">
        <v>2821.9724120000001</v>
      </c>
      <c r="D97">
        <v>2579.2080080000001</v>
      </c>
      <c r="E97">
        <v>2764.5356449999999</v>
      </c>
      <c r="F97">
        <v>2764.5356449999999</v>
      </c>
      <c r="G97">
        <v>17208902048</v>
      </c>
      <c r="H97">
        <v>38333.746094000002</v>
      </c>
      <c r="I97">
        <v>39630.324219000002</v>
      </c>
      <c r="J97">
        <v>38111.34375</v>
      </c>
      <c r="K97">
        <v>39214.21875</v>
      </c>
      <c r="L97">
        <v>39214.21875</v>
      </c>
      <c r="M97">
        <v>26545599159</v>
      </c>
      <c r="N97">
        <v>1.0006409999999999</v>
      </c>
      <c r="O97">
        <v>1.001107</v>
      </c>
      <c r="P97">
        <v>1.00034</v>
      </c>
      <c r="Q97">
        <v>1.0004740000000001</v>
      </c>
      <c r="R97">
        <v>1.0004740000000001</v>
      </c>
      <c r="S97">
        <v>66025345539</v>
      </c>
      <c r="T97">
        <v>0.99994400000000006</v>
      </c>
      <c r="U97">
        <v>1.000912</v>
      </c>
      <c r="V97">
        <v>0.999282</v>
      </c>
      <c r="W97">
        <v>0.99994300000000003</v>
      </c>
      <c r="X97">
        <v>0.99994300000000003</v>
      </c>
      <c r="Y97">
        <v>5563465156</v>
      </c>
      <c r="Z97">
        <v>0.853572</v>
      </c>
      <c r="AA97">
        <v>0.90654100000000004</v>
      </c>
      <c r="AB97">
        <v>0.82924399999999998</v>
      </c>
      <c r="AC97">
        <v>0.89802700000000002</v>
      </c>
      <c r="AD97">
        <v>0.89802700000000002</v>
      </c>
      <c r="AE97">
        <v>1652894219</v>
      </c>
    </row>
    <row r="98" spans="1:31" x14ac:dyDescent="0.25">
      <c r="A98" s="1">
        <v>44618</v>
      </c>
      <c r="B98">
        <v>2764.9895019999999</v>
      </c>
      <c r="C98">
        <v>2849.4240719999998</v>
      </c>
      <c r="D98">
        <v>2745.0090329999998</v>
      </c>
      <c r="E98">
        <v>2781.1118160000001</v>
      </c>
      <c r="F98">
        <v>2781.1118160000001</v>
      </c>
      <c r="G98">
        <v>11724648351</v>
      </c>
      <c r="H98">
        <v>39213.082030999998</v>
      </c>
      <c r="I98">
        <v>40005.347655999998</v>
      </c>
      <c r="J98">
        <v>38702.535155999998</v>
      </c>
      <c r="K98">
        <v>39105.148437999997</v>
      </c>
      <c r="L98">
        <v>39105.148437999997</v>
      </c>
      <c r="M98">
        <v>17467554129</v>
      </c>
      <c r="N98">
        <v>1.000486</v>
      </c>
      <c r="O98">
        <v>1.0007219999999999</v>
      </c>
      <c r="P98">
        <v>1.000291</v>
      </c>
      <c r="Q98">
        <v>1.000397</v>
      </c>
      <c r="R98">
        <v>1.000397</v>
      </c>
      <c r="S98">
        <v>46708690534</v>
      </c>
      <c r="T98">
        <v>0.99990400000000002</v>
      </c>
      <c r="U98">
        <v>1.000397</v>
      </c>
      <c r="V98">
        <v>0.999135</v>
      </c>
      <c r="W98">
        <v>0.99999199999999999</v>
      </c>
      <c r="X98">
        <v>0.99999199999999999</v>
      </c>
      <c r="Y98">
        <v>3262045031</v>
      </c>
      <c r="Z98">
        <v>0.89799600000000002</v>
      </c>
      <c r="AA98">
        <v>0.92829600000000001</v>
      </c>
      <c r="AB98">
        <v>0.88540099999999999</v>
      </c>
      <c r="AC98">
        <v>0.88791799999999999</v>
      </c>
      <c r="AD98">
        <v>0.88791799999999999</v>
      </c>
      <c r="AE98">
        <v>1099934921</v>
      </c>
    </row>
    <row r="99" spans="1:31" x14ac:dyDescent="0.25">
      <c r="A99" s="1">
        <v>44619</v>
      </c>
      <c r="B99">
        <v>2780.5043949999999</v>
      </c>
      <c r="C99">
        <v>2831.1254880000001</v>
      </c>
      <c r="D99">
        <v>2581.6157229999999</v>
      </c>
      <c r="E99">
        <v>2621.8017580000001</v>
      </c>
      <c r="F99">
        <v>2621.8017580000001</v>
      </c>
      <c r="G99">
        <v>16150857254</v>
      </c>
      <c r="H99">
        <v>39098.699219000002</v>
      </c>
      <c r="I99">
        <v>39778.941405999998</v>
      </c>
      <c r="J99">
        <v>37268.976562999997</v>
      </c>
      <c r="K99">
        <v>37709.785155999998</v>
      </c>
      <c r="L99">
        <v>37709.785155999998</v>
      </c>
      <c r="M99">
        <v>23450127612</v>
      </c>
      <c r="N99">
        <v>1.0003930000000001</v>
      </c>
      <c r="O99">
        <v>1.0007900000000001</v>
      </c>
      <c r="P99">
        <v>1.0002660000000001</v>
      </c>
      <c r="Q99">
        <v>1.000491</v>
      </c>
      <c r="R99">
        <v>1.000491</v>
      </c>
      <c r="S99">
        <v>57257598779</v>
      </c>
      <c r="T99">
        <v>0.99993500000000002</v>
      </c>
      <c r="U99">
        <v>1.0004200000000001</v>
      </c>
      <c r="V99">
        <v>0.99854500000000002</v>
      </c>
      <c r="W99">
        <v>0.999722</v>
      </c>
      <c r="X99">
        <v>0.999722</v>
      </c>
      <c r="Y99">
        <v>4352100239</v>
      </c>
      <c r="Z99">
        <v>0.88778800000000002</v>
      </c>
      <c r="AA99">
        <v>0.91267600000000004</v>
      </c>
      <c r="AB99">
        <v>0.84014599999999995</v>
      </c>
      <c r="AC99">
        <v>0.85833499999999996</v>
      </c>
      <c r="AD99">
        <v>0.85833499999999996</v>
      </c>
      <c r="AE99">
        <v>1278510571</v>
      </c>
    </row>
    <row r="100" spans="1:31" x14ac:dyDescent="0.25">
      <c r="A100" s="1">
        <v>44620</v>
      </c>
      <c r="B100">
        <v>2621.1721189999998</v>
      </c>
      <c r="C100">
        <v>2929.1804200000001</v>
      </c>
      <c r="D100">
        <v>2586.3881839999999</v>
      </c>
      <c r="E100">
        <v>2919.201172</v>
      </c>
      <c r="F100">
        <v>2919.201172</v>
      </c>
      <c r="G100">
        <v>19266124733</v>
      </c>
      <c r="H100">
        <v>37706</v>
      </c>
      <c r="I100">
        <v>43760.457030999998</v>
      </c>
      <c r="J100">
        <v>37518.214844000002</v>
      </c>
      <c r="K100">
        <v>43193.234375</v>
      </c>
      <c r="L100">
        <v>43193.234375</v>
      </c>
      <c r="M100">
        <v>35690014104</v>
      </c>
      <c r="N100">
        <v>1.000507</v>
      </c>
      <c r="O100">
        <v>1.0010140000000001</v>
      </c>
      <c r="P100">
        <v>1.0002230000000001</v>
      </c>
      <c r="Q100">
        <v>1.000351</v>
      </c>
      <c r="R100">
        <v>1.000351</v>
      </c>
      <c r="S100">
        <v>72330789600</v>
      </c>
      <c r="T100">
        <v>0.99968800000000002</v>
      </c>
      <c r="U100">
        <v>1.0005710000000001</v>
      </c>
      <c r="V100">
        <v>0.99887499999999996</v>
      </c>
      <c r="W100">
        <v>0.99985299999999999</v>
      </c>
      <c r="X100">
        <v>0.99985299999999999</v>
      </c>
      <c r="Y100">
        <v>5502186592</v>
      </c>
      <c r="Z100">
        <v>0.85787000000000002</v>
      </c>
      <c r="AA100">
        <v>0.96761299999999995</v>
      </c>
      <c r="AB100">
        <v>0.84504000000000001</v>
      </c>
      <c r="AC100">
        <v>0.95982800000000001</v>
      </c>
      <c r="AD100">
        <v>0.95982800000000001</v>
      </c>
      <c r="AE100">
        <v>1779202386</v>
      </c>
    </row>
    <row r="101" spans="1:31" x14ac:dyDescent="0.25">
      <c r="A101" s="1">
        <v>44621</v>
      </c>
      <c r="B101">
        <v>2919.7758789999998</v>
      </c>
      <c r="C101">
        <v>3029.6516109999998</v>
      </c>
      <c r="D101">
        <v>2868.9389649999998</v>
      </c>
      <c r="E101">
        <v>2972.485107</v>
      </c>
      <c r="F101">
        <v>2972.485107</v>
      </c>
      <c r="G101">
        <v>18757425786</v>
      </c>
      <c r="H101">
        <v>43194.503905999998</v>
      </c>
      <c r="I101">
        <v>44793.601562999997</v>
      </c>
      <c r="J101">
        <v>42952.585937999997</v>
      </c>
      <c r="K101">
        <v>44354.636719000002</v>
      </c>
      <c r="L101">
        <v>44354.636719000002</v>
      </c>
      <c r="M101">
        <v>32479047645</v>
      </c>
      <c r="N101">
        <v>1.000359</v>
      </c>
      <c r="O101">
        <v>1.0006060000000001</v>
      </c>
      <c r="P101">
        <v>1.0001800000000001</v>
      </c>
      <c r="Q101">
        <v>1.0004519999999999</v>
      </c>
      <c r="R101">
        <v>1.0004519999999999</v>
      </c>
      <c r="S101">
        <v>75388694286</v>
      </c>
      <c r="T101">
        <v>0.99983999999999995</v>
      </c>
      <c r="U101">
        <v>1.0005230000000001</v>
      </c>
      <c r="V101">
        <v>0.99850499999999998</v>
      </c>
      <c r="W101">
        <v>0.99981399999999998</v>
      </c>
      <c r="X101">
        <v>0.99981399999999998</v>
      </c>
      <c r="Y101">
        <v>5617261430</v>
      </c>
      <c r="Z101">
        <v>0.95988600000000002</v>
      </c>
      <c r="AA101">
        <v>1.005403</v>
      </c>
      <c r="AB101">
        <v>0.94493499999999997</v>
      </c>
      <c r="AC101">
        <v>0.96234600000000003</v>
      </c>
      <c r="AD101">
        <v>0.96234600000000003</v>
      </c>
      <c r="AE101">
        <v>1778795527</v>
      </c>
    </row>
    <row r="102" spans="1:31" x14ac:dyDescent="0.25">
      <c r="A102" s="1">
        <v>44622</v>
      </c>
      <c r="B102">
        <v>2972.4719239999999</v>
      </c>
      <c r="C102">
        <v>3026.868164</v>
      </c>
      <c r="D102">
        <v>2919.943115</v>
      </c>
      <c r="E102">
        <v>2950.1184079999998</v>
      </c>
      <c r="F102">
        <v>2950.1184079999998</v>
      </c>
      <c r="G102">
        <v>16636517503</v>
      </c>
      <c r="H102">
        <v>44357.617187999997</v>
      </c>
      <c r="I102">
        <v>45077.578125</v>
      </c>
      <c r="J102">
        <v>43432.851562999997</v>
      </c>
      <c r="K102">
        <v>43924.117187999997</v>
      </c>
      <c r="L102">
        <v>43924.117187999997</v>
      </c>
      <c r="M102">
        <v>29183112630</v>
      </c>
      <c r="N102">
        <v>1.0004519999999999</v>
      </c>
      <c r="O102">
        <v>1.000667</v>
      </c>
      <c r="P102">
        <v>1.000243</v>
      </c>
      <c r="Q102">
        <v>1.000467</v>
      </c>
      <c r="R102">
        <v>1.000467</v>
      </c>
      <c r="S102">
        <v>68076385283</v>
      </c>
      <c r="T102">
        <v>0.999803</v>
      </c>
      <c r="U102">
        <v>1.0005850000000001</v>
      </c>
      <c r="V102">
        <v>0.99877000000000005</v>
      </c>
      <c r="W102">
        <v>0.99956900000000004</v>
      </c>
      <c r="X102">
        <v>0.99956900000000004</v>
      </c>
      <c r="Y102">
        <v>5351706956</v>
      </c>
      <c r="Z102">
        <v>0.96242499999999997</v>
      </c>
      <c r="AA102">
        <v>0.97362899999999997</v>
      </c>
      <c r="AB102">
        <v>0.92906200000000005</v>
      </c>
      <c r="AC102">
        <v>0.938662</v>
      </c>
      <c r="AD102">
        <v>0.938662</v>
      </c>
      <c r="AE102">
        <v>1262681262</v>
      </c>
    </row>
    <row r="103" spans="1:31" x14ac:dyDescent="0.25">
      <c r="A103" s="1">
        <v>44623</v>
      </c>
      <c r="B103">
        <v>2950.1567380000001</v>
      </c>
      <c r="C103">
        <v>2964.6733399999998</v>
      </c>
      <c r="D103">
        <v>2797.319336</v>
      </c>
      <c r="E103">
        <v>2834.4689939999998</v>
      </c>
      <c r="F103">
        <v>2834.4689939999998</v>
      </c>
      <c r="G103">
        <v>13091199728</v>
      </c>
      <c r="H103">
        <v>43925.195312999997</v>
      </c>
      <c r="I103">
        <v>44021.578125</v>
      </c>
      <c r="J103">
        <v>41914.75</v>
      </c>
      <c r="K103">
        <v>42451.789062999997</v>
      </c>
      <c r="L103">
        <v>42451.789062999997</v>
      </c>
      <c r="M103">
        <v>24967782593</v>
      </c>
      <c r="N103">
        <v>1.0004729999999999</v>
      </c>
      <c r="O103">
        <v>1.0005649999999999</v>
      </c>
      <c r="P103">
        <v>0.99995800000000001</v>
      </c>
      <c r="Q103">
        <v>1.0000169999999999</v>
      </c>
      <c r="R103">
        <v>1.0000169999999999</v>
      </c>
      <c r="S103">
        <v>57033279685</v>
      </c>
      <c r="T103">
        <v>0.99956400000000001</v>
      </c>
      <c r="U103">
        <v>1.0005029999999999</v>
      </c>
      <c r="V103">
        <v>0.99904099999999996</v>
      </c>
      <c r="W103">
        <v>0.99993399999999999</v>
      </c>
      <c r="X103">
        <v>0.99993399999999999</v>
      </c>
      <c r="Y103">
        <v>3923999317</v>
      </c>
      <c r="Z103">
        <v>0.93872199999999995</v>
      </c>
      <c r="AA103">
        <v>0.944079</v>
      </c>
      <c r="AB103">
        <v>0.886073</v>
      </c>
      <c r="AC103">
        <v>0.90265899999999999</v>
      </c>
      <c r="AD103">
        <v>0.90265899999999999</v>
      </c>
      <c r="AE103">
        <v>986233549</v>
      </c>
    </row>
    <row r="104" spans="1:31" x14ac:dyDescent="0.25">
      <c r="A104" s="1">
        <v>44624</v>
      </c>
      <c r="B104">
        <v>2834.9873050000001</v>
      </c>
      <c r="C104">
        <v>2835.1762699999999</v>
      </c>
      <c r="D104">
        <v>2587.7482909999999</v>
      </c>
      <c r="E104">
        <v>2617.1560060000002</v>
      </c>
      <c r="F104">
        <v>2617.1560060000002</v>
      </c>
      <c r="G104">
        <v>14496939024</v>
      </c>
      <c r="H104">
        <v>42458.140625</v>
      </c>
      <c r="I104">
        <v>42479.613280999998</v>
      </c>
      <c r="J104">
        <v>38805.847655999998</v>
      </c>
      <c r="K104">
        <v>39137.605469000002</v>
      </c>
      <c r="L104">
        <v>39137.605469000002</v>
      </c>
      <c r="M104">
        <v>28516271427</v>
      </c>
      <c r="N104">
        <v>1.0000150000000001</v>
      </c>
      <c r="O104">
        <v>1.000726</v>
      </c>
      <c r="P104">
        <v>1</v>
      </c>
      <c r="Q104">
        <v>1.000197</v>
      </c>
      <c r="R104">
        <v>1.000197</v>
      </c>
      <c r="S104">
        <v>61900652306</v>
      </c>
      <c r="T104">
        <v>0.99995900000000004</v>
      </c>
      <c r="U104">
        <v>1.000685</v>
      </c>
      <c r="V104">
        <v>0.99907199999999996</v>
      </c>
      <c r="W104">
        <v>0.99984099999999998</v>
      </c>
      <c r="X104">
        <v>0.99984099999999998</v>
      </c>
      <c r="Y104">
        <v>4810312635</v>
      </c>
      <c r="Z104">
        <v>0.90279299999999996</v>
      </c>
      <c r="AA104">
        <v>0.90305000000000002</v>
      </c>
      <c r="AB104">
        <v>0.83086099999999996</v>
      </c>
      <c r="AC104">
        <v>0.842889</v>
      </c>
      <c r="AD104">
        <v>0.842889</v>
      </c>
      <c r="AE104">
        <v>1115108721</v>
      </c>
    </row>
    <row r="105" spans="1:31" x14ac:dyDescent="0.25">
      <c r="A105" s="1">
        <v>44625</v>
      </c>
      <c r="B105">
        <v>2618.4736330000001</v>
      </c>
      <c r="C105">
        <v>2679.102539</v>
      </c>
      <c r="D105">
        <v>2596.98999</v>
      </c>
      <c r="E105">
        <v>2664.8310550000001</v>
      </c>
      <c r="F105">
        <v>2664.8310550000001</v>
      </c>
      <c r="G105">
        <v>8072368396</v>
      </c>
      <c r="H105">
        <v>39148.449219000002</v>
      </c>
      <c r="I105">
        <v>39566.335937999997</v>
      </c>
      <c r="J105">
        <v>38777.035155999998</v>
      </c>
      <c r="K105">
        <v>39400.585937999997</v>
      </c>
      <c r="L105">
        <v>39400.585937999997</v>
      </c>
      <c r="M105">
        <v>16975917450</v>
      </c>
      <c r="N105">
        <v>1.000197</v>
      </c>
      <c r="O105">
        <v>1.000381</v>
      </c>
      <c r="P105">
        <v>1.0000869999999999</v>
      </c>
      <c r="Q105">
        <v>1.000275</v>
      </c>
      <c r="R105">
        <v>1.000275</v>
      </c>
      <c r="S105">
        <v>39306054797</v>
      </c>
      <c r="T105">
        <v>0.99992199999999998</v>
      </c>
      <c r="U105">
        <v>1.000888</v>
      </c>
      <c r="V105">
        <v>0.99774499999999999</v>
      </c>
      <c r="W105">
        <v>0.99937100000000001</v>
      </c>
      <c r="X105">
        <v>0.99937100000000001</v>
      </c>
      <c r="Y105">
        <v>2645372913</v>
      </c>
      <c r="Z105">
        <v>0.84317500000000001</v>
      </c>
      <c r="AA105">
        <v>0.88093999999999995</v>
      </c>
      <c r="AB105">
        <v>0.82483899999999999</v>
      </c>
      <c r="AC105">
        <v>0.865672</v>
      </c>
      <c r="AD105">
        <v>0.865672</v>
      </c>
      <c r="AE105">
        <v>734896311</v>
      </c>
    </row>
    <row r="106" spans="1:31" x14ac:dyDescent="0.25">
      <c r="A106" s="1">
        <v>44626</v>
      </c>
      <c r="B106">
        <v>2664.9436040000001</v>
      </c>
      <c r="C106">
        <v>2673.6372070000002</v>
      </c>
      <c r="D106">
        <v>2555.0373540000001</v>
      </c>
      <c r="E106">
        <v>2555.0373540000001</v>
      </c>
      <c r="F106">
        <v>2555.0373540000001</v>
      </c>
      <c r="G106">
        <v>8872976607</v>
      </c>
      <c r="H106">
        <v>39404.199219000002</v>
      </c>
      <c r="I106">
        <v>39640.175780999998</v>
      </c>
      <c r="J106">
        <v>38211.648437999997</v>
      </c>
      <c r="K106">
        <v>38419.984375</v>
      </c>
      <c r="L106">
        <v>38419.984375</v>
      </c>
      <c r="M106">
        <v>19745229902</v>
      </c>
      <c r="N106">
        <v>1.000272</v>
      </c>
      <c r="O106">
        <v>1.000545</v>
      </c>
      <c r="P106">
        <v>1.000057</v>
      </c>
      <c r="Q106">
        <v>1.0002439999999999</v>
      </c>
      <c r="R106">
        <v>1.0002439999999999</v>
      </c>
      <c r="S106">
        <v>43914369258</v>
      </c>
      <c r="T106">
        <v>0.99938000000000005</v>
      </c>
      <c r="U106">
        <v>1.000413</v>
      </c>
      <c r="V106">
        <v>0.99876799999999999</v>
      </c>
      <c r="W106">
        <v>0.99985100000000005</v>
      </c>
      <c r="X106">
        <v>0.99985100000000005</v>
      </c>
      <c r="Y106">
        <v>3162813903</v>
      </c>
      <c r="Z106">
        <v>0.86568800000000001</v>
      </c>
      <c r="AA106">
        <v>0.87049799999999999</v>
      </c>
      <c r="AB106">
        <v>0.82300399999999996</v>
      </c>
      <c r="AC106">
        <v>0.82375200000000004</v>
      </c>
      <c r="AD106">
        <v>0.82375200000000004</v>
      </c>
      <c r="AE106">
        <v>670024869</v>
      </c>
    </row>
    <row r="107" spans="1:31" x14ac:dyDescent="0.25">
      <c r="A107" s="1">
        <v>44627</v>
      </c>
      <c r="B107">
        <v>2555.297607</v>
      </c>
      <c r="C107">
        <v>2639.943115</v>
      </c>
      <c r="D107">
        <v>2455.59375</v>
      </c>
      <c r="E107">
        <v>2497.77124</v>
      </c>
      <c r="F107">
        <v>2497.77124</v>
      </c>
      <c r="G107">
        <v>14594098731</v>
      </c>
      <c r="H107">
        <v>38429.304687999997</v>
      </c>
      <c r="I107">
        <v>39430.226562999997</v>
      </c>
      <c r="J107">
        <v>37260.203125</v>
      </c>
      <c r="K107">
        <v>38062.039062999997</v>
      </c>
      <c r="L107">
        <v>38062.039062999997</v>
      </c>
      <c r="M107">
        <v>28546143503</v>
      </c>
      <c r="N107">
        <v>1.000251</v>
      </c>
      <c r="O107">
        <v>1.00057</v>
      </c>
      <c r="P107">
        <v>1.0000599999999999</v>
      </c>
      <c r="Q107">
        <v>1.0001230000000001</v>
      </c>
      <c r="R107">
        <v>1.0001230000000001</v>
      </c>
      <c r="S107">
        <v>61333826920</v>
      </c>
      <c r="T107">
        <v>0.99987499999999996</v>
      </c>
      <c r="U107">
        <v>1.0006870000000001</v>
      </c>
      <c r="V107">
        <v>0.99863100000000005</v>
      </c>
      <c r="W107">
        <v>0.99913399999999997</v>
      </c>
      <c r="X107">
        <v>0.99913399999999997</v>
      </c>
      <c r="Y107">
        <v>4227523780</v>
      </c>
      <c r="Z107">
        <v>0.82373799999999997</v>
      </c>
      <c r="AA107">
        <v>0.84547600000000001</v>
      </c>
      <c r="AB107">
        <v>0.78329099999999996</v>
      </c>
      <c r="AC107">
        <v>0.79737899999999995</v>
      </c>
      <c r="AD107">
        <v>0.79737899999999995</v>
      </c>
      <c r="AE107">
        <v>1040234323</v>
      </c>
    </row>
    <row r="108" spans="1:31" x14ac:dyDescent="0.25">
      <c r="A108" s="1">
        <v>44628</v>
      </c>
      <c r="B108">
        <v>2497.7214359999998</v>
      </c>
      <c r="C108">
        <v>2618.1660160000001</v>
      </c>
      <c r="D108">
        <v>2489.7551269999999</v>
      </c>
      <c r="E108">
        <v>2576.7475589999999</v>
      </c>
      <c r="F108">
        <v>2576.7475589999999</v>
      </c>
      <c r="G108">
        <v>13922922903</v>
      </c>
      <c r="H108">
        <v>38059.902344000002</v>
      </c>
      <c r="I108">
        <v>39304.441405999998</v>
      </c>
      <c r="J108">
        <v>37957.386719000002</v>
      </c>
      <c r="K108">
        <v>38737.269530999998</v>
      </c>
      <c r="L108">
        <v>38737.269530999998</v>
      </c>
      <c r="M108">
        <v>25776583476</v>
      </c>
      <c r="N108">
        <v>1.0000899999999999</v>
      </c>
      <c r="O108">
        <v>1.000591</v>
      </c>
      <c r="P108">
        <v>1.0000469999999999</v>
      </c>
      <c r="Q108">
        <v>1.0002819999999999</v>
      </c>
      <c r="R108">
        <v>1.0002819999999999</v>
      </c>
      <c r="S108">
        <v>55667916973</v>
      </c>
      <c r="T108">
        <v>0.99910100000000002</v>
      </c>
      <c r="U108">
        <v>1.001225</v>
      </c>
      <c r="V108">
        <v>0.99906899999999998</v>
      </c>
      <c r="W108">
        <v>1.0002599999999999</v>
      </c>
      <c r="X108">
        <v>1.0002599999999999</v>
      </c>
      <c r="Y108">
        <v>4167069281</v>
      </c>
      <c r="Z108">
        <v>0.79717400000000005</v>
      </c>
      <c r="AA108">
        <v>0.81914799999999999</v>
      </c>
      <c r="AB108">
        <v>0.79031799999999996</v>
      </c>
      <c r="AC108">
        <v>0.80125000000000002</v>
      </c>
      <c r="AD108">
        <v>0.80125000000000002</v>
      </c>
      <c r="AE108">
        <v>955952004</v>
      </c>
    </row>
    <row r="109" spans="1:31" x14ac:dyDescent="0.25">
      <c r="A109" s="1">
        <v>44629</v>
      </c>
      <c r="B109">
        <v>2577.1652829999998</v>
      </c>
      <c r="C109">
        <v>2761.7963869999999</v>
      </c>
      <c r="D109">
        <v>2573.6552729999999</v>
      </c>
      <c r="E109">
        <v>2729.7834469999998</v>
      </c>
      <c r="F109">
        <v>2729.7834469999998</v>
      </c>
      <c r="G109">
        <v>14173665398</v>
      </c>
      <c r="H109">
        <v>38742.816405999998</v>
      </c>
      <c r="I109">
        <v>42465.671875</v>
      </c>
      <c r="J109">
        <v>38706.09375</v>
      </c>
      <c r="K109">
        <v>41982.925780999998</v>
      </c>
      <c r="L109">
        <v>41982.925780999998</v>
      </c>
      <c r="M109">
        <v>32284121034</v>
      </c>
      <c r="N109">
        <v>1.0002850000000001</v>
      </c>
      <c r="O109">
        <v>1.000497</v>
      </c>
      <c r="P109">
        <v>1.000105</v>
      </c>
      <c r="Q109">
        <v>1.000294</v>
      </c>
      <c r="R109">
        <v>1.000294</v>
      </c>
      <c r="S109">
        <v>67017876859</v>
      </c>
      <c r="T109">
        <v>1.0002690000000001</v>
      </c>
      <c r="U109">
        <v>1.0015210000000001</v>
      </c>
      <c r="V109">
        <v>0.99922100000000003</v>
      </c>
      <c r="W109">
        <v>1.0004500000000001</v>
      </c>
      <c r="X109">
        <v>1.0004500000000001</v>
      </c>
      <c r="Y109">
        <v>4206640635</v>
      </c>
      <c r="Z109">
        <v>0.801485</v>
      </c>
      <c r="AA109">
        <v>0.86143099999999995</v>
      </c>
      <c r="AB109">
        <v>0.80100700000000002</v>
      </c>
      <c r="AC109">
        <v>0.84929299999999996</v>
      </c>
      <c r="AD109">
        <v>0.84929299999999996</v>
      </c>
      <c r="AE109">
        <v>980869497</v>
      </c>
    </row>
    <row r="110" spans="1:31" x14ac:dyDescent="0.25">
      <c r="A110" s="1">
        <v>44630</v>
      </c>
      <c r="B110">
        <v>2729.1164549999999</v>
      </c>
      <c r="C110">
        <v>2729.1164549999999</v>
      </c>
      <c r="D110">
        <v>2566.193115</v>
      </c>
      <c r="E110">
        <v>2608.0485840000001</v>
      </c>
      <c r="F110">
        <v>2608.0485840000001</v>
      </c>
      <c r="G110">
        <v>13292477213</v>
      </c>
      <c r="H110">
        <v>41974.070312999997</v>
      </c>
      <c r="I110">
        <v>42004.726562999997</v>
      </c>
      <c r="J110">
        <v>38832.941405999998</v>
      </c>
      <c r="K110">
        <v>39437.460937999997</v>
      </c>
      <c r="L110">
        <v>39437.460937999997</v>
      </c>
      <c r="M110">
        <v>31078064711</v>
      </c>
      <c r="N110">
        <v>1.0002850000000001</v>
      </c>
      <c r="O110">
        <v>1.0006660000000001</v>
      </c>
      <c r="P110">
        <v>1.0001880000000001</v>
      </c>
      <c r="Q110">
        <v>1.0005649999999999</v>
      </c>
      <c r="R110">
        <v>1.0005649999999999</v>
      </c>
      <c r="S110">
        <v>65784999972</v>
      </c>
      <c r="T110">
        <v>1.00044</v>
      </c>
      <c r="U110">
        <v>1.000705</v>
      </c>
      <c r="V110">
        <v>0.99899400000000005</v>
      </c>
      <c r="W110">
        <v>0.99980100000000005</v>
      </c>
      <c r="X110">
        <v>0.99980100000000005</v>
      </c>
      <c r="Y110">
        <v>3932910648</v>
      </c>
      <c r="Z110">
        <v>0.84935499999999997</v>
      </c>
      <c r="AA110">
        <v>0.850576</v>
      </c>
      <c r="AB110">
        <v>0.79122199999999998</v>
      </c>
      <c r="AC110">
        <v>0.80631600000000003</v>
      </c>
      <c r="AD110">
        <v>0.80631600000000003</v>
      </c>
      <c r="AE110">
        <v>903650101</v>
      </c>
    </row>
    <row r="111" spans="1:31" x14ac:dyDescent="0.25">
      <c r="A111" s="1">
        <v>44631</v>
      </c>
      <c r="B111">
        <v>2608.27124</v>
      </c>
      <c r="C111">
        <v>2664.5585940000001</v>
      </c>
      <c r="D111">
        <v>2534.688232</v>
      </c>
      <c r="E111">
        <v>2559.5629880000001</v>
      </c>
      <c r="F111">
        <v>2559.5629880000001</v>
      </c>
      <c r="G111">
        <v>12382419582</v>
      </c>
      <c r="H111">
        <v>39439.96875</v>
      </c>
      <c r="I111">
        <v>40081.679687999997</v>
      </c>
      <c r="J111">
        <v>38347.433594000002</v>
      </c>
      <c r="K111">
        <v>38794.972655999998</v>
      </c>
      <c r="L111">
        <v>38794.972655999998</v>
      </c>
      <c r="M111">
        <v>26364890465</v>
      </c>
      <c r="N111">
        <v>1.00058</v>
      </c>
      <c r="O111">
        <v>1.000637</v>
      </c>
      <c r="P111">
        <v>1.000068</v>
      </c>
      <c r="Q111">
        <v>1.0002</v>
      </c>
      <c r="R111">
        <v>1.0002</v>
      </c>
      <c r="S111">
        <v>58051333936</v>
      </c>
      <c r="T111">
        <v>0.99980800000000003</v>
      </c>
      <c r="U111">
        <v>1.0001770000000001</v>
      </c>
      <c r="V111">
        <v>0.99916799999999995</v>
      </c>
      <c r="W111">
        <v>0.99934100000000003</v>
      </c>
      <c r="X111">
        <v>0.99934100000000003</v>
      </c>
      <c r="Y111">
        <v>3885937976</v>
      </c>
      <c r="Z111">
        <v>0.80630199999999996</v>
      </c>
      <c r="AA111">
        <v>0.81714699999999996</v>
      </c>
      <c r="AB111">
        <v>0.78593000000000002</v>
      </c>
      <c r="AC111">
        <v>0.79012499999999997</v>
      </c>
      <c r="AD111">
        <v>0.79012499999999997</v>
      </c>
      <c r="AE111">
        <v>792395101</v>
      </c>
    </row>
    <row r="112" spans="1:31" x14ac:dyDescent="0.25">
      <c r="A112" s="1">
        <v>44632</v>
      </c>
      <c r="B112">
        <v>2559.6606449999999</v>
      </c>
      <c r="C112">
        <v>2606.438721</v>
      </c>
      <c r="D112">
        <v>2559.126953</v>
      </c>
      <c r="E112">
        <v>2574.7541500000002</v>
      </c>
      <c r="F112">
        <v>2574.7541500000002</v>
      </c>
      <c r="G112">
        <v>6532996574</v>
      </c>
      <c r="H112">
        <v>38794.464844000002</v>
      </c>
      <c r="I112">
        <v>39308.597655999998</v>
      </c>
      <c r="J112">
        <v>38772.535155999998</v>
      </c>
      <c r="K112">
        <v>38904.011719000002</v>
      </c>
      <c r="L112">
        <v>38904.011719000002</v>
      </c>
      <c r="M112">
        <v>14616450657</v>
      </c>
      <c r="N112">
        <v>1.0002139999999999</v>
      </c>
      <c r="O112">
        <v>1.000372</v>
      </c>
      <c r="P112">
        <v>1.0000169999999999</v>
      </c>
      <c r="Q112">
        <v>1.000081</v>
      </c>
      <c r="R112">
        <v>1.000081</v>
      </c>
      <c r="S112">
        <v>38101124958</v>
      </c>
      <c r="T112">
        <v>0.99934699999999999</v>
      </c>
      <c r="U112">
        <v>1.000238</v>
      </c>
      <c r="V112">
        <v>0.99924299999999999</v>
      </c>
      <c r="W112">
        <v>0.99953800000000004</v>
      </c>
      <c r="X112">
        <v>0.99953800000000004</v>
      </c>
      <c r="Y112">
        <v>2442312633</v>
      </c>
      <c r="Z112">
        <v>0.79007300000000003</v>
      </c>
      <c r="AA112">
        <v>0.80080099999999999</v>
      </c>
      <c r="AB112">
        <v>0.78956499999999996</v>
      </c>
      <c r="AC112">
        <v>0.79067399999999999</v>
      </c>
      <c r="AD112">
        <v>0.79067399999999999</v>
      </c>
      <c r="AE112">
        <v>493606091</v>
      </c>
    </row>
    <row r="113" spans="1:31" x14ac:dyDescent="0.25">
      <c r="A113" s="1">
        <v>44633</v>
      </c>
      <c r="B113">
        <v>2573.4880370000001</v>
      </c>
      <c r="C113">
        <v>2594.5498050000001</v>
      </c>
      <c r="D113">
        <v>2503.8852539999998</v>
      </c>
      <c r="E113">
        <v>2518.9445799999999</v>
      </c>
      <c r="F113">
        <v>2518.9445799999999</v>
      </c>
      <c r="G113">
        <v>8632000379</v>
      </c>
      <c r="H113">
        <v>38884.726562999997</v>
      </c>
      <c r="I113">
        <v>39209.351562999997</v>
      </c>
      <c r="J113">
        <v>37728.144530999998</v>
      </c>
      <c r="K113">
        <v>37849.664062999997</v>
      </c>
      <c r="L113">
        <v>37849.664062999997</v>
      </c>
      <c r="M113">
        <v>17300745310</v>
      </c>
      <c r="N113">
        <v>1.000062</v>
      </c>
      <c r="O113">
        <v>1.000367</v>
      </c>
      <c r="P113">
        <v>1.000062</v>
      </c>
      <c r="Q113">
        <v>1.0001990000000001</v>
      </c>
      <c r="R113">
        <v>1.0001990000000001</v>
      </c>
      <c r="S113">
        <v>42268710956</v>
      </c>
      <c r="T113">
        <v>0.999699</v>
      </c>
      <c r="U113">
        <v>1.000181</v>
      </c>
      <c r="V113">
        <v>0.99902800000000003</v>
      </c>
      <c r="W113">
        <v>0.99996499999999999</v>
      </c>
      <c r="X113">
        <v>0.99996499999999999</v>
      </c>
      <c r="Y113">
        <v>2802399958</v>
      </c>
      <c r="Z113">
        <v>0.79056700000000002</v>
      </c>
      <c r="AA113">
        <v>0.819025</v>
      </c>
      <c r="AB113">
        <v>0.78325100000000003</v>
      </c>
      <c r="AC113">
        <v>0.790995</v>
      </c>
      <c r="AD113">
        <v>0.790995</v>
      </c>
      <c r="AE113">
        <v>772035954</v>
      </c>
    </row>
    <row r="114" spans="1:31" x14ac:dyDescent="0.25">
      <c r="A114" s="1">
        <v>44634</v>
      </c>
      <c r="B114">
        <v>2518.486328</v>
      </c>
      <c r="C114">
        <v>2604.0344239999999</v>
      </c>
      <c r="D114">
        <v>2505.2993160000001</v>
      </c>
      <c r="E114">
        <v>2590.6960450000001</v>
      </c>
      <c r="F114">
        <v>2590.6960450000001</v>
      </c>
      <c r="G114">
        <v>11244398839</v>
      </c>
      <c r="H114">
        <v>37846.316405999998</v>
      </c>
      <c r="I114">
        <v>39742.5</v>
      </c>
      <c r="J114">
        <v>37680.734375</v>
      </c>
      <c r="K114">
        <v>39666.753905999998</v>
      </c>
      <c r="L114">
        <v>39666.753905999998</v>
      </c>
      <c r="M114">
        <v>24322159070</v>
      </c>
      <c r="N114">
        <v>1.0001899999999999</v>
      </c>
      <c r="O114">
        <v>1.000381</v>
      </c>
      <c r="P114">
        <v>1.0001119999999999</v>
      </c>
      <c r="Q114">
        <v>1.000219</v>
      </c>
      <c r="R114">
        <v>1.000219</v>
      </c>
      <c r="S114">
        <v>52613345077</v>
      </c>
      <c r="T114">
        <v>0.99994700000000003</v>
      </c>
      <c r="U114">
        <v>1.0006429999999999</v>
      </c>
      <c r="V114">
        <v>0.99839699999999998</v>
      </c>
      <c r="W114">
        <v>1.0002880000000001</v>
      </c>
      <c r="X114">
        <v>1.0002880000000001</v>
      </c>
      <c r="Y114">
        <v>3579010932</v>
      </c>
      <c r="Z114">
        <v>0.790412</v>
      </c>
      <c r="AA114">
        <v>0.81207499999999999</v>
      </c>
      <c r="AB114">
        <v>0.78190800000000005</v>
      </c>
      <c r="AC114">
        <v>0.80391699999999999</v>
      </c>
      <c r="AD114">
        <v>0.80391699999999999</v>
      </c>
      <c r="AE114">
        <v>924771999</v>
      </c>
    </row>
    <row r="115" spans="1:31" x14ac:dyDescent="0.25">
      <c r="A115" s="1">
        <v>44635</v>
      </c>
      <c r="B115">
        <v>2590.6689449999999</v>
      </c>
      <c r="C115">
        <v>2662.3295899999998</v>
      </c>
      <c r="D115">
        <v>2515.7658689999998</v>
      </c>
      <c r="E115">
        <v>2620.1496579999998</v>
      </c>
      <c r="F115">
        <v>2620.1496579999998</v>
      </c>
      <c r="G115">
        <v>12861105614</v>
      </c>
      <c r="H115">
        <v>39664.25</v>
      </c>
      <c r="I115">
        <v>39794.628905999998</v>
      </c>
      <c r="J115">
        <v>38310.210937999997</v>
      </c>
      <c r="K115">
        <v>39338.785155999998</v>
      </c>
      <c r="L115">
        <v>39338.785155999998</v>
      </c>
      <c r="M115">
        <v>23934000868</v>
      </c>
      <c r="N115">
        <v>1.000216</v>
      </c>
      <c r="O115">
        <v>1.0005029999999999</v>
      </c>
      <c r="P115">
        <v>1.0001040000000001</v>
      </c>
      <c r="Q115">
        <v>1.0003340000000001</v>
      </c>
      <c r="R115">
        <v>1.0003340000000001</v>
      </c>
      <c r="S115">
        <v>52961395870</v>
      </c>
      <c r="T115">
        <v>1.0002690000000001</v>
      </c>
      <c r="U115">
        <v>1.0007980000000001</v>
      </c>
      <c r="V115">
        <v>0.99870199999999998</v>
      </c>
      <c r="W115">
        <v>0.99936700000000001</v>
      </c>
      <c r="X115">
        <v>0.99936700000000001</v>
      </c>
      <c r="Y115">
        <v>3439991060</v>
      </c>
      <c r="Z115">
        <v>0.80384100000000003</v>
      </c>
      <c r="AA115">
        <v>0.81562199999999996</v>
      </c>
      <c r="AB115">
        <v>0.78591699999999998</v>
      </c>
      <c r="AC115">
        <v>0.80000599999999999</v>
      </c>
      <c r="AD115">
        <v>0.80000599999999999</v>
      </c>
      <c r="AE115">
        <v>832137304</v>
      </c>
    </row>
    <row r="116" spans="1:31" x14ac:dyDescent="0.25">
      <c r="A116" s="1">
        <v>44636</v>
      </c>
      <c r="B116">
        <v>2620.0285640000002</v>
      </c>
      <c r="C116">
        <v>2781.3071289999998</v>
      </c>
      <c r="D116">
        <v>2610.764404</v>
      </c>
      <c r="E116">
        <v>2772.055664</v>
      </c>
      <c r="F116">
        <v>2772.055664</v>
      </c>
      <c r="G116">
        <v>17915109769</v>
      </c>
      <c r="H116">
        <v>39335.570312999997</v>
      </c>
      <c r="I116">
        <v>41465.453125</v>
      </c>
      <c r="J116">
        <v>39022.347655999998</v>
      </c>
      <c r="K116">
        <v>41143.929687999997</v>
      </c>
      <c r="L116">
        <v>41143.929687999997</v>
      </c>
      <c r="M116">
        <v>39616916192</v>
      </c>
      <c r="N116">
        <v>1.000332</v>
      </c>
      <c r="O116">
        <v>1.0005010000000001</v>
      </c>
      <c r="P116">
        <v>1.0001739999999999</v>
      </c>
      <c r="Q116">
        <v>1.000435</v>
      </c>
      <c r="R116">
        <v>1.000435</v>
      </c>
      <c r="S116">
        <v>74673285342</v>
      </c>
      <c r="T116">
        <v>0.99936199999999997</v>
      </c>
      <c r="U116">
        <v>1.0005550000000001</v>
      </c>
      <c r="V116">
        <v>0.99916799999999995</v>
      </c>
      <c r="W116">
        <v>0.99989600000000001</v>
      </c>
      <c r="X116">
        <v>0.99989600000000001</v>
      </c>
      <c r="Y116">
        <v>5396067900</v>
      </c>
      <c r="Z116">
        <v>0.80002399999999996</v>
      </c>
      <c r="AA116">
        <v>0.83863200000000004</v>
      </c>
      <c r="AB116">
        <v>0.79539599999999999</v>
      </c>
      <c r="AC116">
        <v>0.83837399999999995</v>
      </c>
      <c r="AD116">
        <v>0.83837399999999995</v>
      </c>
      <c r="AE116">
        <v>1233395707</v>
      </c>
    </row>
    <row r="117" spans="1:31" x14ac:dyDescent="0.25">
      <c r="A117" s="1">
        <v>44637</v>
      </c>
      <c r="B117">
        <v>2771.9641109999998</v>
      </c>
      <c r="C117">
        <v>2826.1606449999999</v>
      </c>
      <c r="D117">
        <v>2751.5607909999999</v>
      </c>
      <c r="E117">
        <v>2814.8544919999999</v>
      </c>
      <c r="F117">
        <v>2814.8544919999999</v>
      </c>
      <c r="G117">
        <v>12685265194</v>
      </c>
      <c r="H117">
        <v>41140.84375</v>
      </c>
      <c r="I117">
        <v>41287.535155999998</v>
      </c>
      <c r="J117">
        <v>40662.871094000002</v>
      </c>
      <c r="K117">
        <v>40951.378905999998</v>
      </c>
      <c r="L117">
        <v>40951.378905999998</v>
      </c>
      <c r="M117">
        <v>22009601093</v>
      </c>
      <c r="N117">
        <v>1.0004280000000001</v>
      </c>
      <c r="O117">
        <v>1.000618</v>
      </c>
      <c r="P117">
        <v>1.000243</v>
      </c>
      <c r="Q117">
        <v>1.0004999999999999</v>
      </c>
      <c r="R117">
        <v>1.0004999999999999</v>
      </c>
      <c r="S117">
        <v>52913216462</v>
      </c>
      <c r="T117">
        <v>0.99990500000000004</v>
      </c>
      <c r="U117">
        <v>1.000246</v>
      </c>
      <c r="V117">
        <v>0.999498</v>
      </c>
      <c r="W117">
        <v>0.99978400000000001</v>
      </c>
      <c r="X117">
        <v>0.99978400000000001</v>
      </c>
      <c r="Y117">
        <v>3742857761</v>
      </c>
      <c r="Z117">
        <v>0.83836200000000005</v>
      </c>
      <c r="AA117">
        <v>0.85587999999999997</v>
      </c>
      <c r="AB117">
        <v>0.82992999999999995</v>
      </c>
      <c r="AC117">
        <v>0.83678399999999997</v>
      </c>
      <c r="AD117">
        <v>0.83678399999999997</v>
      </c>
      <c r="AE117">
        <v>909733920</v>
      </c>
    </row>
    <row r="118" spans="1:31" x14ac:dyDescent="0.25">
      <c r="A118" s="1">
        <v>44638</v>
      </c>
      <c r="B118">
        <v>2814.4345699999999</v>
      </c>
      <c r="C118">
        <v>2973.616211</v>
      </c>
      <c r="D118">
        <v>2774.8557129999999</v>
      </c>
      <c r="E118">
        <v>2945.343018</v>
      </c>
      <c r="F118">
        <v>2945.343018</v>
      </c>
      <c r="G118">
        <v>15830879093</v>
      </c>
      <c r="H118">
        <v>40944.839844000002</v>
      </c>
      <c r="I118">
        <v>42195.746094000002</v>
      </c>
      <c r="J118">
        <v>40302.398437999997</v>
      </c>
      <c r="K118">
        <v>41801.15625</v>
      </c>
      <c r="L118">
        <v>41801.15625</v>
      </c>
      <c r="M118">
        <v>34421564942</v>
      </c>
      <c r="N118">
        <v>1.00048</v>
      </c>
      <c r="O118">
        <v>1.0008969999999999</v>
      </c>
      <c r="P118">
        <v>1.000329</v>
      </c>
      <c r="Q118">
        <v>1.000483</v>
      </c>
      <c r="R118">
        <v>1.000483</v>
      </c>
      <c r="S118">
        <v>64969319781</v>
      </c>
      <c r="T118">
        <v>0.999753</v>
      </c>
      <c r="U118">
        <v>1.000103</v>
      </c>
      <c r="V118">
        <v>0.99932299999999996</v>
      </c>
      <c r="W118">
        <v>0.99984799999999996</v>
      </c>
      <c r="X118">
        <v>0.99984799999999996</v>
      </c>
      <c r="Y118">
        <v>4336717258</v>
      </c>
      <c r="Z118">
        <v>0.83665699999999998</v>
      </c>
      <c r="AA118">
        <v>0.85887999999999998</v>
      </c>
      <c r="AB118">
        <v>0.82287900000000003</v>
      </c>
      <c r="AC118">
        <v>0.853433</v>
      </c>
      <c r="AD118">
        <v>0.853433</v>
      </c>
      <c r="AE118">
        <v>792706852</v>
      </c>
    </row>
    <row r="119" spans="1:31" x14ac:dyDescent="0.25">
      <c r="A119" s="1">
        <v>44639</v>
      </c>
      <c r="B119">
        <v>2944.7216800000001</v>
      </c>
      <c r="C119">
        <v>2979.9870609999998</v>
      </c>
      <c r="D119">
        <v>2910.8022460000002</v>
      </c>
      <c r="E119">
        <v>2946.2570799999999</v>
      </c>
      <c r="F119">
        <v>2946.2570799999999</v>
      </c>
      <c r="G119">
        <v>11576463120</v>
      </c>
      <c r="H119">
        <v>41794.648437999997</v>
      </c>
      <c r="I119">
        <v>42316.554687999997</v>
      </c>
      <c r="J119">
        <v>41602.667969000002</v>
      </c>
      <c r="K119">
        <v>42190.652344000002</v>
      </c>
      <c r="L119">
        <v>42190.652344000002</v>
      </c>
      <c r="M119">
        <v>19664853187</v>
      </c>
      <c r="N119">
        <v>1.0004869999999999</v>
      </c>
      <c r="O119">
        <v>1.000769</v>
      </c>
      <c r="P119">
        <v>1.000383</v>
      </c>
      <c r="Q119">
        <v>1.00051</v>
      </c>
      <c r="R119">
        <v>1.00051</v>
      </c>
      <c r="S119">
        <v>58881848497</v>
      </c>
      <c r="T119">
        <v>0.99980599999999997</v>
      </c>
      <c r="U119">
        <v>1.0001690000000001</v>
      </c>
      <c r="V119">
        <v>0.99933700000000003</v>
      </c>
      <c r="W119">
        <v>0.99974799999999997</v>
      </c>
      <c r="X119">
        <v>0.99974799999999997</v>
      </c>
      <c r="Y119">
        <v>2958600262</v>
      </c>
      <c r="Z119">
        <v>0.85327399999999998</v>
      </c>
      <c r="AA119">
        <v>0.91292099999999998</v>
      </c>
      <c r="AB119">
        <v>0.85197199999999995</v>
      </c>
      <c r="AC119">
        <v>0.90109899999999998</v>
      </c>
      <c r="AD119">
        <v>0.90109899999999998</v>
      </c>
      <c r="AE119">
        <v>1103521076</v>
      </c>
    </row>
    <row r="120" spans="1:31" x14ac:dyDescent="0.25">
      <c r="A120" s="1">
        <v>44640</v>
      </c>
      <c r="B120">
        <v>2946.547607</v>
      </c>
      <c r="C120">
        <v>2956.9655760000001</v>
      </c>
      <c r="D120">
        <v>2826.107422</v>
      </c>
      <c r="E120">
        <v>2860.4592290000001</v>
      </c>
      <c r="F120">
        <v>2860.4592290000001</v>
      </c>
      <c r="G120">
        <v>12684727326</v>
      </c>
      <c r="H120">
        <v>42191.40625</v>
      </c>
      <c r="I120">
        <v>42241.164062999997</v>
      </c>
      <c r="J120">
        <v>41004.757812999997</v>
      </c>
      <c r="K120">
        <v>41247.824219000002</v>
      </c>
      <c r="L120">
        <v>41247.824219000002</v>
      </c>
      <c r="M120">
        <v>20127946682</v>
      </c>
      <c r="N120">
        <v>1.000505</v>
      </c>
      <c r="O120">
        <v>1.0007379999999999</v>
      </c>
      <c r="P120">
        <v>1.000375</v>
      </c>
      <c r="Q120">
        <v>1.000427</v>
      </c>
      <c r="R120">
        <v>1.000427</v>
      </c>
      <c r="S120">
        <v>57837125338</v>
      </c>
      <c r="T120">
        <v>0.99975499999999995</v>
      </c>
      <c r="U120">
        <v>1.000246</v>
      </c>
      <c r="V120">
        <v>0.99915699999999996</v>
      </c>
      <c r="W120">
        <v>0.99993200000000004</v>
      </c>
      <c r="X120">
        <v>0.99993200000000004</v>
      </c>
      <c r="Y120">
        <v>2943598190</v>
      </c>
      <c r="Z120">
        <v>0.90132199999999996</v>
      </c>
      <c r="AA120">
        <v>0.91460300000000005</v>
      </c>
      <c r="AB120">
        <v>0.86566900000000002</v>
      </c>
      <c r="AC120">
        <v>0.87709199999999998</v>
      </c>
      <c r="AD120">
        <v>0.87709199999999998</v>
      </c>
      <c r="AE120">
        <v>949951339</v>
      </c>
    </row>
    <row r="121" spans="1:31" x14ac:dyDescent="0.25">
      <c r="A121" s="1">
        <v>44641</v>
      </c>
      <c r="B121">
        <v>2860.1032709999999</v>
      </c>
      <c r="C121">
        <v>2954.5566410000001</v>
      </c>
      <c r="D121">
        <v>2838.2504880000001</v>
      </c>
      <c r="E121">
        <v>2897.9765630000002</v>
      </c>
      <c r="F121">
        <v>2897.9765630000002</v>
      </c>
      <c r="G121">
        <v>15206116098</v>
      </c>
      <c r="H121">
        <v>41246.132812999997</v>
      </c>
      <c r="I121">
        <v>41454.410155999998</v>
      </c>
      <c r="J121">
        <v>40668.042969000002</v>
      </c>
      <c r="K121">
        <v>41077.996094000002</v>
      </c>
      <c r="L121">
        <v>41077.996094000002</v>
      </c>
      <c r="M121">
        <v>24615543271</v>
      </c>
      <c r="N121">
        <v>1.0004169999999999</v>
      </c>
      <c r="O121">
        <v>1.0005409999999999</v>
      </c>
      <c r="P121">
        <v>1.000297</v>
      </c>
      <c r="Q121">
        <v>1.0003470000000001</v>
      </c>
      <c r="R121">
        <v>1.0003470000000001</v>
      </c>
      <c r="S121">
        <v>64828148834</v>
      </c>
      <c r="T121">
        <v>0.99992700000000001</v>
      </c>
      <c r="U121">
        <v>1.0003770000000001</v>
      </c>
      <c r="V121">
        <v>0.99939900000000004</v>
      </c>
      <c r="W121">
        <v>0.99982800000000005</v>
      </c>
      <c r="X121">
        <v>0.99982800000000005</v>
      </c>
      <c r="Y121">
        <v>3371335656</v>
      </c>
      <c r="Z121">
        <v>0.87720100000000001</v>
      </c>
      <c r="AA121">
        <v>0.92759899999999995</v>
      </c>
      <c r="AB121">
        <v>0.86591899999999999</v>
      </c>
      <c r="AC121">
        <v>0.91678199999999999</v>
      </c>
      <c r="AD121">
        <v>0.91678199999999999</v>
      </c>
      <c r="AE121">
        <v>1233477886</v>
      </c>
    </row>
    <row r="122" spans="1:31" x14ac:dyDescent="0.25">
      <c r="A122" s="1">
        <v>44642</v>
      </c>
      <c r="B122">
        <v>2897.7741700000001</v>
      </c>
      <c r="C122">
        <v>3040.3828130000002</v>
      </c>
      <c r="D122">
        <v>2892.5444339999999</v>
      </c>
      <c r="E122">
        <v>2973.1311040000001</v>
      </c>
      <c r="F122">
        <v>2973.1311040000001</v>
      </c>
      <c r="G122">
        <v>16830539230</v>
      </c>
      <c r="H122">
        <v>41074.105469000002</v>
      </c>
      <c r="I122">
        <v>43124.707030999998</v>
      </c>
      <c r="J122">
        <v>40948.28125</v>
      </c>
      <c r="K122">
        <v>42358.808594000002</v>
      </c>
      <c r="L122">
        <v>42358.808594000002</v>
      </c>
      <c r="M122">
        <v>32004652376</v>
      </c>
      <c r="N122">
        <v>1.0003500000000001</v>
      </c>
      <c r="O122">
        <v>1.000707</v>
      </c>
      <c r="P122">
        <v>1.0003040000000001</v>
      </c>
      <c r="Q122">
        <v>1.000337</v>
      </c>
      <c r="R122">
        <v>1.000337</v>
      </c>
      <c r="S122">
        <v>71455738693</v>
      </c>
      <c r="T122">
        <v>0.99982000000000004</v>
      </c>
      <c r="U122">
        <v>1.0002679999999999</v>
      </c>
      <c r="V122">
        <v>0.99947699999999995</v>
      </c>
      <c r="W122">
        <v>0.99990400000000002</v>
      </c>
      <c r="X122">
        <v>0.99990400000000002</v>
      </c>
      <c r="Y122">
        <v>4026123791</v>
      </c>
      <c r="Z122">
        <v>0.91688800000000004</v>
      </c>
      <c r="AA122">
        <v>0.98503300000000005</v>
      </c>
      <c r="AB122">
        <v>0.90959199999999996</v>
      </c>
      <c r="AC122">
        <v>0.97643999999999997</v>
      </c>
      <c r="AD122">
        <v>0.97643999999999997</v>
      </c>
      <c r="AE122">
        <v>1699537576</v>
      </c>
    </row>
    <row r="123" spans="1:31" x14ac:dyDescent="0.25">
      <c r="A123" s="1">
        <v>44643</v>
      </c>
      <c r="B123">
        <v>2973.1450199999999</v>
      </c>
      <c r="C123">
        <v>3036.7521969999998</v>
      </c>
      <c r="D123">
        <v>2933.3066410000001</v>
      </c>
      <c r="E123">
        <v>3031.0671390000002</v>
      </c>
      <c r="F123">
        <v>3031.0671390000002</v>
      </c>
      <c r="G123">
        <v>16008767658</v>
      </c>
      <c r="H123">
        <v>42364.378905999998</v>
      </c>
      <c r="I123">
        <v>42893.507812999997</v>
      </c>
      <c r="J123">
        <v>41877.507812999997</v>
      </c>
      <c r="K123">
        <v>42892.957030999998</v>
      </c>
      <c r="L123">
        <v>42892.957030999998</v>
      </c>
      <c r="M123">
        <v>25242943069</v>
      </c>
      <c r="N123">
        <v>1.0003500000000001</v>
      </c>
      <c r="O123">
        <v>1.0007010000000001</v>
      </c>
      <c r="P123">
        <v>1.0002610000000001</v>
      </c>
      <c r="Q123">
        <v>1.0004090000000001</v>
      </c>
      <c r="R123">
        <v>1.0004090000000001</v>
      </c>
      <c r="S123">
        <v>68181581345</v>
      </c>
      <c r="T123">
        <v>0.99988999999999995</v>
      </c>
      <c r="U123">
        <v>1.0003789999999999</v>
      </c>
      <c r="V123">
        <v>0.99917699999999998</v>
      </c>
      <c r="W123">
        <v>0.99995299999999998</v>
      </c>
      <c r="X123">
        <v>0.99995299999999998</v>
      </c>
      <c r="Y123">
        <v>3777569857</v>
      </c>
      <c r="Z123">
        <v>0.97616199999999997</v>
      </c>
      <c r="AA123">
        <v>1.1074820000000001</v>
      </c>
      <c r="AB123">
        <v>0.95906800000000003</v>
      </c>
      <c r="AC123">
        <v>1.1074820000000001</v>
      </c>
      <c r="AD123">
        <v>1.1074820000000001</v>
      </c>
      <c r="AE123">
        <v>3447683427</v>
      </c>
    </row>
    <row r="124" spans="1:31" x14ac:dyDescent="0.25">
      <c r="A124" s="1">
        <v>44644</v>
      </c>
      <c r="B124">
        <v>3031.0607909999999</v>
      </c>
      <c r="C124">
        <v>3118.3876949999999</v>
      </c>
      <c r="D124">
        <v>3012.3266600000002</v>
      </c>
      <c r="E124">
        <v>3108.0620119999999</v>
      </c>
      <c r="F124">
        <v>3108.0620119999999</v>
      </c>
      <c r="G124">
        <v>18070503166</v>
      </c>
      <c r="H124">
        <v>42886.652344000002</v>
      </c>
      <c r="I124">
        <v>44131.855469000002</v>
      </c>
      <c r="J124">
        <v>42726.164062999997</v>
      </c>
      <c r="K124">
        <v>43960.933594000002</v>
      </c>
      <c r="L124">
        <v>43960.933594000002</v>
      </c>
      <c r="M124">
        <v>31042992291</v>
      </c>
      <c r="N124">
        <v>1.000453</v>
      </c>
      <c r="O124">
        <v>1.000667</v>
      </c>
      <c r="P124">
        <v>1.0002819999999999</v>
      </c>
      <c r="Q124">
        <v>1.0005999999999999</v>
      </c>
      <c r="R124">
        <v>1.0005999999999999</v>
      </c>
      <c r="S124">
        <v>77842904360</v>
      </c>
      <c r="T124">
        <v>0.999977</v>
      </c>
      <c r="U124">
        <v>1.0003789999999999</v>
      </c>
      <c r="V124">
        <v>0.99907299999999999</v>
      </c>
      <c r="W124">
        <v>0.99970499999999995</v>
      </c>
      <c r="X124">
        <v>0.99970499999999995</v>
      </c>
      <c r="Y124">
        <v>4794381206</v>
      </c>
      <c r="Z124">
        <v>1.1072040000000001</v>
      </c>
      <c r="AA124">
        <v>1.185751</v>
      </c>
      <c r="AB124">
        <v>1.0854220000000001</v>
      </c>
      <c r="AC124">
        <v>1.1300110000000001</v>
      </c>
      <c r="AD124">
        <v>1.1300110000000001</v>
      </c>
      <c r="AE124">
        <v>3671006856</v>
      </c>
    </row>
    <row r="125" spans="1:31" x14ac:dyDescent="0.25">
      <c r="A125" s="1">
        <v>44645</v>
      </c>
      <c r="B125">
        <v>3108.4489749999998</v>
      </c>
      <c r="C125">
        <v>3183.9580080000001</v>
      </c>
      <c r="D125">
        <v>3087.4907229999999</v>
      </c>
      <c r="E125">
        <v>3106.6713869999999</v>
      </c>
      <c r="F125">
        <v>3106.6713869999999</v>
      </c>
      <c r="G125">
        <v>17030503831</v>
      </c>
      <c r="H125">
        <v>43964.546875</v>
      </c>
      <c r="I125">
        <v>44999.492187999997</v>
      </c>
      <c r="J125">
        <v>43706.285155999998</v>
      </c>
      <c r="K125">
        <v>44348.730469000002</v>
      </c>
      <c r="L125">
        <v>44348.730469000002</v>
      </c>
      <c r="M125">
        <v>30574413034</v>
      </c>
      <c r="N125">
        <v>1.000604</v>
      </c>
      <c r="O125">
        <v>1.0006299999999999</v>
      </c>
      <c r="P125">
        <v>1.000351</v>
      </c>
      <c r="Q125">
        <v>1.0004059999999999</v>
      </c>
      <c r="R125">
        <v>1.0004059999999999</v>
      </c>
      <c r="S125">
        <v>64320675570</v>
      </c>
      <c r="T125">
        <v>0.99970300000000001</v>
      </c>
      <c r="U125">
        <v>1.0002489999999999</v>
      </c>
      <c r="V125">
        <v>0.99878299999999998</v>
      </c>
      <c r="W125">
        <v>0.99915299999999996</v>
      </c>
      <c r="X125">
        <v>0.99915299999999996</v>
      </c>
      <c r="Y125">
        <v>3995768300</v>
      </c>
      <c r="Z125">
        <v>1.130228</v>
      </c>
      <c r="AA125">
        <v>1.163815</v>
      </c>
      <c r="AB125">
        <v>1.075631</v>
      </c>
      <c r="AC125">
        <v>1.097888</v>
      </c>
      <c r="AD125">
        <v>1.097888</v>
      </c>
      <c r="AE125">
        <v>2232929187</v>
      </c>
    </row>
    <row r="126" spans="1:31" x14ac:dyDescent="0.25">
      <c r="A126" s="1">
        <v>44646</v>
      </c>
      <c r="B126">
        <v>3106.4052729999999</v>
      </c>
      <c r="C126">
        <v>3146.8254390000002</v>
      </c>
      <c r="D126">
        <v>3091.8254390000002</v>
      </c>
      <c r="E126">
        <v>3143.1789549999999</v>
      </c>
      <c r="F126">
        <v>3143.1789549999999</v>
      </c>
      <c r="G126">
        <v>8876420740</v>
      </c>
      <c r="H126">
        <v>44349.859375</v>
      </c>
      <c r="I126">
        <v>44735.996094000002</v>
      </c>
      <c r="J126">
        <v>44166.273437999997</v>
      </c>
      <c r="K126">
        <v>44500.828125</v>
      </c>
      <c r="L126">
        <v>44500.828125</v>
      </c>
      <c r="M126">
        <v>16950455995</v>
      </c>
      <c r="N126">
        <v>1.0004230000000001</v>
      </c>
      <c r="O126">
        <v>1.00054</v>
      </c>
      <c r="P126">
        <v>1.0003299999999999</v>
      </c>
      <c r="Q126">
        <v>1.0003610000000001</v>
      </c>
      <c r="R126">
        <v>1.0003610000000001</v>
      </c>
      <c r="S126">
        <v>39871932342</v>
      </c>
      <c r="T126">
        <v>0.99920299999999995</v>
      </c>
      <c r="U126">
        <v>1.000545</v>
      </c>
      <c r="V126">
        <v>0.99906600000000001</v>
      </c>
      <c r="W126">
        <v>0.999892</v>
      </c>
      <c r="X126">
        <v>0.999892</v>
      </c>
      <c r="Y126">
        <v>2351508897</v>
      </c>
      <c r="Z126">
        <v>1.098015</v>
      </c>
      <c r="AA126">
        <v>1.1572309999999999</v>
      </c>
      <c r="AB126">
        <v>1.0822719999999999</v>
      </c>
      <c r="AC126">
        <v>1.1505939999999999</v>
      </c>
      <c r="AD126">
        <v>1.1505939999999999</v>
      </c>
      <c r="AE126">
        <v>1407171432</v>
      </c>
    </row>
    <row r="127" spans="1:31" x14ac:dyDescent="0.25">
      <c r="A127" s="1">
        <v>44647</v>
      </c>
      <c r="B127">
        <v>3143.795654</v>
      </c>
      <c r="C127">
        <v>3291.5776369999999</v>
      </c>
      <c r="D127">
        <v>3129.9978030000002</v>
      </c>
      <c r="E127">
        <v>3291.5776369999999</v>
      </c>
      <c r="F127">
        <v>3291.5776369999999</v>
      </c>
      <c r="G127">
        <v>13431866834</v>
      </c>
      <c r="H127">
        <v>44505.355469000002</v>
      </c>
      <c r="I127">
        <v>46827.546875</v>
      </c>
      <c r="J127">
        <v>44437.292969000002</v>
      </c>
      <c r="K127">
        <v>46820.492187999997</v>
      </c>
      <c r="L127">
        <v>46820.492187999997</v>
      </c>
      <c r="M127">
        <v>28160889722</v>
      </c>
      <c r="N127">
        <v>1.0003610000000001</v>
      </c>
      <c r="O127">
        <v>1.0006060000000001</v>
      </c>
      <c r="P127">
        <v>1.0002679999999999</v>
      </c>
      <c r="Q127">
        <v>1.0003759999999999</v>
      </c>
      <c r="R127">
        <v>1.0003759999999999</v>
      </c>
      <c r="S127">
        <v>59103680528</v>
      </c>
      <c r="T127">
        <v>0.99992000000000003</v>
      </c>
      <c r="U127">
        <v>1.000435</v>
      </c>
      <c r="V127">
        <v>0.99949500000000002</v>
      </c>
      <c r="W127">
        <v>1.0000389999999999</v>
      </c>
      <c r="X127">
        <v>1.0000389999999999</v>
      </c>
      <c r="Y127">
        <v>3193250085</v>
      </c>
      <c r="Z127">
        <v>1.151006</v>
      </c>
      <c r="AA127">
        <v>1.183395</v>
      </c>
      <c r="AB127">
        <v>1.108125</v>
      </c>
      <c r="AC127">
        <v>1.182148</v>
      </c>
      <c r="AD127">
        <v>1.182148</v>
      </c>
      <c r="AE127">
        <v>1322194562</v>
      </c>
    </row>
    <row r="128" spans="1:31" x14ac:dyDescent="0.25">
      <c r="A128" s="1">
        <v>44648</v>
      </c>
      <c r="B128">
        <v>3292.32251</v>
      </c>
      <c r="C128">
        <v>3424.0192870000001</v>
      </c>
      <c r="D128">
        <v>3279.0270999999998</v>
      </c>
      <c r="E128">
        <v>3336.6345209999999</v>
      </c>
      <c r="F128">
        <v>3336.6345209999999</v>
      </c>
      <c r="G128">
        <v>20620450770</v>
      </c>
      <c r="H128">
        <v>46821.851562999997</v>
      </c>
      <c r="I128">
        <v>48086.835937999997</v>
      </c>
      <c r="J128">
        <v>46690.203125</v>
      </c>
      <c r="K128">
        <v>47128.003905999998</v>
      </c>
      <c r="L128">
        <v>47128.003905999998</v>
      </c>
      <c r="M128">
        <v>36362175703</v>
      </c>
      <c r="N128">
        <v>1.0003649999999999</v>
      </c>
      <c r="O128">
        <v>1.000651</v>
      </c>
      <c r="P128">
        <v>1.0002260000000001</v>
      </c>
      <c r="Q128">
        <v>1.0004120000000001</v>
      </c>
      <c r="R128">
        <v>1.0004120000000001</v>
      </c>
      <c r="S128">
        <v>86217871591</v>
      </c>
      <c r="T128">
        <v>1.0000450000000001</v>
      </c>
      <c r="U128">
        <v>1.0005109999999999</v>
      </c>
      <c r="V128">
        <v>0.99923099999999998</v>
      </c>
      <c r="W128">
        <v>1.0001260000000001</v>
      </c>
      <c r="X128">
        <v>1.0001260000000001</v>
      </c>
      <c r="Y128">
        <v>4736107595</v>
      </c>
      <c r="Z128">
        <v>1.182334</v>
      </c>
      <c r="AA128">
        <v>1.2428650000000001</v>
      </c>
      <c r="AB128">
        <v>1.1624680000000001</v>
      </c>
      <c r="AC128">
        <v>1.1701839999999999</v>
      </c>
      <c r="AD128">
        <v>1.1701839999999999</v>
      </c>
      <c r="AE128">
        <v>2304056098</v>
      </c>
    </row>
    <row r="129" spans="1:31" x14ac:dyDescent="0.25">
      <c r="A129" s="1">
        <v>44649</v>
      </c>
      <c r="B129">
        <v>3335.02124</v>
      </c>
      <c r="C129">
        <v>3470.186279</v>
      </c>
      <c r="D129">
        <v>3335.02124</v>
      </c>
      <c r="E129">
        <v>3401.9877929999998</v>
      </c>
      <c r="F129">
        <v>3401.9877929999998</v>
      </c>
      <c r="G129">
        <v>19533323636</v>
      </c>
      <c r="H129">
        <v>47100.4375</v>
      </c>
      <c r="I129">
        <v>48022.289062999997</v>
      </c>
      <c r="J129">
        <v>47100.4375</v>
      </c>
      <c r="K129">
        <v>47465.730469000002</v>
      </c>
      <c r="L129">
        <v>47465.730469000002</v>
      </c>
      <c r="M129">
        <v>31397059069</v>
      </c>
      <c r="N129">
        <v>1.0004059999999999</v>
      </c>
      <c r="O129">
        <v>1.0006619999999999</v>
      </c>
      <c r="P129">
        <v>1.0002800000000001</v>
      </c>
      <c r="Q129">
        <v>1.0004500000000001</v>
      </c>
      <c r="R129">
        <v>1.0004500000000001</v>
      </c>
      <c r="S129">
        <v>80447404974</v>
      </c>
      <c r="T129">
        <v>1.0000640000000001</v>
      </c>
      <c r="U129">
        <v>1.000332</v>
      </c>
      <c r="V129">
        <v>0.99934500000000004</v>
      </c>
      <c r="W129">
        <v>0.999996</v>
      </c>
      <c r="X129">
        <v>0.999996</v>
      </c>
      <c r="Y129">
        <v>4605087735</v>
      </c>
      <c r="Z129">
        <v>1.1692849999999999</v>
      </c>
      <c r="AA129">
        <v>1.239358</v>
      </c>
      <c r="AB129">
        <v>1.169033</v>
      </c>
      <c r="AC129">
        <v>1.1911119999999999</v>
      </c>
      <c r="AD129">
        <v>1.1911119999999999</v>
      </c>
      <c r="AE129">
        <v>1761798381</v>
      </c>
    </row>
    <row r="130" spans="1:31" x14ac:dyDescent="0.25">
      <c r="A130" s="1">
        <v>44650</v>
      </c>
      <c r="B130">
        <v>3401.5261230000001</v>
      </c>
      <c r="C130">
        <v>3435.2861330000001</v>
      </c>
      <c r="D130">
        <v>3349.2370609999998</v>
      </c>
      <c r="E130">
        <v>3385.1579590000001</v>
      </c>
      <c r="F130">
        <v>3385.1579590000001</v>
      </c>
      <c r="G130">
        <v>15302506131</v>
      </c>
      <c r="H130">
        <v>47456.898437999997</v>
      </c>
      <c r="I130">
        <v>47655.148437999997</v>
      </c>
      <c r="J130">
        <v>46746.210937999997</v>
      </c>
      <c r="K130">
        <v>47062.664062999997</v>
      </c>
      <c r="L130">
        <v>47062.664062999997</v>
      </c>
      <c r="M130">
        <v>29333883962</v>
      </c>
      <c r="N130">
        <v>1.0004280000000001</v>
      </c>
      <c r="O130">
        <v>1.0005740000000001</v>
      </c>
      <c r="P130">
        <v>1.000219</v>
      </c>
      <c r="Q130">
        <v>1.000278</v>
      </c>
      <c r="R130">
        <v>1.000278</v>
      </c>
      <c r="S130">
        <v>79713341087</v>
      </c>
      <c r="T130">
        <v>0.999996</v>
      </c>
      <c r="U130">
        <v>1.000478</v>
      </c>
      <c r="V130">
        <v>0.99916499999999997</v>
      </c>
      <c r="W130">
        <v>0.99943099999999996</v>
      </c>
      <c r="X130">
        <v>0.99943099999999996</v>
      </c>
      <c r="Y130">
        <v>4294916739</v>
      </c>
      <c r="Z130">
        <v>1.1909799999999999</v>
      </c>
      <c r="AA130">
        <v>1.216669</v>
      </c>
      <c r="AB130">
        <v>1.167608</v>
      </c>
      <c r="AC130">
        <v>1.190385</v>
      </c>
      <c r="AD130">
        <v>1.190385</v>
      </c>
      <c r="AE130">
        <v>1424442312</v>
      </c>
    </row>
    <row r="131" spans="1:31" x14ac:dyDescent="0.25">
      <c r="A131" s="1">
        <v>44651</v>
      </c>
      <c r="B131">
        <v>3385.289307</v>
      </c>
      <c r="C131">
        <v>3435.1284179999998</v>
      </c>
      <c r="D131">
        <v>3272.9345699999999</v>
      </c>
      <c r="E131">
        <v>3281.6428219999998</v>
      </c>
      <c r="F131">
        <v>3281.6428219999998</v>
      </c>
      <c r="G131">
        <v>17685495686</v>
      </c>
      <c r="H131">
        <v>47062.148437999997</v>
      </c>
      <c r="I131">
        <v>47512.027344000002</v>
      </c>
      <c r="J131">
        <v>45390.539062999997</v>
      </c>
      <c r="K131">
        <v>45538.675780999998</v>
      </c>
      <c r="L131">
        <v>45538.675780999998</v>
      </c>
      <c r="M131">
        <v>33327427106</v>
      </c>
      <c r="N131">
        <v>1.000272</v>
      </c>
      <c r="O131">
        <v>1.000734</v>
      </c>
      <c r="P131">
        <v>1.0002</v>
      </c>
      <c r="Q131">
        <v>1.0003040000000001</v>
      </c>
      <c r="R131">
        <v>1.0003040000000001</v>
      </c>
      <c r="S131">
        <v>90489848043</v>
      </c>
      <c r="T131">
        <v>0.999448</v>
      </c>
      <c r="U131">
        <v>1.000294</v>
      </c>
      <c r="V131">
        <v>0.99894099999999997</v>
      </c>
      <c r="W131">
        <v>0.99944699999999997</v>
      </c>
      <c r="X131">
        <v>0.99944699999999997</v>
      </c>
      <c r="Y131">
        <v>4965559497</v>
      </c>
      <c r="Z131">
        <v>1.190299</v>
      </c>
      <c r="AA131">
        <v>1.2263200000000001</v>
      </c>
      <c r="AB131">
        <v>1.137162</v>
      </c>
      <c r="AC131">
        <v>1.1418509999999999</v>
      </c>
      <c r="AD131">
        <v>1.1418509999999999</v>
      </c>
      <c r="AE131">
        <v>1745903089</v>
      </c>
    </row>
    <row r="132" spans="1:31" x14ac:dyDescent="0.25">
      <c r="A132" s="1">
        <v>44652</v>
      </c>
      <c r="B132">
        <v>3282.576172</v>
      </c>
      <c r="C132">
        <v>3467.5559079999998</v>
      </c>
      <c r="D132">
        <v>3223.891357</v>
      </c>
      <c r="E132">
        <v>3449.5522460000002</v>
      </c>
      <c r="F132">
        <v>3449.5522460000002</v>
      </c>
      <c r="G132">
        <v>20982988937</v>
      </c>
      <c r="H132">
        <v>45554.164062999997</v>
      </c>
      <c r="I132">
        <v>46616.242187999997</v>
      </c>
      <c r="J132">
        <v>44403.140625</v>
      </c>
      <c r="K132">
        <v>46281.644530999998</v>
      </c>
      <c r="L132">
        <v>46281.644530999998</v>
      </c>
      <c r="M132">
        <v>38162644287</v>
      </c>
      <c r="N132">
        <v>1.0003059999999999</v>
      </c>
      <c r="O132">
        <v>1.0006390000000001</v>
      </c>
      <c r="P132">
        <v>1.0002279999999999</v>
      </c>
      <c r="Q132">
        <v>1.0003580000000001</v>
      </c>
      <c r="R132">
        <v>1.0003580000000001</v>
      </c>
      <c r="S132">
        <v>92250507858</v>
      </c>
      <c r="T132">
        <v>0.99951599999999996</v>
      </c>
      <c r="U132">
        <v>1.000418</v>
      </c>
      <c r="V132">
        <v>0.99902400000000002</v>
      </c>
      <c r="W132">
        <v>0.99999400000000005</v>
      </c>
      <c r="X132">
        <v>0.99999400000000005</v>
      </c>
      <c r="Y132">
        <v>4910693133</v>
      </c>
      <c r="Z132">
        <v>1.1419520000000001</v>
      </c>
      <c r="AA132">
        <v>1.172973</v>
      </c>
      <c r="AB132">
        <v>1.1076189999999999</v>
      </c>
      <c r="AC132">
        <v>1.1654249999999999</v>
      </c>
      <c r="AD132">
        <v>1.1654249999999999</v>
      </c>
      <c r="AE132">
        <v>1687785845</v>
      </c>
    </row>
    <row r="133" spans="1:31" x14ac:dyDescent="0.25">
      <c r="A133" s="1">
        <v>44653</v>
      </c>
      <c r="B133">
        <v>3449.7885740000002</v>
      </c>
      <c r="C133">
        <v>3521.2846679999998</v>
      </c>
      <c r="D133">
        <v>3442.0002439999998</v>
      </c>
      <c r="E133">
        <v>3445.0593260000001</v>
      </c>
      <c r="F133">
        <v>3445.0593260000001</v>
      </c>
      <c r="G133">
        <v>23571556215</v>
      </c>
      <c r="H133">
        <v>46285.5</v>
      </c>
      <c r="I133">
        <v>47028.28125</v>
      </c>
      <c r="J133">
        <v>45782.511719000002</v>
      </c>
      <c r="K133">
        <v>45868.949219000002</v>
      </c>
      <c r="L133">
        <v>45868.949219000002</v>
      </c>
      <c r="M133">
        <v>29336594194</v>
      </c>
      <c r="N133">
        <v>1.0003690000000001</v>
      </c>
      <c r="O133">
        <v>1.0005230000000001</v>
      </c>
      <c r="P133">
        <v>1.0002759999999999</v>
      </c>
      <c r="Q133">
        <v>1.0003439999999999</v>
      </c>
      <c r="R133">
        <v>1.0003439999999999</v>
      </c>
      <c r="S133">
        <v>79916606735</v>
      </c>
      <c r="T133">
        <v>1.0000070000000001</v>
      </c>
      <c r="U133">
        <v>1.0003089999999999</v>
      </c>
      <c r="V133">
        <v>0.99906499999999998</v>
      </c>
      <c r="W133">
        <v>0.99934400000000001</v>
      </c>
      <c r="X133">
        <v>0.99934400000000001</v>
      </c>
      <c r="Y133">
        <v>4174919496</v>
      </c>
      <c r="Z133">
        <v>1.1654439999999999</v>
      </c>
      <c r="AA133">
        <v>1.1938439999999999</v>
      </c>
      <c r="AB133">
        <v>1.1510499999999999</v>
      </c>
      <c r="AC133">
        <v>1.156007</v>
      </c>
      <c r="AD133">
        <v>1.156007</v>
      </c>
      <c r="AE133">
        <v>1224117012</v>
      </c>
    </row>
    <row r="134" spans="1:31" x14ac:dyDescent="0.25">
      <c r="A134" s="1">
        <v>44654</v>
      </c>
      <c r="B134">
        <v>3444.810547</v>
      </c>
      <c r="C134">
        <v>3573.9602049999999</v>
      </c>
      <c r="D134">
        <v>3421.2597660000001</v>
      </c>
      <c r="E134">
        <v>3522.8334960000002</v>
      </c>
      <c r="F134">
        <v>3522.8334960000002</v>
      </c>
      <c r="G134">
        <v>15333808649</v>
      </c>
      <c r="H134">
        <v>45859.128905999998</v>
      </c>
      <c r="I134">
        <v>47313.476562999997</v>
      </c>
      <c r="J134">
        <v>45634.105469000002</v>
      </c>
      <c r="K134">
        <v>46453.566405999998</v>
      </c>
      <c r="L134">
        <v>46453.566405999998</v>
      </c>
      <c r="M134">
        <v>25414397610</v>
      </c>
      <c r="N134">
        <v>1.000348</v>
      </c>
      <c r="O134">
        <v>1.0006809999999999</v>
      </c>
      <c r="P134">
        <v>1.0001949999999999</v>
      </c>
      <c r="Q134">
        <v>1.000273</v>
      </c>
      <c r="R134">
        <v>1.000273</v>
      </c>
      <c r="S134">
        <v>67183096448</v>
      </c>
      <c r="T134">
        <v>0.99930399999999997</v>
      </c>
      <c r="U134">
        <v>1.0004379999999999</v>
      </c>
      <c r="V134">
        <v>0.99850499999999998</v>
      </c>
      <c r="W134">
        <v>1.000094</v>
      </c>
      <c r="X134">
        <v>1.000094</v>
      </c>
      <c r="Y134">
        <v>3383196459</v>
      </c>
      <c r="Z134">
        <v>1.1559090000000001</v>
      </c>
      <c r="AA134">
        <v>1.1985429999999999</v>
      </c>
      <c r="AB134">
        <v>1.146687</v>
      </c>
      <c r="AC134">
        <v>1.1859409999999999</v>
      </c>
      <c r="AD134">
        <v>1.1859409999999999</v>
      </c>
      <c r="AE134">
        <v>976725814</v>
      </c>
    </row>
    <row r="135" spans="1:31" x14ac:dyDescent="0.25">
      <c r="A135" s="1">
        <v>44655</v>
      </c>
      <c r="B135">
        <v>3522.36499</v>
      </c>
      <c r="C135">
        <v>3535.148193</v>
      </c>
      <c r="D135">
        <v>3422.0009770000001</v>
      </c>
      <c r="E135">
        <v>3521.241211</v>
      </c>
      <c r="F135">
        <v>3521.241211</v>
      </c>
      <c r="G135">
        <v>18209969743</v>
      </c>
      <c r="H135">
        <v>46445.273437999997</v>
      </c>
      <c r="I135">
        <v>46791.089844000002</v>
      </c>
      <c r="J135">
        <v>45235.816405999998</v>
      </c>
      <c r="K135">
        <v>46622.675780999998</v>
      </c>
      <c r="L135">
        <v>46622.675780999998</v>
      </c>
      <c r="M135">
        <v>32499785455</v>
      </c>
      <c r="N135">
        <v>1.0002759999999999</v>
      </c>
      <c r="O135">
        <v>1.000451</v>
      </c>
      <c r="P135">
        <v>1.0001519999999999</v>
      </c>
      <c r="Q135">
        <v>1.0002279999999999</v>
      </c>
      <c r="R135">
        <v>1.0002279999999999</v>
      </c>
      <c r="S135">
        <v>79820905659</v>
      </c>
      <c r="T135">
        <v>1.0000880000000001</v>
      </c>
      <c r="U135">
        <v>1.000316</v>
      </c>
      <c r="V135">
        <v>0.99890999999999996</v>
      </c>
      <c r="W135">
        <v>1.000122</v>
      </c>
      <c r="X135">
        <v>1.000122</v>
      </c>
      <c r="Y135">
        <v>4217884092</v>
      </c>
      <c r="Z135">
        <v>1.1858</v>
      </c>
      <c r="AA135">
        <v>1.2403580000000001</v>
      </c>
      <c r="AB135">
        <v>1.1654929999999999</v>
      </c>
      <c r="AC135">
        <v>1.2129449999999999</v>
      </c>
      <c r="AD135">
        <v>1.2129449999999999</v>
      </c>
      <c r="AE135">
        <v>2447778820</v>
      </c>
    </row>
    <row r="136" spans="1:31" x14ac:dyDescent="0.25">
      <c r="A136" s="1">
        <v>44656</v>
      </c>
      <c r="B136">
        <v>3521.2397460000002</v>
      </c>
      <c r="C136">
        <v>3546.7067870000001</v>
      </c>
      <c r="D136">
        <v>3410.547607</v>
      </c>
      <c r="E136">
        <v>3411.7924800000001</v>
      </c>
      <c r="F136">
        <v>3411.7924800000001</v>
      </c>
      <c r="G136">
        <v>16681503199</v>
      </c>
      <c r="H136">
        <v>46624.507812999997</v>
      </c>
      <c r="I136">
        <v>47106.140625</v>
      </c>
      <c r="J136">
        <v>45544.808594000002</v>
      </c>
      <c r="K136">
        <v>45555.992187999997</v>
      </c>
      <c r="L136">
        <v>45555.992187999997</v>
      </c>
      <c r="M136">
        <v>29640604055</v>
      </c>
      <c r="N136">
        <v>1.0002219999999999</v>
      </c>
      <c r="O136">
        <v>1.000437</v>
      </c>
      <c r="P136">
        <v>1.000122</v>
      </c>
      <c r="Q136">
        <v>1.000194</v>
      </c>
      <c r="R136">
        <v>1.000194</v>
      </c>
      <c r="S136">
        <v>71594982811</v>
      </c>
      <c r="T136">
        <v>1.000138</v>
      </c>
      <c r="U136">
        <v>1.0003599999999999</v>
      </c>
      <c r="V136">
        <v>0.99903399999999998</v>
      </c>
      <c r="W136">
        <v>0.99969600000000003</v>
      </c>
      <c r="X136">
        <v>0.99969600000000003</v>
      </c>
      <c r="Y136">
        <v>3993328112</v>
      </c>
      <c r="Z136">
        <v>1.2130289999999999</v>
      </c>
      <c r="AA136">
        <v>1.2173929999999999</v>
      </c>
      <c r="AB136">
        <v>1.167548</v>
      </c>
      <c r="AC136">
        <v>1.170801</v>
      </c>
      <c r="AD136">
        <v>1.170801</v>
      </c>
      <c r="AE136">
        <v>1188106135</v>
      </c>
    </row>
    <row r="137" spans="1:31" x14ac:dyDescent="0.25">
      <c r="A137" s="1">
        <v>44657</v>
      </c>
      <c r="B137">
        <v>3411.6721189999998</v>
      </c>
      <c r="C137">
        <v>3411.6721189999998</v>
      </c>
      <c r="D137">
        <v>3171.205078</v>
      </c>
      <c r="E137">
        <v>3171.6918949999999</v>
      </c>
      <c r="F137">
        <v>3171.6918949999999</v>
      </c>
      <c r="G137">
        <v>25632563639</v>
      </c>
      <c r="H137">
        <v>45544.355469000002</v>
      </c>
      <c r="I137">
        <v>45544.355469000002</v>
      </c>
      <c r="J137">
        <v>43193.953125</v>
      </c>
      <c r="K137">
        <v>43206.738280999998</v>
      </c>
      <c r="L137">
        <v>43206.738280999998</v>
      </c>
      <c r="M137">
        <v>39393395788</v>
      </c>
      <c r="N137">
        <v>1.0001990000000001</v>
      </c>
      <c r="O137">
        <v>1.0004649999999999</v>
      </c>
      <c r="P137">
        <v>1.000086</v>
      </c>
      <c r="Q137">
        <v>1.0001549999999999</v>
      </c>
      <c r="R137">
        <v>1.0001549999999999</v>
      </c>
      <c r="S137">
        <v>92098510461</v>
      </c>
      <c r="T137">
        <v>0.99965899999999996</v>
      </c>
      <c r="U137">
        <v>1.000602</v>
      </c>
      <c r="V137">
        <v>0.99862300000000004</v>
      </c>
      <c r="W137">
        <v>0.99958499999999995</v>
      </c>
      <c r="X137">
        <v>0.99958499999999995</v>
      </c>
      <c r="Y137">
        <v>5849605363</v>
      </c>
      <c r="Z137">
        <v>1.1707920000000001</v>
      </c>
      <c r="AA137">
        <v>1.1716070000000001</v>
      </c>
      <c r="AB137">
        <v>1.052379</v>
      </c>
      <c r="AC137">
        <v>1.0527709999999999</v>
      </c>
      <c r="AD137">
        <v>1.0527709999999999</v>
      </c>
      <c r="AE137">
        <v>1710318316</v>
      </c>
    </row>
    <row r="138" spans="1:31" x14ac:dyDescent="0.25">
      <c r="A138" s="1">
        <v>44658</v>
      </c>
      <c r="B138">
        <v>3172.1972660000001</v>
      </c>
      <c r="C138">
        <v>3263.4746089999999</v>
      </c>
      <c r="D138">
        <v>3155.5810550000001</v>
      </c>
      <c r="E138">
        <v>3233.2746579999998</v>
      </c>
      <c r="F138">
        <v>3233.2746579999998</v>
      </c>
      <c r="G138">
        <v>16745496605</v>
      </c>
      <c r="H138">
        <v>43207.5</v>
      </c>
      <c r="I138">
        <v>43860.699219000002</v>
      </c>
      <c r="J138">
        <v>42899.90625</v>
      </c>
      <c r="K138">
        <v>43503.847655999998</v>
      </c>
      <c r="L138">
        <v>43503.847655999998</v>
      </c>
      <c r="M138">
        <v>26101973106</v>
      </c>
      <c r="N138">
        <v>1.000149</v>
      </c>
      <c r="O138">
        <v>1.0004919999999999</v>
      </c>
      <c r="P138">
        <v>1.0000929999999999</v>
      </c>
      <c r="Q138">
        <v>1.000262</v>
      </c>
      <c r="R138">
        <v>1.000262</v>
      </c>
      <c r="S138">
        <v>61906251582</v>
      </c>
      <c r="T138">
        <v>0.99961199999999995</v>
      </c>
      <c r="U138">
        <v>1.0011110000000001</v>
      </c>
      <c r="V138">
        <v>0.99906600000000001</v>
      </c>
      <c r="W138">
        <v>1.0000370000000001</v>
      </c>
      <c r="X138">
        <v>1.0000370000000001</v>
      </c>
      <c r="Y138">
        <v>3809231231</v>
      </c>
      <c r="Z138">
        <v>1.053129</v>
      </c>
      <c r="AA138">
        <v>1.0984689999999999</v>
      </c>
      <c r="AB138">
        <v>1.0451379999999999</v>
      </c>
      <c r="AC138">
        <v>1.0918939999999999</v>
      </c>
      <c r="AD138">
        <v>1.0918939999999999</v>
      </c>
      <c r="AE138">
        <v>1139697598</v>
      </c>
    </row>
    <row r="139" spans="1:31" x14ac:dyDescent="0.25">
      <c r="A139" s="1">
        <v>44659</v>
      </c>
      <c r="B139">
        <v>3233.272461</v>
      </c>
      <c r="C139">
        <v>3301.607422</v>
      </c>
      <c r="D139">
        <v>3179.1423340000001</v>
      </c>
      <c r="E139">
        <v>3192.0739749999998</v>
      </c>
      <c r="F139">
        <v>3192.0739749999998</v>
      </c>
      <c r="G139">
        <v>17557050669</v>
      </c>
      <c r="H139">
        <v>43505.136719000002</v>
      </c>
      <c r="I139">
        <v>43903.019530999998</v>
      </c>
      <c r="J139">
        <v>42183.289062999997</v>
      </c>
      <c r="K139">
        <v>42287.664062999997</v>
      </c>
      <c r="L139">
        <v>42287.664062999997</v>
      </c>
      <c r="M139">
        <v>27215995394</v>
      </c>
      <c r="N139">
        <v>1.0002610000000001</v>
      </c>
      <c r="O139">
        <v>1.0005470000000001</v>
      </c>
      <c r="P139">
        <v>1.000173</v>
      </c>
      <c r="Q139">
        <v>1.0002880000000001</v>
      </c>
      <c r="R139">
        <v>1.0002880000000001</v>
      </c>
      <c r="S139">
        <v>64297486911</v>
      </c>
      <c r="T139">
        <v>1.0001100000000001</v>
      </c>
      <c r="U139">
        <v>1.001015</v>
      </c>
      <c r="V139">
        <v>0.99731599999999998</v>
      </c>
      <c r="W139">
        <v>0.99974099999999999</v>
      </c>
      <c r="X139">
        <v>0.99974099999999999</v>
      </c>
      <c r="Y139">
        <v>3965817036</v>
      </c>
      <c r="Z139">
        <v>1.0916319999999999</v>
      </c>
      <c r="AA139">
        <v>1.097432</v>
      </c>
      <c r="AB139">
        <v>1.0213699999999999</v>
      </c>
      <c r="AC139">
        <v>1.0263260000000001</v>
      </c>
      <c r="AD139">
        <v>1.0263260000000001</v>
      </c>
      <c r="AE139">
        <v>926095649</v>
      </c>
    </row>
    <row r="140" spans="1:31" x14ac:dyDescent="0.25">
      <c r="A140" s="1">
        <v>44660</v>
      </c>
      <c r="B140">
        <v>3191.9760740000002</v>
      </c>
      <c r="C140">
        <v>3261.963135</v>
      </c>
      <c r="D140">
        <v>3187.4692380000001</v>
      </c>
      <c r="E140">
        <v>3261.91626</v>
      </c>
      <c r="F140">
        <v>3261.91626</v>
      </c>
      <c r="G140">
        <v>9908112156</v>
      </c>
      <c r="H140">
        <v>42282.078125</v>
      </c>
      <c r="I140">
        <v>42786.816405999998</v>
      </c>
      <c r="J140">
        <v>42183.253905999998</v>
      </c>
      <c r="K140">
        <v>42782.136719000002</v>
      </c>
      <c r="L140">
        <v>42782.136719000002</v>
      </c>
      <c r="M140">
        <v>16050772496</v>
      </c>
      <c r="N140">
        <v>1.000284</v>
      </c>
      <c r="O140">
        <v>1.0005809999999999</v>
      </c>
      <c r="P140">
        <v>1.0001519999999999</v>
      </c>
      <c r="Q140">
        <v>1.000372</v>
      </c>
      <c r="R140">
        <v>1.000372</v>
      </c>
      <c r="S140">
        <v>40069848333</v>
      </c>
      <c r="T140">
        <v>0.99974600000000002</v>
      </c>
      <c r="U140">
        <v>1.0005329999999999</v>
      </c>
      <c r="V140">
        <v>0.99906700000000004</v>
      </c>
      <c r="W140">
        <v>1.000084</v>
      </c>
      <c r="X140">
        <v>1.000084</v>
      </c>
      <c r="Y140">
        <v>2269317026</v>
      </c>
      <c r="Z140">
        <v>1.0259119999999999</v>
      </c>
      <c r="AA140">
        <v>1.045075</v>
      </c>
      <c r="AB140">
        <v>1.02379</v>
      </c>
      <c r="AC140">
        <v>1.045015</v>
      </c>
      <c r="AD140">
        <v>1.045015</v>
      </c>
      <c r="AE140">
        <v>640896639</v>
      </c>
    </row>
    <row r="141" spans="1:31" x14ac:dyDescent="0.25">
      <c r="A141" s="1">
        <v>44661</v>
      </c>
      <c r="B141">
        <v>3261.2915039999998</v>
      </c>
      <c r="C141">
        <v>3303.0031739999999</v>
      </c>
      <c r="D141">
        <v>3211.866943</v>
      </c>
      <c r="E141">
        <v>3211.866943</v>
      </c>
      <c r="F141">
        <v>3211.866943</v>
      </c>
      <c r="G141">
        <v>10427054790</v>
      </c>
      <c r="H141">
        <v>42781.089844000002</v>
      </c>
      <c r="I141">
        <v>43376.378905999998</v>
      </c>
      <c r="J141">
        <v>42021.207030999998</v>
      </c>
      <c r="K141">
        <v>42207.671875</v>
      </c>
      <c r="L141">
        <v>42207.671875</v>
      </c>
      <c r="M141">
        <v>17654475582</v>
      </c>
      <c r="N141">
        <v>1.000354</v>
      </c>
      <c r="O141">
        <v>1.0005679999999999</v>
      </c>
      <c r="P141">
        <v>1.00024</v>
      </c>
      <c r="Q141">
        <v>1.000292</v>
      </c>
      <c r="R141">
        <v>1.000292</v>
      </c>
      <c r="S141">
        <v>43341611560</v>
      </c>
      <c r="T141">
        <v>1.000084</v>
      </c>
      <c r="U141">
        <v>1.0005029999999999</v>
      </c>
      <c r="V141">
        <v>0.99914400000000003</v>
      </c>
      <c r="W141">
        <v>0.99962600000000001</v>
      </c>
      <c r="X141">
        <v>0.99962600000000001</v>
      </c>
      <c r="Y141">
        <v>2315716300</v>
      </c>
      <c r="Z141">
        <v>1.0450120000000001</v>
      </c>
      <c r="AA141">
        <v>1.06803</v>
      </c>
      <c r="AB141">
        <v>1.0287569999999999</v>
      </c>
      <c r="AC141">
        <v>1.0308850000000001</v>
      </c>
      <c r="AD141">
        <v>1.0308850000000001</v>
      </c>
      <c r="AE141">
        <v>626332866</v>
      </c>
    </row>
    <row r="142" spans="1:31" x14ac:dyDescent="0.25">
      <c r="A142" s="1">
        <v>44662</v>
      </c>
      <c r="B142">
        <v>3209.576904</v>
      </c>
      <c r="C142">
        <v>3214.461914</v>
      </c>
      <c r="D142">
        <v>2962.7565920000002</v>
      </c>
      <c r="E142">
        <v>2981.0522460000002</v>
      </c>
      <c r="F142">
        <v>2981.0522460000002</v>
      </c>
      <c r="G142">
        <v>21891804831</v>
      </c>
      <c r="H142">
        <v>42201.039062999997</v>
      </c>
      <c r="I142">
        <v>42424.589844000002</v>
      </c>
      <c r="J142">
        <v>39373.058594000002</v>
      </c>
      <c r="K142">
        <v>39521.902344000002</v>
      </c>
      <c r="L142">
        <v>39521.902344000002</v>
      </c>
      <c r="M142">
        <v>33949912166</v>
      </c>
      <c r="N142">
        <v>1.000299</v>
      </c>
      <c r="O142">
        <v>1.000607</v>
      </c>
      <c r="P142">
        <v>1.000194</v>
      </c>
      <c r="Q142">
        <v>1.000348</v>
      </c>
      <c r="R142">
        <v>1.000348</v>
      </c>
      <c r="S142">
        <v>73914574528</v>
      </c>
      <c r="T142">
        <v>0.99969600000000003</v>
      </c>
      <c r="U142">
        <v>1.0003040000000001</v>
      </c>
      <c r="V142">
        <v>0.99900900000000004</v>
      </c>
      <c r="W142">
        <v>0.99973199999999995</v>
      </c>
      <c r="X142">
        <v>0.99973199999999995</v>
      </c>
      <c r="Y142">
        <v>5102389285</v>
      </c>
      <c r="Z142">
        <v>1.0306709999999999</v>
      </c>
      <c r="AA142">
        <v>1.0306709999999999</v>
      </c>
      <c r="AB142">
        <v>0.92011600000000004</v>
      </c>
      <c r="AC142">
        <v>0.92044999999999999</v>
      </c>
      <c r="AD142">
        <v>0.92044999999999999</v>
      </c>
      <c r="AE142">
        <v>1398303911</v>
      </c>
    </row>
    <row r="143" spans="1:31" x14ac:dyDescent="0.25">
      <c r="A143" s="1">
        <v>44663</v>
      </c>
      <c r="B143">
        <v>2981.420654</v>
      </c>
      <c r="C143">
        <v>3077.4526369999999</v>
      </c>
      <c r="D143">
        <v>2957.8723140000002</v>
      </c>
      <c r="E143">
        <v>3030.3764649999998</v>
      </c>
      <c r="F143">
        <v>3030.3764649999998</v>
      </c>
      <c r="G143">
        <v>20235707410</v>
      </c>
      <c r="H143">
        <v>39533.714844000002</v>
      </c>
      <c r="I143">
        <v>40617.585937999997</v>
      </c>
      <c r="J143">
        <v>39388.328125</v>
      </c>
      <c r="K143">
        <v>40127.183594000002</v>
      </c>
      <c r="L143">
        <v>40127.183594000002</v>
      </c>
      <c r="M143">
        <v>30991500854</v>
      </c>
      <c r="N143">
        <v>1.000351</v>
      </c>
      <c r="O143">
        <v>1.0005520000000001</v>
      </c>
      <c r="P143">
        <v>1.000178</v>
      </c>
      <c r="Q143">
        <v>1.000435</v>
      </c>
      <c r="R143">
        <v>1.000435</v>
      </c>
      <c r="S143">
        <v>68489224153</v>
      </c>
      <c r="T143">
        <v>0.99981399999999998</v>
      </c>
      <c r="U143">
        <v>1.000624</v>
      </c>
      <c r="V143">
        <v>0.99923200000000001</v>
      </c>
      <c r="W143">
        <v>0.999865</v>
      </c>
      <c r="X143">
        <v>0.999865</v>
      </c>
      <c r="Y143">
        <v>4605505010</v>
      </c>
      <c r="Z143">
        <v>0.92059899999999995</v>
      </c>
      <c r="AA143">
        <v>0.98085500000000003</v>
      </c>
      <c r="AB143">
        <v>0.92059899999999995</v>
      </c>
      <c r="AC143">
        <v>0.95514500000000002</v>
      </c>
      <c r="AD143">
        <v>0.95514500000000002</v>
      </c>
      <c r="AE143">
        <v>1076130201</v>
      </c>
    </row>
    <row r="144" spans="1:31" x14ac:dyDescent="0.25">
      <c r="A144" s="1">
        <v>44664</v>
      </c>
      <c r="B144">
        <v>3029.8779300000001</v>
      </c>
      <c r="C144">
        <v>3123.5754390000002</v>
      </c>
      <c r="D144">
        <v>3006.4816890000002</v>
      </c>
      <c r="E144">
        <v>3118.3442380000001</v>
      </c>
      <c r="F144">
        <v>3118.3442380000001</v>
      </c>
      <c r="G144">
        <v>16088473629</v>
      </c>
      <c r="H144">
        <v>40123.570312999997</v>
      </c>
      <c r="I144">
        <v>41430.054687999997</v>
      </c>
      <c r="J144">
        <v>39712.746094000002</v>
      </c>
      <c r="K144">
        <v>41166.730469000002</v>
      </c>
      <c r="L144">
        <v>41166.730469000002</v>
      </c>
      <c r="M144">
        <v>27691105228</v>
      </c>
      <c r="N144">
        <v>1.0004420000000001</v>
      </c>
      <c r="O144">
        <v>1.0004420000000001</v>
      </c>
      <c r="P144">
        <v>1.0001279999999999</v>
      </c>
      <c r="Q144">
        <v>1.000275</v>
      </c>
      <c r="R144">
        <v>1.000275</v>
      </c>
      <c r="S144">
        <v>57894656914</v>
      </c>
      <c r="T144">
        <v>0.99982899999999997</v>
      </c>
      <c r="U144">
        <v>1.0003899999999999</v>
      </c>
      <c r="V144">
        <v>0.99915299999999996</v>
      </c>
      <c r="W144">
        <v>0.99974499999999999</v>
      </c>
      <c r="X144">
        <v>0.99974499999999999</v>
      </c>
      <c r="Y144">
        <v>3725782044</v>
      </c>
      <c r="Z144">
        <v>0.95512200000000003</v>
      </c>
      <c r="AA144">
        <v>0.97815300000000005</v>
      </c>
      <c r="AB144">
        <v>0.93740000000000001</v>
      </c>
      <c r="AC144">
        <v>0.97469600000000001</v>
      </c>
      <c r="AD144">
        <v>0.97469600000000001</v>
      </c>
      <c r="AE144">
        <v>791702878</v>
      </c>
    </row>
    <row r="145" spans="1:31" x14ac:dyDescent="0.25">
      <c r="A145" s="1">
        <v>44665</v>
      </c>
      <c r="B145">
        <v>3117.8217770000001</v>
      </c>
      <c r="C145">
        <v>3139.928711</v>
      </c>
      <c r="D145">
        <v>2988.4353030000002</v>
      </c>
      <c r="E145">
        <v>3019.9094239999999</v>
      </c>
      <c r="F145">
        <v>3019.9094239999999</v>
      </c>
      <c r="G145">
        <v>15821419931</v>
      </c>
      <c r="H145">
        <v>41160.21875</v>
      </c>
      <c r="I145">
        <v>41451.480469000002</v>
      </c>
      <c r="J145">
        <v>39695.746094000002</v>
      </c>
      <c r="K145">
        <v>39935.515625</v>
      </c>
      <c r="L145">
        <v>39935.515625</v>
      </c>
      <c r="M145">
        <v>24342001973</v>
      </c>
      <c r="N145">
        <v>1.0002759999999999</v>
      </c>
      <c r="O145">
        <v>1.000416</v>
      </c>
      <c r="P145">
        <v>1.000054</v>
      </c>
      <c r="Q145">
        <v>1.000127</v>
      </c>
      <c r="R145">
        <v>1.000127</v>
      </c>
      <c r="S145">
        <v>52908937427</v>
      </c>
      <c r="T145">
        <v>0.99972499999999997</v>
      </c>
      <c r="U145">
        <v>1.0003329999999999</v>
      </c>
      <c r="V145">
        <v>0.999081</v>
      </c>
      <c r="W145">
        <v>0.99983900000000003</v>
      </c>
      <c r="X145">
        <v>0.99983900000000003</v>
      </c>
      <c r="Y145">
        <v>3957318706</v>
      </c>
      <c r="Z145">
        <v>0.97456900000000002</v>
      </c>
      <c r="AA145">
        <v>0.98362400000000005</v>
      </c>
      <c r="AB145">
        <v>0.92547100000000004</v>
      </c>
      <c r="AC145">
        <v>0.93241200000000002</v>
      </c>
      <c r="AD145">
        <v>0.93241200000000002</v>
      </c>
      <c r="AE145">
        <v>812010499</v>
      </c>
    </row>
    <row r="146" spans="1:31" x14ac:dyDescent="0.25">
      <c r="A146" s="1">
        <v>44666</v>
      </c>
      <c r="B146">
        <v>3020.1345209999999</v>
      </c>
      <c r="C146">
        <v>3044.2873540000001</v>
      </c>
      <c r="D146">
        <v>3001.1232909999999</v>
      </c>
      <c r="E146">
        <v>3040.9165039999998</v>
      </c>
      <c r="F146">
        <v>3040.9165039999998</v>
      </c>
      <c r="G146">
        <v>11256651536</v>
      </c>
      <c r="H146">
        <v>39939.402344000002</v>
      </c>
      <c r="I146">
        <v>40617.722655999998</v>
      </c>
      <c r="J146">
        <v>39866.832030999998</v>
      </c>
      <c r="K146">
        <v>40553.464844000002</v>
      </c>
      <c r="L146">
        <v>40553.464844000002</v>
      </c>
      <c r="M146">
        <v>21756855753</v>
      </c>
      <c r="N146">
        <v>1.0001199999999999</v>
      </c>
      <c r="O146">
        <v>1.00044</v>
      </c>
      <c r="P146">
        <v>1.00007</v>
      </c>
      <c r="Q146">
        <v>1.0002390000000001</v>
      </c>
      <c r="R146">
        <v>1.0002390000000001</v>
      </c>
      <c r="S146">
        <v>42988969647</v>
      </c>
      <c r="T146">
        <v>0.99983100000000003</v>
      </c>
      <c r="U146">
        <v>1.000562</v>
      </c>
      <c r="V146">
        <v>0.999386</v>
      </c>
      <c r="W146">
        <v>0.999753</v>
      </c>
      <c r="X146">
        <v>0.999753</v>
      </c>
      <c r="Y146">
        <v>3220618832</v>
      </c>
      <c r="Z146">
        <v>0.93252900000000005</v>
      </c>
      <c r="AA146">
        <v>0.95798799999999995</v>
      </c>
      <c r="AB146">
        <v>0.93247400000000003</v>
      </c>
      <c r="AC146">
        <v>0.95471700000000004</v>
      </c>
      <c r="AD146">
        <v>0.95471700000000004</v>
      </c>
      <c r="AE146">
        <v>574655010</v>
      </c>
    </row>
    <row r="147" spans="1:31" x14ac:dyDescent="0.25">
      <c r="A147" s="1">
        <v>44667</v>
      </c>
      <c r="B147">
        <v>3041.1232909999999</v>
      </c>
      <c r="C147">
        <v>3074.8869629999999</v>
      </c>
      <c r="D147">
        <v>3016.421143</v>
      </c>
      <c r="E147">
        <v>3062.3103030000002</v>
      </c>
      <c r="F147">
        <v>3062.3103030000002</v>
      </c>
      <c r="G147">
        <v>8766710365</v>
      </c>
      <c r="H147">
        <v>40552.316405999998</v>
      </c>
      <c r="I147">
        <v>40633.679687999997</v>
      </c>
      <c r="J147">
        <v>40078.425780999998</v>
      </c>
      <c r="K147">
        <v>40424.484375</v>
      </c>
      <c r="L147">
        <v>40424.484375</v>
      </c>
      <c r="M147">
        <v>16833150693</v>
      </c>
      <c r="N147">
        <v>1.000237</v>
      </c>
      <c r="O147">
        <v>1.0003919999999999</v>
      </c>
      <c r="P147">
        <v>1.00013</v>
      </c>
      <c r="Q147">
        <v>1.0002960000000001</v>
      </c>
      <c r="R147">
        <v>1.0002960000000001</v>
      </c>
      <c r="S147">
        <v>35315439111</v>
      </c>
      <c r="T147">
        <v>0.99973400000000001</v>
      </c>
      <c r="U147">
        <v>1.000432</v>
      </c>
      <c r="V147">
        <v>0.99926999999999999</v>
      </c>
      <c r="W147">
        <v>1.0002260000000001</v>
      </c>
      <c r="X147">
        <v>1.0002260000000001</v>
      </c>
      <c r="Y147">
        <v>2152278186</v>
      </c>
      <c r="Z147">
        <v>0.954704</v>
      </c>
      <c r="AA147">
        <v>0.96108099999999996</v>
      </c>
      <c r="AB147">
        <v>0.93985200000000002</v>
      </c>
      <c r="AC147">
        <v>0.95264000000000004</v>
      </c>
      <c r="AD147">
        <v>0.95264000000000004</v>
      </c>
      <c r="AE147">
        <v>468473785</v>
      </c>
    </row>
    <row r="148" spans="1:31" x14ac:dyDescent="0.25">
      <c r="A148" s="1">
        <v>44668</v>
      </c>
      <c r="B148">
        <v>3061.881836</v>
      </c>
      <c r="C148">
        <v>3075.7758789999998</v>
      </c>
      <c r="D148">
        <v>2989.0439449999999</v>
      </c>
      <c r="E148">
        <v>2993.4033199999999</v>
      </c>
      <c r="F148">
        <v>2993.4033199999999</v>
      </c>
      <c r="G148">
        <v>10463091281</v>
      </c>
      <c r="H148">
        <v>40417.777344000002</v>
      </c>
      <c r="I148">
        <v>40570.726562999997</v>
      </c>
      <c r="J148">
        <v>39620.894530999998</v>
      </c>
      <c r="K148">
        <v>39716.953125</v>
      </c>
      <c r="L148">
        <v>39716.953125</v>
      </c>
      <c r="M148">
        <v>19087633042</v>
      </c>
      <c r="N148">
        <v>1.000291</v>
      </c>
      <c r="O148">
        <v>1.0004360000000001</v>
      </c>
      <c r="P148">
        <v>1.0001439999999999</v>
      </c>
      <c r="Q148">
        <v>1.0003139999999999</v>
      </c>
      <c r="R148">
        <v>1.0003139999999999</v>
      </c>
      <c r="S148">
        <v>40964576376</v>
      </c>
      <c r="T148">
        <v>1.000202</v>
      </c>
      <c r="U148">
        <v>1.000321</v>
      </c>
      <c r="V148">
        <v>0.99890500000000004</v>
      </c>
      <c r="W148">
        <v>0.99925900000000001</v>
      </c>
      <c r="X148">
        <v>0.99925900000000001</v>
      </c>
      <c r="Y148">
        <v>2678573075</v>
      </c>
      <c r="Z148">
        <v>0.95253100000000002</v>
      </c>
      <c r="AA148">
        <v>0.96151200000000003</v>
      </c>
      <c r="AB148">
        <v>0.91534599999999999</v>
      </c>
      <c r="AC148">
        <v>0.917466</v>
      </c>
      <c r="AD148">
        <v>0.917466</v>
      </c>
      <c r="AE148">
        <v>528371933</v>
      </c>
    </row>
    <row r="149" spans="1:31" x14ac:dyDescent="0.25">
      <c r="A149" s="1">
        <v>44669</v>
      </c>
      <c r="B149">
        <v>2993.4838869999999</v>
      </c>
      <c r="C149">
        <v>3062.5209960000002</v>
      </c>
      <c r="D149">
        <v>2893.9128420000002</v>
      </c>
      <c r="E149">
        <v>3057.6066890000002</v>
      </c>
      <c r="F149">
        <v>3057.6066890000002</v>
      </c>
      <c r="G149">
        <v>18629381299</v>
      </c>
      <c r="H149">
        <v>39721.203125</v>
      </c>
      <c r="I149">
        <v>40986.320312999997</v>
      </c>
      <c r="J149">
        <v>38696.191405999998</v>
      </c>
      <c r="K149">
        <v>40826.214844000002</v>
      </c>
      <c r="L149">
        <v>40826.214844000002</v>
      </c>
      <c r="M149">
        <v>33705182072</v>
      </c>
      <c r="N149">
        <v>1.000321</v>
      </c>
      <c r="O149">
        <v>1.0005040000000001</v>
      </c>
      <c r="P149">
        <v>1.0001530000000001</v>
      </c>
      <c r="Q149">
        <v>1.0002180000000001</v>
      </c>
      <c r="R149">
        <v>1.0002180000000001</v>
      </c>
      <c r="S149">
        <v>68691204704</v>
      </c>
      <c r="T149">
        <v>0.99927299999999997</v>
      </c>
      <c r="U149">
        <v>1.0005500000000001</v>
      </c>
      <c r="V149">
        <v>0.99882899999999997</v>
      </c>
      <c r="W149">
        <v>0.99987300000000001</v>
      </c>
      <c r="X149">
        <v>0.99987300000000001</v>
      </c>
      <c r="Y149">
        <v>4013104508</v>
      </c>
      <c r="Z149">
        <v>0.91750900000000002</v>
      </c>
      <c r="AA149">
        <v>0.93736799999999998</v>
      </c>
      <c r="AB149">
        <v>0.87773599999999996</v>
      </c>
      <c r="AC149">
        <v>0.93672999999999995</v>
      </c>
      <c r="AD149">
        <v>0.93672999999999995</v>
      </c>
      <c r="AE149">
        <v>1105222191</v>
      </c>
    </row>
    <row r="150" spans="1:31" x14ac:dyDescent="0.25">
      <c r="A150" s="1">
        <v>44670</v>
      </c>
      <c r="B150">
        <v>3057.5703130000002</v>
      </c>
      <c r="C150">
        <v>3125.0842290000001</v>
      </c>
      <c r="D150">
        <v>3035.5351559999999</v>
      </c>
      <c r="E150">
        <v>3104.1064449999999</v>
      </c>
      <c r="F150">
        <v>3104.1064449999999</v>
      </c>
      <c r="G150">
        <v>14156035096</v>
      </c>
      <c r="H150">
        <v>40828.175780999998</v>
      </c>
      <c r="I150">
        <v>41672.960937999997</v>
      </c>
      <c r="J150">
        <v>40618.632812999997</v>
      </c>
      <c r="K150">
        <v>41502.75</v>
      </c>
      <c r="L150">
        <v>41502.75</v>
      </c>
      <c r="M150">
        <v>25303206547</v>
      </c>
      <c r="N150">
        <v>1.0002139999999999</v>
      </c>
      <c r="O150">
        <v>1.0004189999999999</v>
      </c>
      <c r="P150">
        <v>1.0001549999999999</v>
      </c>
      <c r="Q150">
        <v>1.000343</v>
      </c>
      <c r="R150">
        <v>1.000343</v>
      </c>
      <c r="S150">
        <v>57975539645</v>
      </c>
      <c r="T150">
        <v>0.99988299999999997</v>
      </c>
      <c r="U150">
        <v>1.000605</v>
      </c>
      <c r="V150">
        <v>0.99931999999999999</v>
      </c>
      <c r="W150">
        <v>0.99989700000000004</v>
      </c>
      <c r="X150">
        <v>0.99989700000000004</v>
      </c>
      <c r="Y150">
        <v>3629844066</v>
      </c>
      <c r="Z150">
        <v>0.93676199999999998</v>
      </c>
      <c r="AA150">
        <v>0.95466200000000001</v>
      </c>
      <c r="AB150">
        <v>0.92820100000000005</v>
      </c>
      <c r="AC150">
        <v>0.95333299999999999</v>
      </c>
      <c r="AD150">
        <v>0.95333299999999999</v>
      </c>
      <c r="AE150">
        <v>777142382</v>
      </c>
    </row>
    <row r="151" spans="1:31" x14ac:dyDescent="0.25">
      <c r="A151" s="1">
        <v>44671</v>
      </c>
      <c r="B151">
        <v>3103.9350589999999</v>
      </c>
      <c r="C151">
        <v>3157.8857419999999</v>
      </c>
      <c r="D151">
        <v>3045.2883299999999</v>
      </c>
      <c r="E151">
        <v>3077.7458499999998</v>
      </c>
      <c r="F151">
        <v>3077.7458499999998</v>
      </c>
      <c r="G151">
        <v>15547362265</v>
      </c>
      <c r="H151">
        <v>41501.746094000002</v>
      </c>
      <c r="I151">
        <v>42126.300780999998</v>
      </c>
      <c r="J151">
        <v>40961.097655999998</v>
      </c>
      <c r="K151">
        <v>41374.378905999998</v>
      </c>
      <c r="L151">
        <v>41374.378905999998</v>
      </c>
      <c r="M151">
        <v>27819532341</v>
      </c>
      <c r="N151">
        <v>1.000351</v>
      </c>
      <c r="O151">
        <v>1.000596</v>
      </c>
      <c r="P151">
        <v>1.0001530000000001</v>
      </c>
      <c r="Q151">
        <v>1.000202</v>
      </c>
      <c r="R151">
        <v>1.000202</v>
      </c>
      <c r="S151">
        <v>66021482830</v>
      </c>
      <c r="T151">
        <v>0.99990800000000002</v>
      </c>
      <c r="U151">
        <v>1.0006330000000001</v>
      </c>
      <c r="V151">
        <v>0.99931300000000001</v>
      </c>
      <c r="W151">
        <v>0.99984700000000004</v>
      </c>
      <c r="X151">
        <v>0.99984700000000004</v>
      </c>
      <c r="Y151">
        <v>4170091755</v>
      </c>
      <c r="Z151">
        <v>0.95332499999999998</v>
      </c>
      <c r="AA151">
        <v>0.97473500000000002</v>
      </c>
      <c r="AB151">
        <v>0.93250999999999995</v>
      </c>
      <c r="AC151">
        <v>0.93734099999999998</v>
      </c>
      <c r="AD151">
        <v>0.93734099999999998</v>
      </c>
      <c r="AE151">
        <v>828312845</v>
      </c>
    </row>
    <row r="152" spans="1:31" x14ac:dyDescent="0.25">
      <c r="A152" s="1">
        <v>44672</v>
      </c>
      <c r="B152">
        <v>3077.829346</v>
      </c>
      <c r="C152">
        <v>3173.4514159999999</v>
      </c>
      <c r="D152">
        <v>2962.4104000000002</v>
      </c>
      <c r="E152">
        <v>2987.4807129999999</v>
      </c>
      <c r="F152">
        <v>2987.4807129999999</v>
      </c>
      <c r="G152">
        <v>20783591093</v>
      </c>
      <c r="H152">
        <v>41371.515625</v>
      </c>
      <c r="I152">
        <v>42893.582030999998</v>
      </c>
      <c r="J152">
        <v>40063.828125</v>
      </c>
      <c r="K152">
        <v>40527.363280999998</v>
      </c>
      <c r="L152">
        <v>40527.363280999998</v>
      </c>
      <c r="M152">
        <v>35372786395</v>
      </c>
      <c r="N152">
        <v>1.000203</v>
      </c>
      <c r="O152">
        <v>1.0004900000000001</v>
      </c>
      <c r="P152">
        <v>1.000119</v>
      </c>
      <c r="Q152">
        <v>1.000157</v>
      </c>
      <c r="R152">
        <v>1.000157</v>
      </c>
      <c r="S152">
        <v>77014328066</v>
      </c>
      <c r="T152">
        <v>0.99983900000000003</v>
      </c>
      <c r="U152">
        <v>1.0017590000000001</v>
      </c>
      <c r="V152">
        <v>0.99943899999999997</v>
      </c>
      <c r="W152">
        <v>1.0002819999999999</v>
      </c>
      <c r="X152">
        <v>1.0002819999999999</v>
      </c>
      <c r="Y152">
        <v>4474827385</v>
      </c>
      <c r="Z152">
        <v>0.93727199999999999</v>
      </c>
      <c r="AA152">
        <v>0.96945300000000001</v>
      </c>
      <c r="AB152">
        <v>0.89691200000000004</v>
      </c>
      <c r="AC152">
        <v>0.91047400000000001</v>
      </c>
      <c r="AD152">
        <v>0.91047400000000001</v>
      </c>
      <c r="AE152">
        <v>871111347</v>
      </c>
    </row>
    <row r="153" spans="1:31" x14ac:dyDescent="0.25">
      <c r="A153" s="1">
        <v>44673</v>
      </c>
      <c r="B153">
        <v>2986.938721</v>
      </c>
      <c r="C153">
        <v>3024.8544919999999</v>
      </c>
      <c r="D153">
        <v>2942.358643</v>
      </c>
      <c r="E153">
        <v>2964.835693</v>
      </c>
      <c r="F153">
        <v>2964.835693</v>
      </c>
      <c r="G153">
        <v>16782795477</v>
      </c>
      <c r="H153">
        <v>40525.863280999998</v>
      </c>
      <c r="I153">
        <v>40777.757812999997</v>
      </c>
      <c r="J153">
        <v>39315.417969000002</v>
      </c>
      <c r="K153">
        <v>39740.320312999997</v>
      </c>
      <c r="L153">
        <v>39740.320312999997</v>
      </c>
      <c r="M153">
        <v>28011716745</v>
      </c>
      <c r="N153">
        <v>1.0001420000000001</v>
      </c>
      <c r="O153">
        <v>1.0003660000000001</v>
      </c>
      <c r="P153">
        <v>1.000078</v>
      </c>
      <c r="Q153">
        <v>1.0002340000000001</v>
      </c>
      <c r="R153">
        <v>1.0002340000000001</v>
      </c>
      <c r="S153">
        <v>60728483573</v>
      </c>
      <c r="T153">
        <v>1.0002470000000001</v>
      </c>
      <c r="U153">
        <v>1.000677</v>
      </c>
      <c r="V153">
        <v>0.99946299999999999</v>
      </c>
      <c r="W153">
        <v>1.0001990000000001</v>
      </c>
      <c r="X153">
        <v>1.0001990000000001</v>
      </c>
      <c r="Y153">
        <v>3882678798</v>
      </c>
      <c r="Z153">
        <v>0.91033500000000001</v>
      </c>
      <c r="AA153">
        <v>0.92374100000000003</v>
      </c>
      <c r="AB153">
        <v>0.89397300000000002</v>
      </c>
      <c r="AC153">
        <v>0.90715400000000002</v>
      </c>
      <c r="AD153">
        <v>0.90715400000000002</v>
      </c>
      <c r="AE153">
        <v>725788912</v>
      </c>
    </row>
    <row r="154" spans="1:31" x14ac:dyDescent="0.25">
      <c r="A154" s="1">
        <v>44674</v>
      </c>
      <c r="B154">
        <v>2964.8022460000002</v>
      </c>
      <c r="C154">
        <v>2975.3227539999998</v>
      </c>
      <c r="D154">
        <v>2926.7402339999999</v>
      </c>
      <c r="E154">
        <v>2938.1140140000002</v>
      </c>
      <c r="F154">
        <v>2938.1140140000002</v>
      </c>
      <c r="G154">
        <v>9116955609</v>
      </c>
      <c r="H154">
        <v>39738.722655999998</v>
      </c>
      <c r="I154">
        <v>39935.859375</v>
      </c>
      <c r="J154">
        <v>39352.203125</v>
      </c>
      <c r="K154">
        <v>39486.730469000002</v>
      </c>
      <c r="L154">
        <v>39486.730469000002</v>
      </c>
      <c r="M154">
        <v>16138021249</v>
      </c>
      <c r="N154">
        <v>1.000221</v>
      </c>
      <c r="O154">
        <v>1.0003820000000001</v>
      </c>
      <c r="P154">
        <v>1.0001040000000001</v>
      </c>
      <c r="Q154">
        <v>1.0002279999999999</v>
      </c>
      <c r="R154">
        <v>1.0002279999999999</v>
      </c>
      <c r="S154">
        <v>38357597167</v>
      </c>
      <c r="T154">
        <v>1.000237</v>
      </c>
      <c r="U154">
        <v>1.0006280000000001</v>
      </c>
      <c r="V154">
        <v>0.99949500000000002</v>
      </c>
      <c r="W154">
        <v>1.0000039999999999</v>
      </c>
      <c r="X154">
        <v>1.0000039999999999</v>
      </c>
      <c r="Y154">
        <v>2324060694</v>
      </c>
      <c r="Z154">
        <v>0.90718500000000002</v>
      </c>
      <c r="AA154">
        <v>0.91061400000000003</v>
      </c>
      <c r="AB154">
        <v>0.88466</v>
      </c>
      <c r="AC154">
        <v>0.88850300000000004</v>
      </c>
      <c r="AD154">
        <v>0.88850300000000004</v>
      </c>
      <c r="AE154">
        <v>447997661</v>
      </c>
    </row>
    <row r="155" spans="1:31" x14ac:dyDescent="0.25">
      <c r="A155" s="1">
        <v>44675</v>
      </c>
      <c r="B155">
        <v>2937.3471679999998</v>
      </c>
      <c r="C155">
        <v>2961.8820799999999</v>
      </c>
      <c r="D155">
        <v>2922.1286620000001</v>
      </c>
      <c r="E155">
        <v>2922.7326659999999</v>
      </c>
      <c r="F155">
        <v>2922.7326659999999</v>
      </c>
      <c r="G155">
        <v>9696829579</v>
      </c>
      <c r="H155">
        <v>39478.375</v>
      </c>
      <c r="I155">
        <v>39845.925780999998</v>
      </c>
      <c r="J155">
        <v>39233.539062999997</v>
      </c>
      <c r="K155">
        <v>39469.292969000002</v>
      </c>
      <c r="L155">
        <v>39469.292969000002</v>
      </c>
      <c r="M155">
        <v>17964398167</v>
      </c>
      <c r="N155">
        <v>1.0002180000000001</v>
      </c>
      <c r="O155">
        <v>1.0004459999999999</v>
      </c>
      <c r="P155">
        <v>1.000165</v>
      </c>
      <c r="Q155">
        <v>1.0003439999999999</v>
      </c>
      <c r="R155">
        <v>1.0003439999999999</v>
      </c>
      <c r="S155">
        <v>39519383045</v>
      </c>
      <c r="T155">
        <v>0.99979099999999999</v>
      </c>
      <c r="U155">
        <v>1.001844</v>
      </c>
      <c r="V155">
        <v>0.99947799999999998</v>
      </c>
      <c r="W155">
        <v>0.99996300000000005</v>
      </c>
      <c r="X155">
        <v>0.99996300000000005</v>
      </c>
      <c r="Y155">
        <v>2649077080</v>
      </c>
      <c r="Z155">
        <v>0.88827900000000004</v>
      </c>
      <c r="AA155">
        <v>0.89785499999999996</v>
      </c>
      <c r="AB155">
        <v>0.881857</v>
      </c>
      <c r="AC155">
        <v>0.88634999999999997</v>
      </c>
      <c r="AD155">
        <v>0.88634999999999997</v>
      </c>
      <c r="AE155">
        <v>487629549</v>
      </c>
    </row>
    <row r="156" spans="1:31" x14ac:dyDescent="0.25">
      <c r="A156" s="1">
        <v>44676</v>
      </c>
      <c r="B156">
        <v>2922.9902339999999</v>
      </c>
      <c r="C156">
        <v>3018.4155270000001</v>
      </c>
      <c r="D156">
        <v>2804.5070799999999</v>
      </c>
      <c r="E156">
        <v>3009.3935550000001</v>
      </c>
      <c r="F156">
        <v>3009.3935550000001</v>
      </c>
      <c r="G156">
        <v>22332690614</v>
      </c>
      <c r="H156">
        <v>39472.605469000002</v>
      </c>
      <c r="I156">
        <v>40491.753905999998</v>
      </c>
      <c r="J156">
        <v>38338.378905999998</v>
      </c>
      <c r="K156">
        <v>40458.308594000002</v>
      </c>
      <c r="L156">
        <v>40458.308594000002</v>
      </c>
      <c r="M156">
        <v>35445730570</v>
      </c>
      <c r="N156">
        <v>1.000346</v>
      </c>
      <c r="O156">
        <v>1.0003930000000001</v>
      </c>
      <c r="P156">
        <v>1.000103</v>
      </c>
      <c r="Q156">
        <v>1.0001450000000001</v>
      </c>
      <c r="R156">
        <v>1.0001450000000001</v>
      </c>
      <c r="S156">
        <v>73256647805</v>
      </c>
      <c r="T156">
        <v>0.99995999999999996</v>
      </c>
      <c r="U156">
        <v>1.0020279999999999</v>
      </c>
      <c r="V156">
        <v>0.99939999999999996</v>
      </c>
      <c r="W156">
        <v>1.0002180000000001</v>
      </c>
      <c r="X156">
        <v>1.0002180000000001</v>
      </c>
      <c r="Y156">
        <v>4720363070</v>
      </c>
      <c r="Z156">
        <v>0.886378</v>
      </c>
      <c r="AA156">
        <v>0.90170700000000004</v>
      </c>
      <c r="AB156">
        <v>0.83023199999999997</v>
      </c>
      <c r="AC156">
        <v>0.89869500000000002</v>
      </c>
      <c r="AD156">
        <v>0.89869500000000002</v>
      </c>
      <c r="AE156">
        <v>1139869029</v>
      </c>
    </row>
    <row r="157" spans="1:31" x14ac:dyDescent="0.25">
      <c r="A157" s="1">
        <v>44677</v>
      </c>
      <c r="B157">
        <v>3008.946289</v>
      </c>
      <c r="C157">
        <v>3026.415039</v>
      </c>
      <c r="D157">
        <v>2786.2531739999999</v>
      </c>
      <c r="E157">
        <v>2808.2983399999998</v>
      </c>
      <c r="F157">
        <v>2808.2983399999998</v>
      </c>
      <c r="G157">
        <v>19052045399</v>
      </c>
      <c r="H157">
        <v>40448.421875</v>
      </c>
      <c r="I157">
        <v>40713.890625</v>
      </c>
      <c r="J157">
        <v>37884.984375</v>
      </c>
      <c r="K157">
        <v>38117.460937999997</v>
      </c>
      <c r="L157">
        <v>38117.460937999997</v>
      </c>
      <c r="M157">
        <v>34569088416</v>
      </c>
      <c r="N157">
        <v>1.0001310000000001</v>
      </c>
      <c r="O157">
        <v>1.000265</v>
      </c>
      <c r="P157">
        <v>1.00004</v>
      </c>
      <c r="Q157">
        <v>1.000073</v>
      </c>
      <c r="R157">
        <v>1.000073</v>
      </c>
      <c r="S157">
        <v>69068297656</v>
      </c>
      <c r="T157">
        <v>1.000192</v>
      </c>
      <c r="U157">
        <v>1.0018260000000001</v>
      </c>
      <c r="V157">
        <v>0.999363</v>
      </c>
      <c r="W157">
        <v>1.000127</v>
      </c>
      <c r="X157">
        <v>1.000127</v>
      </c>
      <c r="Y157">
        <v>4221564998</v>
      </c>
      <c r="Z157">
        <v>0.89857699999999996</v>
      </c>
      <c r="AA157">
        <v>0.90113699999999997</v>
      </c>
      <c r="AB157">
        <v>0.82101100000000005</v>
      </c>
      <c r="AC157">
        <v>0.82764499999999996</v>
      </c>
      <c r="AD157">
        <v>0.82764499999999996</v>
      </c>
      <c r="AE157">
        <v>1020049782</v>
      </c>
    </row>
    <row r="158" spans="1:31" x14ac:dyDescent="0.25">
      <c r="A158" s="1">
        <v>44678</v>
      </c>
      <c r="B158">
        <v>2808.6459960000002</v>
      </c>
      <c r="C158">
        <v>2911.8774410000001</v>
      </c>
      <c r="D158">
        <v>2802.2734380000002</v>
      </c>
      <c r="E158">
        <v>2888.9296880000002</v>
      </c>
      <c r="F158">
        <v>2888.9296880000002</v>
      </c>
      <c r="G158">
        <v>17419284041</v>
      </c>
      <c r="H158">
        <v>38120.300780999998</v>
      </c>
      <c r="I158">
        <v>39397.917969000002</v>
      </c>
      <c r="J158">
        <v>37997.3125</v>
      </c>
      <c r="K158">
        <v>39241.121094000002</v>
      </c>
      <c r="L158">
        <v>39241.121094000002</v>
      </c>
      <c r="M158">
        <v>30981015184</v>
      </c>
      <c r="N158">
        <v>1.000059</v>
      </c>
      <c r="O158">
        <v>1.000284</v>
      </c>
      <c r="P158">
        <v>1.000013</v>
      </c>
      <c r="Q158">
        <v>1.0001530000000001</v>
      </c>
      <c r="R158">
        <v>1.0001530000000001</v>
      </c>
      <c r="S158">
        <v>61043327313</v>
      </c>
      <c r="T158">
        <v>1.000129</v>
      </c>
      <c r="U158">
        <v>1.000839</v>
      </c>
      <c r="V158">
        <v>0.99953499999999995</v>
      </c>
      <c r="W158">
        <v>1.000321</v>
      </c>
      <c r="X158">
        <v>1.000321</v>
      </c>
      <c r="Y158">
        <v>3849488651</v>
      </c>
      <c r="Z158">
        <v>0.82754099999999997</v>
      </c>
      <c r="AA158">
        <v>0.85394199999999998</v>
      </c>
      <c r="AB158">
        <v>0.82259000000000004</v>
      </c>
      <c r="AC158">
        <v>0.84059499999999998</v>
      </c>
      <c r="AD158">
        <v>0.84059499999999998</v>
      </c>
      <c r="AE158">
        <v>927312593</v>
      </c>
    </row>
    <row r="159" spans="1:31" x14ac:dyDescent="0.25">
      <c r="A159" s="1">
        <v>44679</v>
      </c>
      <c r="B159">
        <v>2888.8498540000001</v>
      </c>
      <c r="C159">
        <v>2973.13501</v>
      </c>
      <c r="D159">
        <v>2861.8215329999998</v>
      </c>
      <c r="E159">
        <v>2936.9409179999998</v>
      </c>
      <c r="F159">
        <v>2936.9409179999998</v>
      </c>
      <c r="G159">
        <v>18443524633</v>
      </c>
      <c r="H159">
        <v>39241.429687999997</v>
      </c>
      <c r="I159">
        <v>40269.464844000002</v>
      </c>
      <c r="J159">
        <v>38941.421875</v>
      </c>
      <c r="K159">
        <v>39773.828125</v>
      </c>
      <c r="L159">
        <v>39773.828125</v>
      </c>
      <c r="M159">
        <v>33903704907</v>
      </c>
      <c r="N159">
        <v>1.0001549999999999</v>
      </c>
      <c r="O159">
        <v>1.000292</v>
      </c>
      <c r="P159">
        <v>1.0000279999999999</v>
      </c>
      <c r="Q159">
        <v>1.0001910000000001</v>
      </c>
      <c r="R159">
        <v>1.0001910000000001</v>
      </c>
      <c r="S159">
        <v>68392086439</v>
      </c>
      <c r="T159">
        <v>1.00031</v>
      </c>
      <c r="U159">
        <v>1.000505</v>
      </c>
      <c r="V159">
        <v>0.99950700000000003</v>
      </c>
      <c r="W159">
        <v>1.0000290000000001</v>
      </c>
      <c r="X159">
        <v>1.0000290000000001</v>
      </c>
      <c r="Y159">
        <v>4611631886</v>
      </c>
      <c r="Z159">
        <v>0.840615</v>
      </c>
      <c r="AA159">
        <v>0.85206199999999999</v>
      </c>
      <c r="AB159">
        <v>0.82768900000000001</v>
      </c>
      <c r="AC159">
        <v>0.84394999999999998</v>
      </c>
      <c r="AD159">
        <v>0.84394999999999998</v>
      </c>
      <c r="AE159">
        <v>836357358</v>
      </c>
    </row>
    <row r="160" spans="1:31" x14ac:dyDescent="0.25">
      <c r="A160" s="1">
        <v>44680</v>
      </c>
      <c r="B160">
        <v>2936.7766109999998</v>
      </c>
      <c r="C160">
        <v>2943.4458009999998</v>
      </c>
      <c r="D160">
        <v>2782.4353030000002</v>
      </c>
      <c r="E160">
        <v>2815.601807</v>
      </c>
      <c r="F160">
        <v>2815.601807</v>
      </c>
      <c r="G160">
        <v>18771041399</v>
      </c>
      <c r="H160">
        <v>39768.617187999997</v>
      </c>
      <c r="I160">
        <v>39887.269530999998</v>
      </c>
      <c r="J160">
        <v>38235.535155999998</v>
      </c>
      <c r="K160">
        <v>38609.824219000002</v>
      </c>
      <c r="L160">
        <v>38609.824219000002</v>
      </c>
      <c r="M160">
        <v>30882994649</v>
      </c>
      <c r="N160">
        <v>1.0002</v>
      </c>
      <c r="O160">
        <v>1.000238</v>
      </c>
      <c r="P160">
        <v>0.99998600000000004</v>
      </c>
      <c r="Q160">
        <v>1.0000199999999999</v>
      </c>
      <c r="R160">
        <v>1.0000199999999999</v>
      </c>
      <c r="S160">
        <v>67899674445</v>
      </c>
      <c r="T160">
        <v>1.0000070000000001</v>
      </c>
      <c r="U160">
        <v>1.0004169999999999</v>
      </c>
      <c r="V160">
        <v>0.99954200000000004</v>
      </c>
      <c r="W160">
        <v>1.0000230000000001</v>
      </c>
      <c r="X160">
        <v>1.0000230000000001</v>
      </c>
      <c r="Y160">
        <v>4076411418</v>
      </c>
      <c r="Z160">
        <v>0.84392999999999996</v>
      </c>
      <c r="AA160">
        <v>0.84870000000000001</v>
      </c>
      <c r="AB160">
        <v>0.793686</v>
      </c>
      <c r="AC160">
        <v>0.80504299999999995</v>
      </c>
      <c r="AD160">
        <v>0.80504299999999995</v>
      </c>
      <c r="AE160">
        <v>874797260</v>
      </c>
    </row>
    <row r="161" spans="1:31" x14ac:dyDescent="0.25">
      <c r="A161" s="1">
        <v>44681</v>
      </c>
      <c r="B161">
        <v>2815.5334469999998</v>
      </c>
      <c r="C161">
        <v>2836.8276369999999</v>
      </c>
      <c r="D161">
        <v>2727.40625</v>
      </c>
      <c r="E161">
        <v>2730.186768</v>
      </c>
      <c r="F161">
        <v>2730.186768</v>
      </c>
      <c r="G161">
        <v>13520941867</v>
      </c>
      <c r="H161">
        <v>38605.859375</v>
      </c>
      <c r="I161">
        <v>38771.210937999997</v>
      </c>
      <c r="J161">
        <v>37697.941405999998</v>
      </c>
      <c r="K161">
        <v>37714.875</v>
      </c>
      <c r="L161">
        <v>37714.875</v>
      </c>
      <c r="M161">
        <v>23895713731</v>
      </c>
      <c r="N161">
        <v>1.0000009999999999</v>
      </c>
      <c r="O161">
        <v>1.000251</v>
      </c>
      <c r="P161">
        <v>0.99997000000000003</v>
      </c>
      <c r="Q161">
        <v>1.0001549999999999</v>
      </c>
      <c r="R161">
        <v>1.0001549999999999</v>
      </c>
      <c r="S161">
        <v>57266339850</v>
      </c>
      <c r="T161">
        <v>1.000008</v>
      </c>
      <c r="U161">
        <v>1.0004949999999999</v>
      </c>
      <c r="V161">
        <v>0.99927999999999995</v>
      </c>
      <c r="W161">
        <v>1.0002949999999999</v>
      </c>
      <c r="X161">
        <v>1.0002949999999999</v>
      </c>
      <c r="Y161">
        <v>3824993132</v>
      </c>
      <c r="Z161">
        <v>0.80505599999999999</v>
      </c>
      <c r="AA161">
        <v>0.817048</v>
      </c>
      <c r="AB161">
        <v>0.74235899999999999</v>
      </c>
      <c r="AC161">
        <v>0.75666</v>
      </c>
      <c r="AD161">
        <v>0.75666</v>
      </c>
      <c r="AE161">
        <v>868001173</v>
      </c>
    </row>
    <row r="162" spans="1:31" x14ac:dyDescent="0.25">
      <c r="A162" s="1">
        <v>44682</v>
      </c>
      <c r="B162">
        <v>2729.9941410000001</v>
      </c>
      <c r="C162">
        <v>2838.704346</v>
      </c>
      <c r="D162">
        <v>2728.078857</v>
      </c>
      <c r="E162">
        <v>2827.7561040000001</v>
      </c>
      <c r="F162">
        <v>2827.7561040000001</v>
      </c>
      <c r="G162">
        <v>15332730152</v>
      </c>
      <c r="H162">
        <v>37713.265625</v>
      </c>
      <c r="I162">
        <v>38627.859375</v>
      </c>
      <c r="J162">
        <v>37585.789062999997</v>
      </c>
      <c r="K162">
        <v>38469.09375</v>
      </c>
      <c r="L162">
        <v>38469.09375</v>
      </c>
      <c r="M162">
        <v>27002760110</v>
      </c>
      <c r="N162">
        <v>1.0001519999999999</v>
      </c>
      <c r="O162">
        <v>1.0003740000000001</v>
      </c>
      <c r="P162">
        <v>1.0000990000000001</v>
      </c>
      <c r="Q162">
        <v>1.000113</v>
      </c>
      <c r="R162">
        <v>1.000113</v>
      </c>
      <c r="S162">
        <v>61420362842</v>
      </c>
      <c r="T162">
        <v>1.0002789999999999</v>
      </c>
      <c r="U162">
        <v>1.00085</v>
      </c>
      <c r="V162">
        <v>0.99948700000000001</v>
      </c>
      <c r="W162">
        <v>1.000381</v>
      </c>
      <c r="X162">
        <v>1.000381</v>
      </c>
      <c r="Y162">
        <v>3757508036</v>
      </c>
      <c r="Z162">
        <v>0.75670099999999996</v>
      </c>
      <c r="AA162">
        <v>0.79942500000000005</v>
      </c>
      <c r="AB162">
        <v>0.74965499999999996</v>
      </c>
      <c r="AC162">
        <v>0.79034400000000005</v>
      </c>
      <c r="AD162">
        <v>0.79034400000000005</v>
      </c>
      <c r="AE162">
        <v>928448231</v>
      </c>
    </row>
    <row r="163" spans="1:31" x14ac:dyDescent="0.25">
      <c r="A163" s="1">
        <v>44683</v>
      </c>
      <c r="B163">
        <v>2827.6140140000002</v>
      </c>
      <c r="C163">
        <v>2874.1459960000002</v>
      </c>
      <c r="D163">
        <v>2785.5229490000002</v>
      </c>
      <c r="E163">
        <v>2857.4104000000002</v>
      </c>
      <c r="F163">
        <v>2857.4104000000002</v>
      </c>
      <c r="G163">
        <v>18609741545</v>
      </c>
      <c r="H163">
        <v>38472.1875</v>
      </c>
      <c r="I163">
        <v>39074.972655999998</v>
      </c>
      <c r="J163">
        <v>38156.5625</v>
      </c>
      <c r="K163">
        <v>38529.328125</v>
      </c>
      <c r="L163">
        <v>38529.328125</v>
      </c>
      <c r="M163">
        <v>32922642426</v>
      </c>
      <c r="N163">
        <v>1.0001</v>
      </c>
      <c r="O163">
        <v>1.000281</v>
      </c>
      <c r="P163">
        <v>0.99992599999999998</v>
      </c>
      <c r="Q163">
        <v>0.99995500000000004</v>
      </c>
      <c r="R163">
        <v>0.99995500000000004</v>
      </c>
      <c r="S163">
        <v>63751566652</v>
      </c>
      <c r="T163">
        <v>1.0003610000000001</v>
      </c>
      <c r="U163">
        <v>1.000564</v>
      </c>
      <c r="V163">
        <v>0.99950000000000006</v>
      </c>
      <c r="W163">
        <v>1.0000599999999999</v>
      </c>
      <c r="X163">
        <v>1.0000599999999999</v>
      </c>
      <c r="Y163">
        <v>3902762410</v>
      </c>
      <c r="Z163">
        <v>0.79027899999999995</v>
      </c>
      <c r="AA163">
        <v>0.79581800000000003</v>
      </c>
      <c r="AB163">
        <v>0.76619800000000005</v>
      </c>
      <c r="AC163">
        <v>0.78152900000000003</v>
      </c>
      <c r="AD163">
        <v>0.78152900000000003</v>
      </c>
      <c r="AE163">
        <v>805325174</v>
      </c>
    </row>
    <row r="164" spans="1:31" x14ac:dyDescent="0.25">
      <c r="A164" s="1">
        <v>44684</v>
      </c>
      <c r="B164">
        <v>2857.1523440000001</v>
      </c>
      <c r="C164">
        <v>2859.1933589999999</v>
      </c>
      <c r="D164">
        <v>2762.1186520000001</v>
      </c>
      <c r="E164">
        <v>2783.476318</v>
      </c>
      <c r="F164">
        <v>2783.476318</v>
      </c>
      <c r="G164">
        <v>13026093219</v>
      </c>
      <c r="H164">
        <v>38528.109375</v>
      </c>
      <c r="I164">
        <v>38629.996094000002</v>
      </c>
      <c r="J164">
        <v>37585.621094000002</v>
      </c>
      <c r="K164">
        <v>37750.453125</v>
      </c>
      <c r="L164">
        <v>37750.453125</v>
      </c>
      <c r="M164">
        <v>27326943244</v>
      </c>
      <c r="N164">
        <v>0.99995199999999995</v>
      </c>
      <c r="O164">
        <v>1.0002329999999999</v>
      </c>
      <c r="P164">
        <v>0.99990199999999996</v>
      </c>
      <c r="Q164">
        <v>1.0000450000000001</v>
      </c>
      <c r="R164">
        <v>1.0000450000000001</v>
      </c>
      <c r="S164">
        <v>52924035065</v>
      </c>
      <c r="T164">
        <v>1.0000560000000001</v>
      </c>
      <c r="U164">
        <v>1.000381</v>
      </c>
      <c r="V164">
        <v>0.99947600000000003</v>
      </c>
      <c r="W164">
        <v>1.000119</v>
      </c>
      <c r="X164">
        <v>1.000119</v>
      </c>
      <c r="Y164">
        <v>3691702287</v>
      </c>
      <c r="Z164">
        <v>0.78142999999999996</v>
      </c>
      <c r="AA164">
        <v>0.79858899999999999</v>
      </c>
      <c r="AB164">
        <v>0.76206799999999997</v>
      </c>
      <c r="AC164">
        <v>0.77114499999999997</v>
      </c>
      <c r="AD164">
        <v>0.77114499999999997</v>
      </c>
      <c r="AE164">
        <v>649650331</v>
      </c>
    </row>
    <row r="165" spans="1:31" x14ac:dyDescent="0.25">
      <c r="A165" s="1">
        <v>44685</v>
      </c>
      <c r="B165">
        <v>2783.1311040000001</v>
      </c>
      <c r="C165">
        <v>2956.686768</v>
      </c>
      <c r="D165">
        <v>2779.273682</v>
      </c>
      <c r="E165">
        <v>2940.6447750000002</v>
      </c>
      <c r="F165">
        <v>2940.6447750000002</v>
      </c>
      <c r="G165">
        <v>18186749944</v>
      </c>
      <c r="H165">
        <v>37748.011719000002</v>
      </c>
      <c r="I165">
        <v>39902.949219000002</v>
      </c>
      <c r="J165">
        <v>37732.058594000002</v>
      </c>
      <c r="K165">
        <v>39698.371094000002</v>
      </c>
      <c r="L165">
        <v>39698.371094000002</v>
      </c>
      <c r="M165">
        <v>36754404490</v>
      </c>
      <c r="N165">
        <v>1.000021</v>
      </c>
      <c r="O165">
        <v>1.0001420000000001</v>
      </c>
      <c r="P165">
        <v>0.99994000000000005</v>
      </c>
      <c r="Q165">
        <v>1.000038</v>
      </c>
      <c r="R165">
        <v>1.000038</v>
      </c>
      <c r="S165">
        <v>72222517203</v>
      </c>
      <c r="T165">
        <v>1.0001180000000001</v>
      </c>
      <c r="U165">
        <v>1.000648</v>
      </c>
      <c r="V165">
        <v>0.99961900000000004</v>
      </c>
      <c r="W165">
        <v>1.0000770000000001</v>
      </c>
      <c r="X165">
        <v>1.0000770000000001</v>
      </c>
      <c r="Y165">
        <v>4446134900</v>
      </c>
      <c r="Z165">
        <v>0.77110699999999999</v>
      </c>
      <c r="AA165">
        <v>0.89766100000000004</v>
      </c>
      <c r="AB165">
        <v>0.76963800000000004</v>
      </c>
      <c r="AC165">
        <v>0.89694200000000002</v>
      </c>
      <c r="AD165">
        <v>0.89694200000000002</v>
      </c>
      <c r="AE165">
        <v>1516023155</v>
      </c>
    </row>
    <row r="166" spans="1:31" x14ac:dyDescent="0.25">
      <c r="A166" s="1">
        <v>44686</v>
      </c>
      <c r="B166">
        <v>2940.2265630000002</v>
      </c>
      <c r="C166">
        <v>2948.960693</v>
      </c>
      <c r="D166">
        <v>2704.91626</v>
      </c>
      <c r="E166">
        <v>2749.213135</v>
      </c>
      <c r="F166">
        <v>2749.213135</v>
      </c>
      <c r="G166">
        <v>22642925048</v>
      </c>
      <c r="H166">
        <v>39695.746094000002</v>
      </c>
      <c r="I166">
        <v>39789.28125</v>
      </c>
      <c r="J166">
        <v>35856.515625</v>
      </c>
      <c r="K166">
        <v>36575.140625</v>
      </c>
      <c r="L166">
        <v>36575.140625</v>
      </c>
      <c r="M166">
        <v>43106256317</v>
      </c>
      <c r="N166">
        <v>1.0000389999999999</v>
      </c>
      <c r="O166">
        <v>1.000197</v>
      </c>
      <c r="P166">
        <v>0.99992000000000003</v>
      </c>
      <c r="Q166">
        <v>0.99998799999999999</v>
      </c>
      <c r="R166">
        <v>0.99998799999999999</v>
      </c>
      <c r="S166">
        <v>85679638685</v>
      </c>
      <c r="T166">
        <v>1.0000659999999999</v>
      </c>
      <c r="U166">
        <v>1.000605</v>
      </c>
      <c r="V166">
        <v>0.99938099999999996</v>
      </c>
      <c r="W166">
        <v>0.99995800000000001</v>
      </c>
      <c r="X166">
        <v>0.99995800000000001</v>
      </c>
      <c r="Y166">
        <v>5202645491</v>
      </c>
      <c r="Z166">
        <v>0.897061</v>
      </c>
      <c r="AA166">
        <v>0.904111</v>
      </c>
      <c r="AB166">
        <v>0.77814099999999997</v>
      </c>
      <c r="AC166">
        <v>0.79115199999999997</v>
      </c>
      <c r="AD166">
        <v>0.79115199999999997</v>
      </c>
      <c r="AE166">
        <v>1802128590</v>
      </c>
    </row>
    <row r="167" spans="1:31" x14ac:dyDescent="0.25">
      <c r="A167" s="1">
        <v>44687</v>
      </c>
      <c r="B167">
        <v>2748.9316410000001</v>
      </c>
      <c r="C167">
        <v>2754.8376459999999</v>
      </c>
      <c r="D167">
        <v>2645.3352049999999</v>
      </c>
      <c r="E167">
        <v>2694.9797359999998</v>
      </c>
      <c r="F167">
        <v>2694.9797359999998</v>
      </c>
      <c r="G167">
        <v>21027599270</v>
      </c>
      <c r="H167">
        <v>36573.183594000002</v>
      </c>
      <c r="I167">
        <v>36624.359375</v>
      </c>
      <c r="J167">
        <v>35482.132812999997</v>
      </c>
      <c r="K167">
        <v>36040.921875</v>
      </c>
      <c r="L167">
        <v>36040.921875</v>
      </c>
      <c r="M167">
        <v>37795577489</v>
      </c>
      <c r="N167">
        <v>0.99999000000000005</v>
      </c>
      <c r="O167">
        <v>1.0002150000000001</v>
      </c>
      <c r="P167">
        <v>0.99991600000000003</v>
      </c>
      <c r="Q167">
        <v>0.99998200000000004</v>
      </c>
      <c r="R167">
        <v>0.99998200000000004</v>
      </c>
      <c r="S167">
        <v>81327879764</v>
      </c>
      <c r="T167">
        <v>0.99994700000000003</v>
      </c>
      <c r="U167">
        <v>1.0006079999999999</v>
      </c>
      <c r="V167">
        <v>0.99952300000000005</v>
      </c>
      <c r="W167">
        <v>1.0000720000000001</v>
      </c>
      <c r="X167">
        <v>1.0000720000000001</v>
      </c>
      <c r="Y167">
        <v>5376284197</v>
      </c>
      <c r="Z167">
        <v>0.79106500000000002</v>
      </c>
      <c r="AA167">
        <v>0.798315</v>
      </c>
      <c r="AB167">
        <v>0.76574200000000003</v>
      </c>
      <c r="AC167">
        <v>0.78335900000000003</v>
      </c>
      <c r="AD167">
        <v>0.78335900000000003</v>
      </c>
      <c r="AE167">
        <v>1312283636</v>
      </c>
    </row>
    <row r="168" spans="1:31" x14ac:dyDescent="0.25">
      <c r="A168" s="1">
        <v>44688</v>
      </c>
      <c r="B168">
        <v>2694.991943</v>
      </c>
      <c r="C168">
        <v>2696.6528320000002</v>
      </c>
      <c r="D168">
        <v>2599.5234380000002</v>
      </c>
      <c r="E168">
        <v>2636.093018</v>
      </c>
      <c r="F168">
        <v>2636.093018</v>
      </c>
      <c r="G168">
        <v>13369276367</v>
      </c>
      <c r="H168">
        <v>36042.503905999998</v>
      </c>
      <c r="I168">
        <v>36129.925780999998</v>
      </c>
      <c r="J168">
        <v>34940.824219000002</v>
      </c>
      <c r="K168">
        <v>35501.953125</v>
      </c>
      <c r="L168">
        <v>35501.953125</v>
      </c>
      <c r="M168">
        <v>24375896406</v>
      </c>
      <c r="N168">
        <v>0.99997100000000005</v>
      </c>
      <c r="O168">
        <v>1.000049</v>
      </c>
      <c r="P168">
        <v>0.99977400000000005</v>
      </c>
      <c r="Q168">
        <v>0.99992099999999995</v>
      </c>
      <c r="R168">
        <v>0.99992099999999995</v>
      </c>
      <c r="S168">
        <v>57202594793</v>
      </c>
      <c r="T168">
        <v>1.000065</v>
      </c>
      <c r="U168">
        <v>1.000427</v>
      </c>
      <c r="V168">
        <v>0.99961699999999998</v>
      </c>
      <c r="W168">
        <v>0.99990599999999996</v>
      </c>
      <c r="X168">
        <v>0.99990599999999996</v>
      </c>
      <c r="Y168">
        <v>3623126811</v>
      </c>
      <c r="Z168">
        <v>0.78335200000000005</v>
      </c>
      <c r="AA168">
        <v>0.78511600000000004</v>
      </c>
      <c r="AB168">
        <v>0.75065700000000002</v>
      </c>
      <c r="AC168">
        <v>0.76188199999999995</v>
      </c>
      <c r="AD168">
        <v>0.76188199999999995</v>
      </c>
      <c r="AE168">
        <v>801558914</v>
      </c>
    </row>
    <row r="169" spans="1:31" x14ac:dyDescent="0.25">
      <c r="A169" s="1">
        <v>44689</v>
      </c>
      <c r="B169">
        <v>2636.1218260000001</v>
      </c>
      <c r="C169">
        <v>2638.8305660000001</v>
      </c>
      <c r="D169">
        <v>2498.4301759999998</v>
      </c>
      <c r="E169">
        <v>2517.459961</v>
      </c>
      <c r="F169">
        <v>2517.459961</v>
      </c>
      <c r="G169">
        <v>20802269935</v>
      </c>
      <c r="H169">
        <v>35502.941405999998</v>
      </c>
      <c r="I169">
        <v>35502.941405999998</v>
      </c>
      <c r="J169">
        <v>33878.964844000002</v>
      </c>
      <c r="K169">
        <v>34059.265625</v>
      </c>
      <c r="L169">
        <v>34059.265625</v>
      </c>
      <c r="M169">
        <v>36763041910</v>
      </c>
      <c r="N169">
        <v>0.999919</v>
      </c>
      <c r="O169">
        <v>1.0000629999999999</v>
      </c>
      <c r="P169">
        <v>0.99973999999999996</v>
      </c>
      <c r="Q169">
        <v>0.99985400000000002</v>
      </c>
      <c r="R169">
        <v>0.99985400000000002</v>
      </c>
      <c r="S169">
        <v>77900163502</v>
      </c>
      <c r="T169">
        <v>0.99991799999999997</v>
      </c>
      <c r="U169">
        <v>1.000631</v>
      </c>
      <c r="V169">
        <v>0.99954799999999999</v>
      </c>
      <c r="W169">
        <v>1.0000869999999999</v>
      </c>
      <c r="X169">
        <v>1.0000869999999999</v>
      </c>
      <c r="Y169">
        <v>5432001418</v>
      </c>
      <c r="Z169">
        <v>0.76205299999999998</v>
      </c>
      <c r="AA169">
        <v>0.76386900000000002</v>
      </c>
      <c r="AB169">
        <v>0.72927200000000003</v>
      </c>
      <c r="AC169">
        <v>0.73956299999999997</v>
      </c>
      <c r="AD169">
        <v>0.73956299999999997</v>
      </c>
      <c r="AE169">
        <v>1085127147</v>
      </c>
    </row>
    <row r="170" spans="1:31" x14ac:dyDescent="0.25">
      <c r="A170" s="1">
        <v>44690</v>
      </c>
      <c r="B170">
        <v>2518.5083009999998</v>
      </c>
      <c r="C170">
        <v>2528.258057</v>
      </c>
      <c r="D170">
        <v>2238.0627439999998</v>
      </c>
      <c r="E170">
        <v>2245.4304200000001</v>
      </c>
      <c r="F170">
        <v>2245.4304200000001</v>
      </c>
      <c r="G170">
        <v>36333567678</v>
      </c>
      <c r="H170">
        <v>34060.015625</v>
      </c>
      <c r="I170">
        <v>34222.074219000002</v>
      </c>
      <c r="J170">
        <v>30296.953125</v>
      </c>
      <c r="K170">
        <v>30296.953125</v>
      </c>
      <c r="L170">
        <v>30296.953125</v>
      </c>
      <c r="M170">
        <v>63355494961</v>
      </c>
      <c r="N170">
        <v>0.99987000000000004</v>
      </c>
      <c r="O170">
        <v>1.0001340000000001</v>
      </c>
      <c r="P170">
        <v>0.99977000000000005</v>
      </c>
      <c r="Q170">
        <v>0.99990900000000005</v>
      </c>
      <c r="R170">
        <v>0.99990900000000005</v>
      </c>
      <c r="S170">
        <v>120710294040</v>
      </c>
      <c r="T170">
        <v>0.99999400000000005</v>
      </c>
      <c r="U170">
        <v>1.0006820000000001</v>
      </c>
      <c r="V170">
        <v>0.99937600000000004</v>
      </c>
      <c r="W170">
        <v>0.99959500000000001</v>
      </c>
      <c r="X170">
        <v>0.99959500000000001</v>
      </c>
      <c r="Y170">
        <v>8493986111</v>
      </c>
      <c r="Z170">
        <v>0.73950899999999997</v>
      </c>
      <c r="AA170">
        <v>0.75323300000000004</v>
      </c>
      <c r="AB170">
        <v>0.61008799999999996</v>
      </c>
      <c r="AC170">
        <v>0.61008799999999996</v>
      </c>
      <c r="AD170">
        <v>0.61008799999999996</v>
      </c>
      <c r="AE170">
        <v>2306123277</v>
      </c>
    </row>
    <row r="171" spans="1:31" x14ac:dyDescent="0.25">
      <c r="A171" s="1">
        <v>44691</v>
      </c>
      <c r="B171">
        <v>2242.6503910000001</v>
      </c>
      <c r="C171">
        <v>2450.7602539999998</v>
      </c>
      <c r="D171">
        <v>2206.756836</v>
      </c>
      <c r="E171">
        <v>2343.5109859999998</v>
      </c>
      <c r="F171">
        <v>2343.5109859999998</v>
      </c>
      <c r="G171">
        <v>38202099639</v>
      </c>
      <c r="H171">
        <v>30273.654297000001</v>
      </c>
      <c r="I171">
        <v>32596.308593999998</v>
      </c>
      <c r="J171">
        <v>29944.802734000001</v>
      </c>
      <c r="K171">
        <v>31022.90625</v>
      </c>
      <c r="L171">
        <v>31022.90625</v>
      </c>
      <c r="M171">
        <v>59811038817</v>
      </c>
      <c r="N171">
        <v>0.99994499999999997</v>
      </c>
      <c r="O171">
        <v>1.0001340000000001</v>
      </c>
      <c r="P171">
        <v>0.99970899999999996</v>
      </c>
      <c r="Q171">
        <v>0.99979099999999999</v>
      </c>
      <c r="R171">
        <v>0.99979099999999999</v>
      </c>
      <c r="S171">
        <v>128692083965</v>
      </c>
      <c r="T171">
        <v>0.99957600000000002</v>
      </c>
      <c r="U171">
        <v>1.000685</v>
      </c>
      <c r="V171">
        <v>0.999278</v>
      </c>
      <c r="W171">
        <v>0.99982800000000005</v>
      </c>
      <c r="X171">
        <v>0.99982800000000005</v>
      </c>
      <c r="Y171">
        <v>8611992228</v>
      </c>
      <c r="Z171">
        <v>0.60997199999999996</v>
      </c>
      <c r="AA171">
        <v>0.69852000000000003</v>
      </c>
      <c r="AB171">
        <v>0.59068799999999999</v>
      </c>
      <c r="AC171">
        <v>0.62896300000000005</v>
      </c>
      <c r="AD171">
        <v>0.62896300000000005</v>
      </c>
      <c r="AE171">
        <v>2372592084</v>
      </c>
    </row>
    <row r="172" spans="1:31" x14ac:dyDescent="0.25">
      <c r="A172" s="1">
        <v>44692</v>
      </c>
      <c r="B172">
        <v>2342.7541500000002</v>
      </c>
      <c r="C172">
        <v>2441.079346</v>
      </c>
      <c r="D172">
        <v>2018.855591</v>
      </c>
      <c r="E172">
        <v>2072.108643</v>
      </c>
      <c r="F172">
        <v>2072.108643</v>
      </c>
      <c r="G172">
        <v>45743399154</v>
      </c>
      <c r="H172">
        <v>31016.183593999998</v>
      </c>
      <c r="I172">
        <v>32013.402343999998</v>
      </c>
      <c r="J172">
        <v>28170.414063</v>
      </c>
      <c r="K172">
        <v>28936.355468999998</v>
      </c>
      <c r="L172">
        <v>28936.355468999998</v>
      </c>
      <c r="M172">
        <v>70388855818</v>
      </c>
      <c r="N172">
        <v>0.99978999999999996</v>
      </c>
      <c r="O172">
        <v>0.999996</v>
      </c>
      <c r="P172">
        <v>0.99345899999999998</v>
      </c>
      <c r="Q172">
        <v>0.99587199999999998</v>
      </c>
      <c r="R172">
        <v>0.99587199999999998</v>
      </c>
      <c r="S172">
        <v>159700404396</v>
      </c>
      <c r="T172">
        <v>0.99978500000000003</v>
      </c>
      <c r="U172">
        <v>1.00135</v>
      </c>
      <c r="V172">
        <v>0.99925299999999995</v>
      </c>
      <c r="W172">
        <v>1.000766</v>
      </c>
      <c r="X172">
        <v>1.000766</v>
      </c>
      <c r="Y172">
        <v>15143285239</v>
      </c>
      <c r="Z172">
        <v>0.628772</v>
      </c>
      <c r="AA172">
        <v>0.65757100000000002</v>
      </c>
      <c r="AB172">
        <v>0.48460999999999999</v>
      </c>
      <c r="AC172">
        <v>0.51280000000000003</v>
      </c>
      <c r="AD172">
        <v>0.51280000000000003</v>
      </c>
      <c r="AE172">
        <v>2692548110</v>
      </c>
    </row>
    <row r="173" spans="1:31" x14ac:dyDescent="0.25">
      <c r="A173" s="1">
        <v>44693</v>
      </c>
      <c r="B173">
        <v>2072.5046390000002</v>
      </c>
      <c r="C173">
        <v>2170.4580080000001</v>
      </c>
      <c r="D173">
        <v>1748.303101</v>
      </c>
      <c r="E173">
        <v>1961.701538</v>
      </c>
      <c r="F173">
        <v>1961.701538</v>
      </c>
      <c r="G173">
        <v>42463486402</v>
      </c>
      <c r="H173">
        <v>28936.734375</v>
      </c>
      <c r="I173">
        <v>30032.439452999999</v>
      </c>
      <c r="J173">
        <v>26350.490234000001</v>
      </c>
      <c r="K173">
        <v>29047.751952999999</v>
      </c>
      <c r="L173">
        <v>29047.751952999999</v>
      </c>
      <c r="M173">
        <v>66989173272</v>
      </c>
      <c r="N173">
        <v>0.99587899999999996</v>
      </c>
      <c r="O173">
        <v>0.99773599999999996</v>
      </c>
      <c r="P173">
        <v>0.94848600000000005</v>
      </c>
      <c r="Q173">
        <v>0.99760899999999997</v>
      </c>
      <c r="R173">
        <v>0.99760899999999997</v>
      </c>
      <c r="S173">
        <v>141052751792</v>
      </c>
      <c r="T173">
        <v>1.000777</v>
      </c>
      <c r="U173">
        <v>1.0114339999999999</v>
      </c>
      <c r="V173">
        <v>0.99953099999999995</v>
      </c>
      <c r="W173">
        <v>1.000659</v>
      </c>
      <c r="X173">
        <v>1.000659</v>
      </c>
      <c r="Y173">
        <v>18612052637</v>
      </c>
      <c r="Z173">
        <v>0.51299899999999998</v>
      </c>
      <c r="AA173">
        <v>0.54549800000000004</v>
      </c>
      <c r="AB173">
        <v>0.40652899999999997</v>
      </c>
      <c r="AC173">
        <v>0.473746</v>
      </c>
      <c r="AD173">
        <v>0.473746</v>
      </c>
      <c r="AE173">
        <v>2798263564</v>
      </c>
    </row>
    <row r="174" spans="1:31" x14ac:dyDescent="0.25">
      <c r="A174" s="1">
        <v>44694</v>
      </c>
      <c r="B174">
        <v>1960.1225589999999</v>
      </c>
      <c r="C174">
        <v>2139.7133789999998</v>
      </c>
      <c r="D174">
        <v>1941.975952</v>
      </c>
      <c r="E174">
        <v>2014.4182129999999</v>
      </c>
      <c r="F174">
        <v>2014.4182129999999</v>
      </c>
      <c r="G174">
        <v>24816096567</v>
      </c>
      <c r="H174">
        <v>29030.910156000002</v>
      </c>
      <c r="I174">
        <v>30924.802734000001</v>
      </c>
      <c r="J174">
        <v>28782.330077999999</v>
      </c>
      <c r="K174">
        <v>29283.103515999999</v>
      </c>
      <c r="L174">
        <v>29283.103515999999</v>
      </c>
      <c r="M174">
        <v>42841124537</v>
      </c>
      <c r="N174">
        <v>0.99752700000000005</v>
      </c>
      <c r="O174">
        <v>0.999193</v>
      </c>
      <c r="P174">
        <v>0.99694499999999997</v>
      </c>
      <c r="Q174">
        <v>0.99823899999999999</v>
      </c>
      <c r="R174">
        <v>0.99823899999999999</v>
      </c>
      <c r="S174">
        <v>87009885196</v>
      </c>
      <c r="T174">
        <v>1.0006010000000001</v>
      </c>
      <c r="U174">
        <v>1.0019009999999999</v>
      </c>
      <c r="V174">
        <v>0.999637</v>
      </c>
      <c r="W174">
        <v>1.0003470000000001</v>
      </c>
      <c r="X174">
        <v>1.0003470000000001</v>
      </c>
      <c r="Y174">
        <v>8025797259</v>
      </c>
      <c r="Z174">
        <v>0.47341800000000001</v>
      </c>
      <c r="AA174">
        <v>0.60108799999999996</v>
      </c>
      <c r="AB174">
        <v>0.46998099999999998</v>
      </c>
      <c r="AC174">
        <v>0.52887700000000004</v>
      </c>
      <c r="AD174">
        <v>0.52887700000000004</v>
      </c>
      <c r="AE174">
        <v>1946134960</v>
      </c>
    </row>
    <row r="175" spans="1:31" x14ac:dyDescent="0.25">
      <c r="A175" s="1">
        <v>44695</v>
      </c>
      <c r="B175">
        <v>2014.2806399999999</v>
      </c>
      <c r="C175">
        <v>2063.429932</v>
      </c>
      <c r="D175">
        <v>1956.5729980000001</v>
      </c>
      <c r="E175">
        <v>2056.2739259999998</v>
      </c>
      <c r="F175">
        <v>2056.2739259999998</v>
      </c>
      <c r="G175">
        <v>15457044616</v>
      </c>
      <c r="H175">
        <v>29285.642577999999</v>
      </c>
      <c r="I175">
        <v>30192.802734000001</v>
      </c>
      <c r="J175">
        <v>28702.910156000002</v>
      </c>
      <c r="K175">
        <v>30101.265625</v>
      </c>
      <c r="L175">
        <v>30101.265625</v>
      </c>
      <c r="M175">
        <v>28579868620</v>
      </c>
      <c r="N175">
        <v>0.99824199999999996</v>
      </c>
      <c r="O175">
        <v>0.99897100000000005</v>
      </c>
      <c r="P175">
        <v>0.99779099999999998</v>
      </c>
      <c r="Q175">
        <v>0.99878</v>
      </c>
      <c r="R175">
        <v>0.99878</v>
      </c>
      <c r="S175">
        <v>60781876668</v>
      </c>
      <c r="T175">
        <v>1.000418</v>
      </c>
      <c r="U175">
        <v>1.000977</v>
      </c>
      <c r="V175">
        <v>0.999695</v>
      </c>
      <c r="W175">
        <v>1.000381</v>
      </c>
      <c r="X175">
        <v>1.000381</v>
      </c>
      <c r="Y175">
        <v>5734214071</v>
      </c>
      <c r="Z175">
        <v>0.52894200000000002</v>
      </c>
      <c r="AA175">
        <v>0.55422499999999997</v>
      </c>
      <c r="AB175">
        <v>0.49143500000000001</v>
      </c>
      <c r="AC175">
        <v>0.539358</v>
      </c>
      <c r="AD175">
        <v>0.539358</v>
      </c>
      <c r="AE175">
        <v>1178703676</v>
      </c>
    </row>
    <row r="176" spans="1:31" x14ac:dyDescent="0.25">
      <c r="A176" s="1">
        <v>44696</v>
      </c>
      <c r="B176">
        <v>2056.1831050000001</v>
      </c>
      <c r="C176">
        <v>2147.194336</v>
      </c>
      <c r="D176">
        <v>2008.16272</v>
      </c>
      <c r="E176">
        <v>2145.7067870000001</v>
      </c>
      <c r="F176">
        <v>2145.7067870000001</v>
      </c>
      <c r="G176">
        <v>14846088335</v>
      </c>
      <c r="H176">
        <v>30098.585938</v>
      </c>
      <c r="I176">
        <v>31308.191406000002</v>
      </c>
      <c r="J176">
        <v>29527.740234000001</v>
      </c>
      <c r="K176">
        <v>31305.113281000002</v>
      </c>
      <c r="L176">
        <v>31305.113281000002</v>
      </c>
      <c r="M176">
        <v>25835372065</v>
      </c>
      <c r="N176">
        <v>0.99878</v>
      </c>
      <c r="O176">
        <v>0.99907699999999999</v>
      </c>
      <c r="P176">
        <v>0.99849200000000005</v>
      </c>
      <c r="Q176">
        <v>0.99906899999999998</v>
      </c>
      <c r="R176">
        <v>0.99906899999999998</v>
      </c>
      <c r="S176">
        <v>53979914930</v>
      </c>
      <c r="T176">
        <v>1.0003679999999999</v>
      </c>
      <c r="U176">
        <v>1.001026</v>
      </c>
      <c r="V176">
        <v>0.99986299999999995</v>
      </c>
      <c r="W176">
        <v>1.000183</v>
      </c>
      <c r="X176">
        <v>1.000183</v>
      </c>
      <c r="Y176">
        <v>4610661832</v>
      </c>
      <c r="Z176">
        <v>0.53938600000000003</v>
      </c>
      <c r="AA176">
        <v>0.59788399999999997</v>
      </c>
      <c r="AB176">
        <v>0.51654599999999995</v>
      </c>
      <c r="AC176">
        <v>0.59750000000000003</v>
      </c>
      <c r="AD176">
        <v>0.59750000000000003</v>
      </c>
      <c r="AE176">
        <v>1090431332</v>
      </c>
    </row>
    <row r="177" spans="1:31" x14ac:dyDescent="0.25">
      <c r="A177" s="1">
        <v>44697</v>
      </c>
      <c r="B177">
        <v>2145.836914</v>
      </c>
      <c r="C177">
        <v>2145.836914</v>
      </c>
      <c r="D177">
        <v>1988.811768</v>
      </c>
      <c r="E177">
        <v>2022.725952</v>
      </c>
      <c r="F177">
        <v>2022.725952</v>
      </c>
      <c r="G177">
        <v>21459552191</v>
      </c>
      <c r="H177">
        <v>31304.375</v>
      </c>
      <c r="I177">
        <v>31305.341797000001</v>
      </c>
      <c r="J177">
        <v>29251.884765999999</v>
      </c>
      <c r="K177">
        <v>29862.917968999998</v>
      </c>
      <c r="L177">
        <v>29862.917968999998</v>
      </c>
      <c r="M177">
        <v>32613897286</v>
      </c>
      <c r="N177">
        <v>0.99908399999999997</v>
      </c>
      <c r="O177">
        <v>0.99915299999999996</v>
      </c>
      <c r="P177">
        <v>0.99865899999999996</v>
      </c>
      <c r="Q177">
        <v>0.99877899999999997</v>
      </c>
      <c r="R177">
        <v>0.99877899999999997</v>
      </c>
      <c r="S177">
        <v>62504490441</v>
      </c>
      <c r="T177">
        <v>1.0001949999999999</v>
      </c>
      <c r="U177">
        <v>1.0008159999999999</v>
      </c>
      <c r="V177">
        <v>0.99973999999999996</v>
      </c>
      <c r="W177">
        <v>1.0005809999999999</v>
      </c>
      <c r="X177">
        <v>1.0005809999999999</v>
      </c>
      <c r="Y177">
        <v>6650512579</v>
      </c>
      <c r="Z177">
        <v>0.59756900000000002</v>
      </c>
      <c r="AA177">
        <v>0.60846500000000003</v>
      </c>
      <c r="AB177">
        <v>0.54781199999999997</v>
      </c>
      <c r="AC177">
        <v>0.55671599999999999</v>
      </c>
      <c r="AD177">
        <v>0.55671599999999999</v>
      </c>
      <c r="AE177">
        <v>1291715346</v>
      </c>
    </row>
    <row r="178" spans="1:31" x14ac:dyDescent="0.25">
      <c r="A178" s="1">
        <v>44698</v>
      </c>
      <c r="B178">
        <v>2022.8823239999999</v>
      </c>
      <c r="C178">
        <v>2113.0598140000002</v>
      </c>
      <c r="D178">
        <v>2015.971558</v>
      </c>
      <c r="E178">
        <v>2090.4091800000001</v>
      </c>
      <c r="F178">
        <v>2090.4091800000001</v>
      </c>
      <c r="G178">
        <v>18509929297</v>
      </c>
      <c r="H178">
        <v>29862.408202999999</v>
      </c>
      <c r="I178">
        <v>30694.490234000001</v>
      </c>
      <c r="J178">
        <v>29570.302734000001</v>
      </c>
      <c r="K178">
        <v>30425.857422000001</v>
      </c>
      <c r="L178">
        <v>30425.857422000001</v>
      </c>
      <c r="M178">
        <v>29101473475</v>
      </c>
      <c r="N178">
        <v>0.99877199999999999</v>
      </c>
      <c r="O178">
        <v>0.99910699999999997</v>
      </c>
      <c r="P178">
        <v>0.99865000000000004</v>
      </c>
      <c r="Q178">
        <v>0.99890900000000005</v>
      </c>
      <c r="R178">
        <v>0.99890900000000005</v>
      </c>
      <c r="S178">
        <v>55745978864</v>
      </c>
      <c r="T178">
        <v>1.000623</v>
      </c>
      <c r="U178">
        <v>1.001045</v>
      </c>
      <c r="V178">
        <v>0.99994000000000005</v>
      </c>
      <c r="W178">
        <v>1.000219</v>
      </c>
      <c r="X178">
        <v>1.000219</v>
      </c>
      <c r="Y178">
        <v>5271575140</v>
      </c>
      <c r="Z178">
        <v>0.55669599999999997</v>
      </c>
      <c r="AA178">
        <v>0.59788600000000003</v>
      </c>
      <c r="AB178">
        <v>0.55438399999999999</v>
      </c>
      <c r="AC178">
        <v>0.57807699999999995</v>
      </c>
      <c r="AD178">
        <v>0.57807699999999995</v>
      </c>
      <c r="AE178">
        <v>935138863</v>
      </c>
    </row>
    <row r="179" spans="1:31" x14ac:dyDescent="0.25">
      <c r="A179" s="1">
        <v>44699</v>
      </c>
      <c r="B179">
        <v>2090.459961</v>
      </c>
      <c r="C179">
        <v>2102.3266600000002</v>
      </c>
      <c r="D179">
        <v>1916.6561280000001</v>
      </c>
      <c r="E179">
        <v>1916.6561280000001</v>
      </c>
      <c r="F179">
        <v>1916.6561280000001</v>
      </c>
      <c r="G179">
        <v>17740965589</v>
      </c>
      <c r="H179">
        <v>30424.478515999999</v>
      </c>
      <c r="I179">
        <v>30618.716797000001</v>
      </c>
      <c r="J179">
        <v>28720.271484000001</v>
      </c>
      <c r="K179">
        <v>28720.271484000001</v>
      </c>
      <c r="L179">
        <v>28720.271484000001</v>
      </c>
      <c r="M179">
        <v>31285268319</v>
      </c>
      <c r="N179">
        <v>0.99890199999999996</v>
      </c>
      <c r="O179">
        <v>0.99914999999999998</v>
      </c>
      <c r="P179">
        <v>0.99854200000000004</v>
      </c>
      <c r="Q179">
        <v>0.99880199999999997</v>
      </c>
      <c r="R179">
        <v>0.99880199999999997</v>
      </c>
      <c r="S179">
        <v>56067250693</v>
      </c>
      <c r="T179">
        <v>1.000219</v>
      </c>
      <c r="U179">
        <v>1.000799</v>
      </c>
      <c r="V179">
        <v>0.99977099999999997</v>
      </c>
      <c r="W179">
        <v>0.99977099999999997</v>
      </c>
      <c r="X179">
        <v>0.99977099999999997</v>
      </c>
      <c r="Y179">
        <v>5791540700</v>
      </c>
      <c r="Z179">
        <v>0.57805700000000004</v>
      </c>
      <c r="AA179">
        <v>0.58449899999999999</v>
      </c>
      <c r="AB179">
        <v>0.50561500000000004</v>
      </c>
      <c r="AC179">
        <v>0.50561500000000004</v>
      </c>
      <c r="AD179">
        <v>0.50561500000000004</v>
      </c>
      <c r="AE179">
        <v>933793601</v>
      </c>
    </row>
    <row r="180" spans="1:31" x14ac:dyDescent="0.25">
      <c r="A180" s="1">
        <v>44700</v>
      </c>
      <c r="B180">
        <v>1916.1495359999999</v>
      </c>
      <c r="C180">
        <v>2028.3881839999999</v>
      </c>
      <c r="D180">
        <v>1907.0205080000001</v>
      </c>
      <c r="E180">
        <v>2018.336182</v>
      </c>
      <c r="F180">
        <v>2018.336182</v>
      </c>
      <c r="G180">
        <v>18734247914</v>
      </c>
      <c r="H180">
        <v>28720.359375</v>
      </c>
      <c r="I180">
        <v>30430.751952999999</v>
      </c>
      <c r="J180">
        <v>28708.955077999999</v>
      </c>
      <c r="K180">
        <v>30314.333984000001</v>
      </c>
      <c r="L180">
        <v>30314.333984000001</v>
      </c>
      <c r="M180">
        <v>33773447707</v>
      </c>
      <c r="N180">
        <v>0.99878599999999995</v>
      </c>
      <c r="O180">
        <v>0.99912199999999995</v>
      </c>
      <c r="P180">
        <v>0.99855000000000005</v>
      </c>
      <c r="Q180">
        <v>0.99897100000000005</v>
      </c>
      <c r="R180">
        <v>0.99897100000000005</v>
      </c>
      <c r="S180">
        <v>59651836770</v>
      </c>
      <c r="T180">
        <v>0.99980999999999998</v>
      </c>
      <c r="U180">
        <v>1.0008220000000001</v>
      </c>
      <c r="V180">
        <v>0.99980999999999998</v>
      </c>
      <c r="W180">
        <v>1.0002690000000001</v>
      </c>
      <c r="X180">
        <v>1.0002690000000001</v>
      </c>
      <c r="Y180">
        <v>6580258237</v>
      </c>
      <c r="Z180">
        <v>0.50549900000000003</v>
      </c>
      <c r="AA180">
        <v>0.54424899999999998</v>
      </c>
      <c r="AB180">
        <v>0.49561100000000002</v>
      </c>
      <c r="AC180">
        <v>0.53332100000000005</v>
      </c>
      <c r="AD180">
        <v>0.53332100000000005</v>
      </c>
      <c r="AE180">
        <v>939230823</v>
      </c>
    </row>
    <row r="181" spans="1:31" x14ac:dyDescent="0.25">
      <c r="A181" s="1">
        <v>44701</v>
      </c>
      <c r="B181">
        <v>2018.0001219999999</v>
      </c>
      <c r="C181">
        <v>2054.7958979999999</v>
      </c>
      <c r="D181">
        <v>1926.6767580000001</v>
      </c>
      <c r="E181">
        <v>1961.3156739999999</v>
      </c>
      <c r="F181">
        <v>1961.3156739999999</v>
      </c>
      <c r="G181">
        <v>15892482289</v>
      </c>
      <c r="H181">
        <v>30311.119140999999</v>
      </c>
      <c r="I181">
        <v>30664.976563</v>
      </c>
      <c r="J181">
        <v>28793.605468999998</v>
      </c>
      <c r="K181">
        <v>29200.740234000001</v>
      </c>
      <c r="L181">
        <v>29200.740234000001</v>
      </c>
      <c r="M181">
        <v>30749382605</v>
      </c>
      <c r="N181">
        <v>0.99895599999999996</v>
      </c>
      <c r="O181">
        <v>0.99936999999999998</v>
      </c>
      <c r="P181">
        <v>0.99870000000000003</v>
      </c>
      <c r="Q181">
        <v>0.99881799999999998</v>
      </c>
      <c r="R181">
        <v>0.99881799999999998</v>
      </c>
      <c r="S181">
        <v>54960961209</v>
      </c>
      <c r="T181">
        <v>1.000278</v>
      </c>
      <c r="U181">
        <v>1.0008870000000001</v>
      </c>
      <c r="V181">
        <v>0.99978699999999998</v>
      </c>
      <c r="W181">
        <v>0.99990699999999999</v>
      </c>
      <c r="X181">
        <v>0.99990699999999999</v>
      </c>
      <c r="Y181">
        <v>5519038708</v>
      </c>
      <c r="Z181">
        <v>0.53336399999999995</v>
      </c>
      <c r="AA181">
        <v>0.54341099999999998</v>
      </c>
      <c r="AB181">
        <v>0.50313799999999997</v>
      </c>
      <c r="AC181">
        <v>0.51790700000000001</v>
      </c>
      <c r="AD181">
        <v>0.51790700000000001</v>
      </c>
      <c r="AE181">
        <v>722609837</v>
      </c>
    </row>
    <row r="182" spans="1:31" x14ac:dyDescent="0.25">
      <c r="A182" s="1">
        <v>44702</v>
      </c>
      <c r="B182">
        <v>1961.0179439999999</v>
      </c>
      <c r="C182">
        <v>1985.395996</v>
      </c>
      <c r="D182">
        <v>1944.2651370000001</v>
      </c>
      <c r="E182">
        <v>1974.518311</v>
      </c>
      <c r="F182">
        <v>1974.518311</v>
      </c>
      <c r="G182">
        <v>8546822406</v>
      </c>
      <c r="H182">
        <v>29199.859375</v>
      </c>
      <c r="I182">
        <v>29588.869140999999</v>
      </c>
      <c r="J182">
        <v>29027.394531000002</v>
      </c>
      <c r="K182">
        <v>29432.226563</v>
      </c>
      <c r="L182">
        <v>29432.226563</v>
      </c>
      <c r="M182">
        <v>17274840442</v>
      </c>
      <c r="N182">
        <v>0.99889399999999995</v>
      </c>
      <c r="O182">
        <v>0.99903799999999998</v>
      </c>
      <c r="P182">
        <v>0.99859900000000001</v>
      </c>
      <c r="Q182">
        <v>0.99879300000000004</v>
      </c>
      <c r="R182">
        <v>0.99879300000000004</v>
      </c>
      <c r="S182">
        <v>34924240134</v>
      </c>
      <c r="T182">
        <v>0.99994400000000006</v>
      </c>
      <c r="U182">
        <v>1.0008619999999999</v>
      </c>
      <c r="V182">
        <v>0.99986600000000003</v>
      </c>
      <c r="W182">
        <v>1.0002660000000001</v>
      </c>
      <c r="X182">
        <v>1.0002660000000001</v>
      </c>
      <c r="Y182">
        <v>3085866979</v>
      </c>
      <c r="Z182">
        <v>0.51790499999999995</v>
      </c>
      <c r="AA182">
        <v>0.53639000000000003</v>
      </c>
      <c r="AB182">
        <v>0.51142399999999999</v>
      </c>
      <c r="AC182">
        <v>0.52831399999999995</v>
      </c>
      <c r="AD182">
        <v>0.52831399999999995</v>
      </c>
      <c r="AE182">
        <v>428041383</v>
      </c>
    </row>
    <row r="183" spans="1:31" x14ac:dyDescent="0.25">
      <c r="A183" s="1">
        <v>44703</v>
      </c>
      <c r="B183">
        <v>1974.670654</v>
      </c>
      <c r="C183">
        <v>2047.1914059999999</v>
      </c>
      <c r="D183">
        <v>1966.038818</v>
      </c>
      <c r="E183">
        <v>2043.1701660000001</v>
      </c>
      <c r="F183">
        <v>2043.1701660000001</v>
      </c>
      <c r="G183">
        <v>10941123403</v>
      </c>
      <c r="H183">
        <v>29432.472656000002</v>
      </c>
      <c r="I183">
        <v>30425.861327999999</v>
      </c>
      <c r="J183">
        <v>29275.183593999998</v>
      </c>
      <c r="K183">
        <v>30323.722656000002</v>
      </c>
      <c r="L183">
        <v>30323.722656000002</v>
      </c>
      <c r="M183">
        <v>21631532270</v>
      </c>
      <c r="N183">
        <v>0.99878699999999998</v>
      </c>
      <c r="O183">
        <v>0.99912100000000004</v>
      </c>
      <c r="P183">
        <v>0.99858999999999998</v>
      </c>
      <c r="Q183">
        <v>0.99906600000000001</v>
      </c>
      <c r="R183">
        <v>0.99906600000000001</v>
      </c>
      <c r="S183">
        <v>40965864100</v>
      </c>
      <c r="T183">
        <v>1.0002549999999999</v>
      </c>
      <c r="U183">
        <v>1.000834</v>
      </c>
      <c r="V183">
        <v>0.99993699999999996</v>
      </c>
      <c r="W183">
        <v>1.000092</v>
      </c>
      <c r="X183">
        <v>1.000092</v>
      </c>
      <c r="Y183">
        <v>3493584223</v>
      </c>
      <c r="Z183">
        <v>0.52834400000000004</v>
      </c>
      <c r="AA183">
        <v>0.54701699999999998</v>
      </c>
      <c r="AB183">
        <v>0.523393</v>
      </c>
      <c r="AC183">
        <v>0.54261800000000004</v>
      </c>
      <c r="AD183">
        <v>0.54261800000000004</v>
      </c>
      <c r="AE183">
        <v>489742264</v>
      </c>
    </row>
    <row r="184" spans="1:31" x14ac:dyDescent="0.25">
      <c r="A184" s="1">
        <v>44704</v>
      </c>
      <c r="B184">
        <v>2042.3447269999999</v>
      </c>
      <c r="C184">
        <v>2080.3334960000002</v>
      </c>
      <c r="D184">
        <v>1964.3865969999999</v>
      </c>
      <c r="E184">
        <v>1972.181885</v>
      </c>
      <c r="F184">
        <v>1972.181885</v>
      </c>
      <c r="G184">
        <v>16434529708</v>
      </c>
      <c r="H184">
        <v>30309.396484000001</v>
      </c>
      <c r="I184">
        <v>30590.585938</v>
      </c>
      <c r="J184">
        <v>28975.560547000001</v>
      </c>
      <c r="K184">
        <v>29098.910156000002</v>
      </c>
      <c r="L184">
        <v>29098.910156000002</v>
      </c>
      <c r="M184">
        <v>31483454557</v>
      </c>
      <c r="N184">
        <v>0.99906499999999998</v>
      </c>
      <c r="O184">
        <v>0.99929400000000002</v>
      </c>
      <c r="P184">
        <v>0.99882899999999997</v>
      </c>
      <c r="Q184">
        <v>0.99908799999999998</v>
      </c>
      <c r="R184">
        <v>0.99908799999999998</v>
      </c>
      <c r="S184">
        <v>58585612765</v>
      </c>
      <c r="T184">
        <v>1.0001150000000001</v>
      </c>
      <c r="U184">
        <v>1.0009060000000001</v>
      </c>
      <c r="V184">
        <v>0.99972799999999995</v>
      </c>
      <c r="W184">
        <v>1.0001409999999999</v>
      </c>
      <c r="X184">
        <v>1.0001409999999999</v>
      </c>
      <c r="Y184">
        <v>5594245864</v>
      </c>
      <c r="Z184">
        <v>0.54248399999999997</v>
      </c>
      <c r="AA184">
        <v>0.557805</v>
      </c>
      <c r="AB184">
        <v>0.50943300000000002</v>
      </c>
      <c r="AC184">
        <v>0.51260499999999998</v>
      </c>
      <c r="AD184">
        <v>0.51260499999999998</v>
      </c>
      <c r="AE184">
        <v>753004177</v>
      </c>
    </row>
    <row r="185" spans="1:31" x14ac:dyDescent="0.25">
      <c r="A185" s="1">
        <v>44705</v>
      </c>
      <c r="B185">
        <v>1972.3908690000001</v>
      </c>
      <c r="C185">
        <v>1991.5355219999999</v>
      </c>
      <c r="D185">
        <v>1920.6881100000001</v>
      </c>
      <c r="E185">
        <v>1978.982788</v>
      </c>
      <c r="F185">
        <v>1978.982788</v>
      </c>
      <c r="G185">
        <v>13057109007</v>
      </c>
      <c r="H185">
        <v>29101.125</v>
      </c>
      <c r="I185">
        <v>29774.355468999998</v>
      </c>
      <c r="J185">
        <v>28786.589843999998</v>
      </c>
      <c r="K185">
        <v>29655.585938</v>
      </c>
      <c r="L185">
        <v>29655.585938</v>
      </c>
      <c r="M185">
        <v>26616506245</v>
      </c>
      <c r="N185">
        <v>0.99904800000000005</v>
      </c>
      <c r="O185">
        <v>0.99920399999999998</v>
      </c>
      <c r="P185">
        <v>0.99884700000000004</v>
      </c>
      <c r="Q185">
        <v>0.99910699999999997</v>
      </c>
      <c r="R185">
        <v>0.99910699999999997</v>
      </c>
      <c r="S185">
        <v>51053417289</v>
      </c>
      <c r="T185">
        <v>1.000149</v>
      </c>
      <c r="U185">
        <v>1.000907</v>
      </c>
      <c r="V185">
        <v>0.99973800000000002</v>
      </c>
      <c r="W185">
        <v>1.0001789999999999</v>
      </c>
      <c r="X185">
        <v>1.0001789999999999</v>
      </c>
      <c r="Y185">
        <v>4616931095</v>
      </c>
      <c r="Z185">
        <v>0.512687</v>
      </c>
      <c r="AA185">
        <v>0.52425900000000003</v>
      </c>
      <c r="AB185">
        <v>0.49595699999999998</v>
      </c>
      <c r="AC185">
        <v>0.52122400000000002</v>
      </c>
      <c r="AD185">
        <v>0.52122400000000002</v>
      </c>
      <c r="AE185">
        <v>678125877</v>
      </c>
    </row>
    <row r="186" spans="1:31" x14ac:dyDescent="0.25">
      <c r="A186" s="1">
        <v>44706</v>
      </c>
      <c r="B186">
        <v>1978.6770019999999</v>
      </c>
      <c r="C186">
        <v>2014.3695070000001</v>
      </c>
      <c r="D186">
        <v>1943.9385990000001</v>
      </c>
      <c r="E186">
        <v>1944.8278809999999</v>
      </c>
      <c r="F186">
        <v>1944.8278809999999</v>
      </c>
      <c r="G186">
        <v>13364545730</v>
      </c>
      <c r="H186">
        <v>29653.134765999999</v>
      </c>
      <c r="I186">
        <v>30157.785156000002</v>
      </c>
      <c r="J186">
        <v>29384.949218999998</v>
      </c>
      <c r="K186">
        <v>29562.361327999999</v>
      </c>
      <c r="L186">
        <v>29562.361327999999</v>
      </c>
      <c r="M186">
        <v>27525063551</v>
      </c>
      <c r="N186">
        <v>0.99909300000000001</v>
      </c>
      <c r="O186">
        <v>0.99918499999999999</v>
      </c>
      <c r="P186">
        <v>0.99881699999999995</v>
      </c>
      <c r="Q186">
        <v>0.99897599999999998</v>
      </c>
      <c r="R186">
        <v>0.99897599999999998</v>
      </c>
      <c r="S186">
        <v>50311844127</v>
      </c>
      <c r="T186">
        <v>1.0001770000000001</v>
      </c>
      <c r="U186">
        <v>1.001007</v>
      </c>
      <c r="V186">
        <v>0.99977800000000006</v>
      </c>
      <c r="W186">
        <v>0.99982099999999996</v>
      </c>
      <c r="X186">
        <v>0.99982099999999996</v>
      </c>
      <c r="Y186">
        <v>4580073336</v>
      </c>
      <c r="Z186">
        <v>0.52124199999999998</v>
      </c>
      <c r="AA186">
        <v>0.53146199999999999</v>
      </c>
      <c r="AB186">
        <v>0.50828899999999999</v>
      </c>
      <c r="AC186">
        <v>0.51387700000000003</v>
      </c>
      <c r="AD186">
        <v>0.51387700000000003</v>
      </c>
      <c r="AE186">
        <v>589015500</v>
      </c>
    </row>
    <row r="187" spans="1:31" x14ac:dyDescent="0.25">
      <c r="A187" s="1">
        <v>44707</v>
      </c>
      <c r="B187">
        <v>1945.0333250000001</v>
      </c>
      <c r="C187">
        <v>1962.171143</v>
      </c>
      <c r="D187">
        <v>1759.1995850000001</v>
      </c>
      <c r="E187">
        <v>1803.9133300000001</v>
      </c>
      <c r="F187">
        <v>1803.9133300000001</v>
      </c>
      <c r="G187">
        <v>23458681818</v>
      </c>
      <c r="H187">
        <v>29564.777343999998</v>
      </c>
      <c r="I187">
        <v>29834.160156000002</v>
      </c>
      <c r="J187">
        <v>28261.90625</v>
      </c>
      <c r="K187">
        <v>29267.224609000001</v>
      </c>
      <c r="L187">
        <v>29267.224609000001</v>
      </c>
      <c r="M187">
        <v>36774325352</v>
      </c>
      <c r="N187">
        <v>0.99896700000000005</v>
      </c>
      <c r="O187">
        <v>0.99921199999999999</v>
      </c>
      <c r="P187">
        <v>0.99878299999999998</v>
      </c>
      <c r="Q187">
        <v>0.99890699999999999</v>
      </c>
      <c r="R187">
        <v>0.99890699999999999</v>
      </c>
      <c r="S187">
        <v>67771285444</v>
      </c>
      <c r="T187">
        <v>0.999838</v>
      </c>
      <c r="U187">
        <v>1.001172</v>
      </c>
      <c r="V187">
        <v>0.99973999999999996</v>
      </c>
      <c r="W187">
        <v>0.99992999999999999</v>
      </c>
      <c r="X187">
        <v>0.99992999999999999</v>
      </c>
      <c r="Y187">
        <v>6850921932</v>
      </c>
      <c r="Z187">
        <v>0.51395299999999999</v>
      </c>
      <c r="AA187">
        <v>0.52010800000000001</v>
      </c>
      <c r="AB187">
        <v>0.466368</v>
      </c>
      <c r="AC187">
        <v>0.480883</v>
      </c>
      <c r="AD187">
        <v>0.480883</v>
      </c>
      <c r="AE187">
        <v>909554798</v>
      </c>
    </row>
    <row r="188" spans="1:31" x14ac:dyDescent="0.25">
      <c r="A188" s="1">
        <v>44708</v>
      </c>
      <c r="B188">
        <v>1802.543823</v>
      </c>
      <c r="C188">
        <v>1814.6564940000001</v>
      </c>
      <c r="D188">
        <v>1721.2647710000001</v>
      </c>
      <c r="E188">
        <v>1724.9228519999999</v>
      </c>
      <c r="F188">
        <v>1724.9228519999999</v>
      </c>
      <c r="G188">
        <v>25470760032</v>
      </c>
      <c r="H188">
        <v>29251.140625</v>
      </c>
      <c r="I188">
        <v>29346.943359000001</v>
      </c>
      <c r="J188">
        <v>28326.613281000002</v>
      </c>
      <c r="K188">
        <v>28627.574218999998</v>
      </c>
      <c r="L188">
        <v>28627.574218999998</v>
      </c>
      <c r="M188">
        <v>36582005748</v>
      </c>
      <c r="N188">
        <v>0.99890199999999996</v>
      </c>
      <c r="O188">
        <v>0.99918399999999996</v>
      </c>
      <c r="P188">
        <v>0.99878699999999998</v>
      </c>
      <c r="Q188">
        <v>0.99886299999999995</v>
      </c>
      <c r="R188">
        <v>0.99886299999999995</v>
      </c>
      <c r="S188">
        <v>67961870830</v>
      </c>
      <c r="T188">
        <v>0.99996399999999996</v>
      </c>
      <c r="U188">
        <v>1.001228</v>
      </c>
      <c r="V188">
        <v>0.99970499999999995</v>
      </c>
      <c r="W188">
        <v>1.0004029999999999</v>
      </c>
      <c r="X188">
        <v>1.0004029999999999</v>
      </c>
      <c r="Y188">
        <v>6832701659</v>
      </c>
      <c r="Z188">
        <v>0.48064299999999999</v>
      </c>
      <c r="AA188">
        <v>0.48287099999999999</v>
      </c>
      <c r="AB188">
        <v>0.44736700000000001</v>
      </c>
      <c r="AC188">
        <v>0.455507</v>
      </c>
      <c r="AD188">
        <v>0.455507</v>
      </c>
      <c r="AE188">
        <v>922413717</v>
      </c>
    </row>
    <row r="189" spans="1:31" x14ac:dyDescent="0.25">
      <c r="A189" s="1">
        <v>44709</v>
      </c>
      <c r="B189">
        <v>1724.635986</v>
      </c>
      <c r="C189">
        <v>1757.9417719999999</v>
      </c>
      <c r="D189">
        <v>1724.635986</v>
      </c>
      <c r="E189">
        <v>1757.9417719999999</v>
      </c>
      <c r="F189">
        <v>1757.9417719999999</v>
      </c>
      <c r="G189">
        <v>23214777872</v>
      </c>
      <c r="H189">
        <v>28622.625</v>
      </c>
      <c r="I189">
        <v>28814.900390999999</v>
      </c>
      <c r="J189">
        <v>28554.566406000002</v>
      </c>
      <c r="K189">
        <v>28814.900390999999</v>
      </c>
      <c r="L189">
        <v>28814.900390999999</v>
      </c>
      <c r="M189">
        <v>35519577634</v>
      </c>
      <c r="N189">
        <v>0.99901099999999998</v>
      </c>
      <c r="O189">
        <v>0.99918899999999999</v>
      </c>
      <c r="P189">
        <v>0.99877899999999997</v>
      </c>
      <c r="Q189">
        <v>0.99900199999999995</v>
      </c>
      <c r="R189">
        <v>0.99900199999999995</v>
      </c>
      <c r="S189">
        <v>37159842905</v>
      </c>
      <c r="T189">
        <v>1.000251</v>
      </c>
      <c r="U189">
        <v>1.000847</v>
      </c>
      <c r="V189">
        <v>0.999838</v>
      </c>
      <c r="W189">
        <v>1.0001500000000001</v>
      </c>
      <c r="X189">
        <v>1.0001500000000001</v>
      </c>
      <c r="Y189">
        <v>4367920911</v>
      </c>
      <c r="Z189">
        <v>0.45817600000000003</v>
      </c>
      <c r="AA189">
        <v>0.467449</v>
      </c>
      <c r="AB189">
        <v>0.449708</v>
      </c>
      <c r="AC189">
        <v>0.46476400000000001</v>
      </c>
      <c r="AD189">
        <v>0.46476400000000001</v>
      </c>
      <c r="AE189">
        <v>448858644</v>
      </c>
    </row>
    <row r="190" spans="1:31" x14ac:dyDescent="0.25">
      <c r="A190" s="1">
        <v>44710</v>
      </c>
      <c r="B190">
        <v>1792.184448</v>
      </c>
      <c r="C190">
        <v>1818.776611</v>
      </c>
      <c r="D190">
        <v>1765.9373780000001</v>
      </c>
      <c r="E190">
        <v>1812.0310059999999</v>
      </c>
      <c r="F190">
        <v>1812.0310059999999</v>
      </c>
      <c r="G190">
        <v>10642556101</v>
      </c>
      <c r="H190">
        <v>29019.867188</v>
      </c>
      <c r="I190">
        <v>29498.009765999999</v>
      </c>
      <c r="J190">
        <v>28841.107422000001</v>
      </c>
      <c r="K190">
        <v>29445.957031000002</v>
      </c>
      <c r="L190">
        <v>29445.957031000002</v>
      </c>
      <c r="M190">
        <v>18093886409</v>
      </c>
      <c r="N190">
        <v>0.99900800000000001</v>
      </c>
      <c r="O190">
        <v>0.99924599999999997</v>
      </c>
      <c r="P190">
        <v>0.99890900000000005</v>
      </c>
      <c r="Q190">
        <v>0.99917800000000001</v>
      </c>
      <c r="R190">
        <v>0.99917800000000001</v>
      </c>
      <c r="S190">
        <v>34572061153</v>
      </c>
      <c r="T190">
        <v>1.000149</v>
      </c>
      <c r="U190">
        <v>1.000826</v>
      </c>
      <c r="V190">
        <v>0.99982800000000005</v>
      </c>
      <c r="W190">
        <v>1.000586</v>
      </c>
      <c r="X190">
        <v>1.000586</v>
      </c>
      <c r="Y190">
        <v>3972282488</v>
      </c>
      <c r="Z190">
        <v>0.46473199999999998</v>
      </c>
      <c r="AA190">
        <v>0.48184100000000002</v>
      </c>
      <c r="AB190">
        <v>0.45738000000000001</v>
      </c>
      <c r="AC190">
        <v>0.481126</v>
      </c>
      <c r="AD190">
        <v>0.481126</v>
      </c>
      <c r="AE190">
        <v>444269488</v>
      </c>
    </row>
    <row r="191" spans="1:31" x14ac:dyDescent="0.25">
      <c r="A191" s="1">
        <v>44711</v>
      </c>
      <c r="B191">
        <v>1811.885986</v>
      </c>
      <c r="C191">
        <v>2005.2108149999999</v>
      </c>
      <c r="D191">
        <v>1804.4560550000001</v>
      </c>
      <c r="E191">
        <v>1996.441284</v>
      </c>
      <c r="F191">
        <v>1996.441284</v>
      </c>
      <c r="G191">
        <v>19580808705</v>
      </c>
      <c r="H191">
        <v>29443.365234000001</v>
      </c>
      <c r="I191">
        <v>31949.630859000001</v>
      </c>
      <c r="J191">
        <v>29303.572265999999</v>
      </c>
      <c r="K191">
        <v>31726.390625</v>
      </c>
      <c r="L191">
        <v>31726.390625</v>
      </c>
      <c r="M191">
        <v>39277993274</v>
      </c>
      <c r="N191">
        <v>0.99918700000000005</v>
      </c>
      <c r="O191">
        <v>0.99949699999999997</v>
      </c>
      <c r="P191">
        <v>0.99895800000000001</v>
      </c>
      <c r="Q191">
        <v>0.99937600000000004</v>
      </c>
      <c r="R191">
        <v>0.99937600000000004</v>
      </c>
      <c r="S191">
        <v>65155466235</v>
      </c>
      <c r="T191">
        <v>1.0005679999999999</v>
      </c>
      <c r="U191">
        <v>1.0008710000000001</v>
      </c>
      <c r="V191">
        <v>0.99958199999999997</v>
      </c>
      <c r="W191">
        <v>1.0000990000000001</v>
      </c>
      <c r="X191">
        <v>1.0000990000000001</v>
      </c>
      <c r="Y191">
        <v>6484139842</v>
      </c>
      <c r="Z191">
        <v>0.48113400000000001</v>
      </c>
      <c r="AA191">
        <v>0.57495600000000002</v>
      </c>
      <c r="AB191">
        <v>0.47808299999999998</v>
      </c>
      <c r="AC191">
        <v>0.57007300000000005</v>
      </c>
      <c r="AD191">
        <v>0.57007300000000005</v>
      </c>
      <c r="AE191">
        <v>1185015742</v>
      </c>
    </row>
    <row r="192" spans="1:31" x14ac:dyDescent="0.25">
      <c r="A192" s="1">
        <v>44712</v>
      </c>
      <c r="B192">
        <v>1996.408081</v>
      </c>
      <c r="C192">
        <v>2005.490967</v>
      </c>
      <c r="D192">
        <v>1932.3520510000001</v>
      </c>
      <c r="E192">
        <v>1942.3280030000001</v>
      </c>
      <c r="F192">
        <v>1942.3280030000001</v>
      </c>
      <c r="G192">
        <v>18363115560</v>
      </c>
      <c r="H192">
        <v>31723.865234000001</v>
      </c>
      <c r="I192">
        <v>32249.863281000002</v>
      </c>
      <c r="J192">
        <v>31286.154297000001</v>
      </c>
      <c r="K192">
        <v>31792.310547000001</v>
      </c>
      <c r="L192">
        <v>31792.310547000001</v>
      </c>
      <c r="M192">
        <v>33538210634</v>
      </c>
      <c r="N192">
        <v>0.99937799999999999</v>
      </c>
      <c r="O192">
        <v>0.99949299999999996</v>
      </c>
      <c r="P192">
        <v>0.99928499999999998</v>
      </c>
      <c r="Q192">
        <v>0.99938800000000005</v>
      </c>
      <c r="R192">
        <v>0.99938800000000005</v>
      </c>
      <c r="S192">
        <v>62841794272</v>
      </c>
      <c r="T192">
        <v>1.0000800000000001</v>
      </c>
      <c r="U192">
        <v>1.0007760000000001</v>
      </c>
      <c r="V192">
        <v>0.99977400000000005</v>
      </c>
      <c r="W192">
        <v>1.00021</v>
      </c>
      <c r="X192">
        <v>1.00021</v>
      </c>
      <c r="Y192">
        <v>5896228360</v>
      </c>
      <c r="Z192">
        <v>0.56999999999999995</v>
      </c>
      <c r="AA192">
        <v>0.68231299999999995</v>
      </c>
      <c r="AB192">
        <v>0.56963600000000003</v>
      </c>
      <c r="AC192">
        <v>0.62525399999999998</v>
      </c>
      <c r="AD192">
        <v>0.62525399999999998</v>
      </c>
      <c r="AE192">
        <v>3269050143</v>
      </c>
    </row>
    <row r="193" spans="1:31" x14ac:dyDescent="0.25">
      <c r="A193" s="1">
        <v>44713</v>
      </c>
      <c r="B193">
        <v>1942.050659</v>
      </c>
      <c r="C193">
        <v>1965.166626</v>
      </c>
      <c r="D193">
        <v>1776.0532229999999</v>
      </c>
      <c r="E193">
        <v>1823.569336</v>
      </c>
      <c r="F193">
        <v>1823.569336</v>
      </c>
      <c r="G193">
        <v>21037797760</v>
      </c>
      <c r="H193">
        <v>31792.554688</v>
      </c>
      <c r="I193">
        <v>31957.285156000002</v>
      </c>
      <c r="J193">
        <v>29501.587890999999</v>
      </c>
      <c r="K193">
        <v>29799.080077999999</v>
      </c>
      <c r="L193">
        <v>29799.080077999999</v>
      </c>
      <c r="M193">
        <v>41135817341</v>
      </c>
      <c r="N193">
        <v>0.99938099999999996</v>
      </c>
      <c r="O193">
        <v>0.999502</v>
      </c>
      <c r="P193">
        <v>0.99886900000000001</v>
      </c>
      <c r="Q193">
        <v>0.99926000000000004</v>
      </c>
      <c r="R193">
        <v>0.99926000000000004</v>
      </c>
      <c r="S193">
        <v>68866735590</v>
      </c>
      <c r="T193">
        <v>1.000216</v>
      </c>
      <c r="U193">
        <v>1.000718</v>
      </c>
      <c r="V193">
        <v>0.99971200000000005</v>
      </c>
      <c r="W193">
        <v>1.00013</v>
      </c>
      <c r="X193">
        <v>1.00013</v>
      </c>
      <c r="Y193">
        <v>6158677984</v>
      </c>
      <c r="Z193">
        <v>0.625417</v>
      </c>
      <c r="AA193">
        <v>0.62997700000000001</v>
      </c>
      <c r="AB193">
        <v>0.54080899999999998</v>
      </c>
      <c r="AC193">
        <v>0.55274999999999996</v>
      </c>
      <c r="AD193">
        <v>0.55274999999999996</v>
      </c>
      <c r="AE193">
        <v>1404107650</v>
      </c>
    </row>
    <row r="194" spans="1:31" x14ac:dyDescent="0.25">
      <c r="A194" s="1">
        <v>44714</v>
      </c>
      <c r="B194">
        <v>1822.4121090000001</v>
      </c>
      <c r="C194">
        <v>1845.3139650000001</v>
      </c>
      <c r="D194">
        <v>1789.6641850000001</v>
      </c>
      <c r="E194">
        <v>1834.150513</v>
      </c>
      <c r="F194">
        <v>1834.150513</v>
      </c>
      <c r="G194">
        <v>17065041354</v>
      </c>
      <c r="H194">
        <v>29794.890625</v>
      </c>
      <c r="I194">
        <v>30604.734375</v>
      </c>
      <c r="J194">
        <v>29652.705077999999</v>
      </c>
      <c r="K194">
        <v>30467.488281000002</v>
      </c>
      <c r="L194">
        <v>30467.488281000002</v>
      </c>
      <c r="M194">
        <v>29083562061</v>
      </c>
      <c r="N194">
        <v>0.99923200000000001</v>
      </c>
      <c r="O194">
        <v>0.99949100000000002</v>
      </c>
      <c r="P194">
        <v>0.99910399999999999</v>
      </c>
      <c r="Q194">
        <v>0.99931700000000001</v>
      </c>
      <c r="R194">
        <v>0.99931700000000001</v>
      </c>
      <c r="S194">
        <v>50520845556</v>
      </c>
      <c r="T194">
        <v>1.00014</v>
      </c>
      <c r="U194">
        <v>1.0008079999999999</v>
      </c>
      <c r="V194">
        <v>0.99982400000000005</v>
      </c>
      <c r="W194">
        <v>1.000224</v>
      </c>
      <c r="X194">
        <v>1.000224</v>
      </c>
      <c r="Y194">
        <v>4994899697</v>
      </c>
      <c r="Z194">
        <v>0.55263600000000002</v>
      </c>
      <c r="AA194">
        <v>0.59581099999999998</v>
      </c>
      <c r="AB194">
        <v>0.55044400000000004</v>
      </c>
      <c r="AC194">
        <v>0.58779499999999996</v>
      </c>
      <c r="AD194">
        <v>0.58779499999999996</v>
      </c>
      <c r="AE194">
        <v>1257661647</v>
      </c>
    </row>
    <row r="195" spans="1:31" x14ac:dyDescent="0.25">
      <c r="A195" s="1">
        <v>44715</v>
      </c>
      <c r="B195">
        <v>1834.13501</v>
      </c>
      <c r="C195">
        <v>1840.0588379999999</v>
      </c>
      <c r="D195">
        <v>1746.5097659999999</v>
      </c>
      <c r="E195">
        <v>1775.0786129999999</v>
      </c>
      <c r="F195">
        <v>1775.0786129999999</v>
      </c>
      <c r="G195">
        <v>14878001811</v>
      </c>
      <c r="H195">
        <v>30467.806640999999</v>
      </c>
      <c r="I195">
        <v>30633.035156000002</v>
      </c>
      <c r="J195">
        <v>29375.689452999999</v>
      </c>
      <c r="K195">
        <v>29704.390625</v>
      </c>
      <c r="L195">
        <v>29704.390625</v>
      </c>
      <c r="M195">
        <v>26175547452</v>
      </c>
      <c r="N195">
        <v>0.99929500000000004</v>
      </c>
      <c r="O195">
        <v>0.99949100000000002</v>
      </c>
      <c r="P195">
        <v>0.99902199999999997</v>
      </c>
      <c r="Q195">
        <v>0.99917</v>
      </c>
      <c r="R195">
        <v>0.99917</v>
      </c>
      <c r="S195">
        <v>43789145735</v>
      </c>
      <c r="T195">
        <v>1.000272</v>
      </c>
      <c r="U195">
        <v>1.000761</v>
      </c>
      <c r="V195">
        <v>0.99976500000000001</v>
      </c>
      <c r="W195">
        <v>1.000143</v>
      </c>
      <c r="X195">
        <v>1.000143</v>
      </c>
      <c r="Y195">
        <v>4266590882</v>
      </c>
      <c r="Z195">
        <v>0.58783600000000003</v>
      </c>
      <c r="AA195">
        <v>0.60328999999999999</v>
      </c>
      <c r="AB195">
        <v>0.54148600000000002</v>
      </c>
      <c r="AC195">
        <v>0.55965799999999999</v>
      </c>
      <c r="AD195">
        <v>0.55965799999999999</v>
      </c>
      <c r="AE195">
        <v>910186327</v>
      </c>
    </row>
    <row r="196" spans="1:31" x14ac:dyDescent="0.25">
      <c r="A196" s="1">
        <v>44716</v>
      </c>
      <c r="B196">
        <v>1775.2208250000001</v>
      </c>
      <c r="C196">
        <v>1810.299683</v>
      </c>
      <c r="D196">
        <v>1751.5333250000001</v>
      </c>
      <c r="E196">
        <v>1801.6094969999999</v>
      </c>
      <c r="F196">
        <v>1801.6094969999999</v>
      </c>
      <c r="G196">
        <v>8677951273</v>
      </c>
      <c r="H196">
        <v>29706.138672000001</v>
      </c>
      <c r="I196">
        <v>29930.564452999999</v>
      </c>
      <c r="J196">
        <v>29500.005859000001</v>
      </c>
      <c r="K196">
        <v>29832.914063</v>
      </c>
      <c r="L196">
        <v>29832.914063</v>
      </c>
      <c r="M196">
        <v>16588370958</v>
      </c>
      <c r="N196">
        <v>0.99917400000000001</v>
      </c>
      <c r="O196">
        <v>0.99935700000000005</v>
      </c>
      <c r="P196">
        <v>0.99903200000000003</v>
      </c>
      <c r="Q196">
        <v>0.99931300000000001</v>
      </c>
      <c r="R196">
        <v>0.99931300000000001</v>
      </c>
      <c r="S196">
        <v>30834183068</v>
      </c>
      <c r="T196">
        <v>1.000175</v>
      </c>
      <c r="U196">
        <v>1.000726</v>
      </c>
      <c r="V196">
        <v>0.99982800000000005</v>
      </c>
      <c r="W196">
        <v>1.000243</v>
      </c>
      <c r="X196">
        <v>1.000243</v>
      </c>
      <c r="Y196">
        <v>3190396150</v>
      </c>
      <c r="Z196">
        <v>0.55995700000000004</v>
      </c>
      <c r="AA196">
        <v>0.57057000000000002</v>
      </c>
      <c r="AB196">
        <v>0.54808800000000002</v>
      </c>
      <c r="AC196">
        <v>0.56606900000000004</v>
      </c>
      <c r="AD196">
        <v>0.56606900000000004</v>
      </c>
      <c r="AE196">
        <v>559861766</v>
      </c>
    </row>
    <row r="197" spans="1:31" x14ac:dyDescent="0.25">
      <c r="A197" s="1">
        <v>44717</v>
      </c>
      <c r="B197">
        <v>1801.81897</v>
      </c>
      <c r="C197">
        <v>1825.8596190000001</v>
      </c>
      <c r="D197">
        <v>1777.1333010000001</v>
      </c>
      <c r="E197">
        <v>1805.204956</v>
      </c>
      <c r="F197">
        <v>1805.204956</v>
      </c>
      <c r="G197">
        <v>8850385937</v>
      </c>
      <c r="H197">
        <v>29835.117188</v>
      </c>
      <c r="I197">
        <v>30117.744140999999</v>
      </c>
      <c r="J197">
        <v>29574.449218999998</v>
      </c>
      <c r="K197">
        <v>29906.662109000001</v>
      </c>
      <c r="L197">
        <v>29906.662109000001</v>
      </c>
      <c r="M197">
        <v>17264085441</v>
      </c>
      <c r="N197">
        <v>0.999309</v>
      </c>
      <c r="O197">
        <v>0.99935799999999997</v>
      </c>
      <c r="P197">
        <v>0.99919400000000003</v>
      </c>
      <c r="Q197">
        <v>0.99929599999999996</v>
      </c>
      <c r="R197">
        <v>0.99929599999999996</v>
      </c>
      <c r="S197">
        <v>30872185296</v>
      </c>
      <c r="T197">
        <v>1.000205</v>
      </c>
      <c r="U197">
        <v>1.0009600000000001</v>
      </c>
      <c r="V197">
        <v>0.99988200000000005</v>
      </c>
      <c r="W197">
        <v>1.0001439999999999</v>
      </c>
      <c r="X197">
        <v>1.0001439999999999</v>
      </c>
      <c r="Y197">
        <v>3227635578</v>
      </c>
      <c r="Z197">
        <v>0.56609100000000001</v>
      </c>
      <c r="AA197">
        <v>0.57955299999999998</v>
      </c>
      <c r="AB197">
        <v>0.55639799999999995</v>
      </c>
      <c r="AC197">
        <v>0.56708999999999998</v>
      </c>
      <c r="AD197">
        <v>0.56708999999999998</v>
      </c>
      <c r="AE197">
        <v>478128224</v>
      </c>
    </row>
    <row r="198" spans="1:31" x14ac:dyDescent="0.25">
      <c r="A198" s="1">
        <v>44718</v>
      </c>
      <c r="B198">
        <v>1805.635986</v>
      </c>
      <c r="C198">
        <v>1915.030518</v>
      </c>
      <c r="D198">
        <v>1804.9902340000001</v>
      </c>
      <c r="E198">
        <v>1859.289673</v>
      </c>
      <c r="F198">
        <v>1859.289673</v>
      </c>
      <c r="G198">
        <v>16518471852</v>
      </c>
      <c r="H198">
        <v>29910.283202999999</v>
      </c>
      <c r="I198">
        <v>31693.291015999999</v>
      </c>
      <c r="J198">
        <v>29894.1875</v>
      </c>
      <c r="K198">
        <v>31370.671875</v>
      </c>
      <c r="L198">
        <v>31370.671875</v>
      </c>
      <c r="M198">
        <v>31947336829</v>
      </c>
      <c r="N198">
        <v>0.99928600000000001</v>
      </c>
      <c r="O198">
        <v>0.99953700000000001</v>
      </c>
      <c r="P198">
        <v>0.99922100000000003</v>
      </c>
      <c r="Q198">
        <v>0.99931099999999995</v>
      </c>
      <c r="R198">
        <v>0.99931099999999995</v>
      </c>
      <c r="S198">
        <v>51540243030</v>
      </c>
      <c r="T198">
        <v>1.00014</v>
      </c>
      <c r="U198">
        <v>1.000834</v>
      </c>
      <c r="V198">
        <v>0.999664</v>
      </c>
      <c r="W198">
        <v>1.0000819999999999</v>
      </c>
      <c r="X198">
        <v>1.0000819999999999</v>
      </c>
      <c r="Y198">
        <v>4623471415</v>
      </c>
      <c r="Z198">
        <v>0.56720700000000002</v>
      </c>
      <c r="AA198">
        <v>0.64345200000000002</v>
      </c>
      <c r="AB198">
        <v>0.566608</v>
      </c>
      <c r="AC198">
        <v>0.60932799999999998</v>
      </c>
      <c r="AD198">
        <v>0.60932799999999998</v>
      </c>
      <c r="AE198">
        <v>1417826128</v>
      </c>
    </row>
    <row r="199" spans="1:31" x14ac:dyDescent="0.25">
      <c r="A199" s="1">
        <v>44719</v>
      </c>
      <c r="B199">
        <v>1859.33374</v>
      </c>
      <c r="C199">
        <v>1862.9149170000001</v>
      </c>
      <c r="D199">
        <v>1729.4135739999999</v>
      </c>
      <c r="E199">
        <v>1814.0483400000001</v>
      </c>
      <c r="F199">
        <v>1814.0483400000001</v>
      </c>
      <c r="G199">
        <v>24020076750</v>
      </c>
      <c r="H199">
        <v>31371.742188</v>
      </c>
      <c r="I199">
        <v>31489.683593999998</v>
      </c>
      <c r="J199">
        <v>29311.683593999998</v>
      </c>
      <c r="K199">
        <v>31155.478515999999</v>
      </c>
      <c r="L199">
        <v>31155.478515999999</v>
      </c>
      <c r="M199">
        <v>40770974039</v>
      </c>
      <c r="N199">
        <v>0.99929800000000002</v>
      </c>
      <c r="O199">
        <v>0.99957099999999999</v>
      </c>
      <c r="P199">
        <v>0.99914700000000001</v>
      </c>
      <c r="Q199">
        <v>0.99941400000000002</v>
      </c>
      <c r="R199">
        <v>0.99941400000000002</v>
      </c>
      <c r="S199">
        <v>67008901675</v>
      </c>
      <c r="T199">
        <v>1.000089</v>
      </c>
      <c r="U199">
        <v>1.000847</v>
      </c>
      <c r="V199">
        <v>0.99974200000000002</v>
      </c>
      <c r="W199">
        <v>1.000103</v>
      </c>
      <c r="X199">
        <v>1.000103</v>
      </c>
      <c r="Y199">
        <v>5926284249</v>
      </c>
      <c r="Z199">
        <v>0.60933999999999999</v>
      </c>
      <c r="AA199">
        <v>0.64199300000000004</v>
      </c>
      <c r="AB199">
        <v>0.574847</v>
      </c>
      <c r="AC199">
        <v>0.61544500000000002</v>
      </c>
      <c r="AD199">
        <v>0.61544500000000002</v>
      </c>
      <c r="AE199">
        <v>1450579665</v>
      </c>
    </row>
    <row r="200" spans="1:31" x14ac:dyDescent="0.25">
      <c r="A200" s="1">
        <v>44720</v>
      </c>
      <c r="B200">
        <v>1814.1007079999999</v>
      </c>
      <c r="C200">
        <v>1830.676025</v>
      </c>
      <c r="D200">
        <v>1770.2312010000001</v>
      </c>
      <c r="E200">
        <v>1793.5722659999999</v>
      </c>
      <c r="F200">
        <v>1793.5722659999999</v>
      </c>
      <c r="G200">
        <v>18041476023</v>
      </c>
      <c r="H200">
        <v>31151.480468999998</v>
      </c>
      <c r="I200">
        <v>31253.691406000002</v>
      </c>
      <c r="J200">
        <v>29944.404297000001</v>
      </c>
      <c r="K200">
        <v>30214.355468999998</v>
      </c>
      <c r="L200">
        <v>30214.355468999998</v>
      </c>
      <c r="M200">
        <v>30242059107</v>
      </c>
      <c r="N200">
        <v>0.99941500000000005</v>
      </c>
      <c r="O200">
        <v>0.99956400000000001</v>
      </c>
      <c r="P200">
        <v>0.99919899999999995</v>
      </c>
      <c r="Q200">
        <v>0.99926199999999998</v>
      </c>
      <c r="R200">
        <v>0.99926199999999998</v>
      </c>
      <c r="S200">
        <v>52176620958</v>
      </c>
      <c r="T200">
        <v>1.0000439999999999</v>
      </c>
      <c r="U200">
        <v>1.0008300000000001</v>
      </c>
      <c r="V200">
        <v>0.99979399999999996</v>
      </c>
      <c r="W200">
        <v>1.0002180000000001</v>
      </c>
      <c r="X200">
        <v>1.0002180000000001</v>
      </c>
      <c r="Y200">
        <v>4466105669</v>
      </c>
      <c r="Z200">
        <v>0.61548499999999995</v>
      </c>
      <c r="AA200">
        <v>0.666099</v>
      </c>
      <c r="AB200">
        <v>0.610954</v>
      </c>
      <c r="AC200">
        <v>0.64161400000000002</v>
      </c>
      <c r="AD200">
        <v>0.64161400000000002</v>
      </c>
      <c r="AE200">
        <v>1636846100</v>
      </c>
    </row>
    <row r="201" spans="1:31" x14ac:dyDescent="0.25">
      <c r="A201" s="1">
        <v>44721</v>
      </c>
      <c r="B201">
        <v>1793.512817</v>
      </c>
      <c r="C201">
        <v>1827.293091</v>
      </c>
      <c r="D201">
        <v>1779.8675539999999</v>
      </c>
      <c r="E201">
        <v>1789.8260499999999</v>
      </c>
      <c r="F201">
        <v>1789.8260499999999</v>
      </c>
      <c r="G201">
        <v>12013083393</v>
      </c>
      <c r="H201">
        <v>30215.279297000001</v>
      </c>
      <c r="I201">
        <v>30609.310547000001</v>
      </c>
      <c r="J201">
        <v>30020.265625</v>
      </c>
      <c r="K201">
        <v>30111.998047000001</v>
      </c>
      <c r="L201">
        <v>30111.998047000001</v>
      </c>
      <c r="M201">
        <v>21692004719</v>
      </c>
      <c r="N201">
        <v>0.99927299999999997</v>
      </c>
      <c r="O201">
        <v>0.99949900000000003</v>
      </c>
      <c r="P201">
        <v>0.99915900000000002</v>
      </c>
      <c r="Q201">
        <v>0.99931400000000004</v>
      </c>
      <c r="R201">
        <v>0.99931400000000004</v>
      </c>
      <c r="S201">
        <v>42359067750</v>
      </c>
      <c r="T201">
        <v>1.0002120000000001</v>
      </c>
      <c r="U201">
        <v>1.000632</v>
      </c>
      <c r="V201">
        <v>0.99974700000000005</v>
      </c>
      <c r="W201">
        <v>1.0002439999999999</v>
      </c>
      <c r="X201">
        <v>1.0002439999999999</v>
      </c>
      <c r="Y201">
        <v>3391661643</v>
      </c>
      <c r="Z201">
        <v>0.64164900000000002</v>
      </c>
      <c r="AA201">
        <v>0.65521600000000002</v>
      </c>
      <c r="AB201">
        <v>0.62774600000000003</v>
      </c>
      <c r="AC201">
        <v>0.63292000000000004</v>
      </c>
      <c r="AD201">
        <v>0.63292000000000004</v>
      </c>
      <c r="AE201">
        <v>1166081755</v>
      </c>
    </row>
    <row r="202" spans="1:31" x14ac:dyDescent="0.25">
      <c r="A202" s="1">
        <v>44722</v>
      </c>
      <c r="B202">
        <v>1789.6899410000001</v>
      </c>
      <c r="C202">
        <v>1797.607788</v>
      </c>
      <c r="D202">
        <v>1663.4339600000001</v>
      </c>
      <c r="E202">
        <v>1665.042236</v>
      </c>
      <c r="F202">
        <v>1665.042236</v>
      </c>
      <c r="G202">
        <v>18504740451</v>
      </c>
      <c r="H202">
        <v>30110.330077999999</v>
      </c>
      <c r="I202">
        <v>30245.808593999998</v>
      </c>
      <c r="J202">
        <v>28978.146484000001</v>
      </c>
      <c r="K202">
        <v>29083.804688</v>
      </c>
      <c r="L202">
        <v>29083.804688</v>
      </c>
      <c r="M202">
        <v>29867476527</v>
      </c>
      <c r="N202">
        <v>0.99935200000000002</v>
      </c>
      <c r="O202">
        <v>0.99944500000000003</v>
      </c>
      <c r="P202">
        <v>0.99910900000000002</v>
      </c>
      <c r="Q202">
        <v>0.99917999999999996</v>
      </c>
      <c r="R202">
        <v>0.99917999999999996</v>
      </c>
      <c r="S202">
        <v>49685289881</v>
      </c>
      <c r="T202">
        <v>1.000208</v>
      </c>
      <c r="U202">
        <v>1.0004770000000001</v>
      </c>
      <c r="V202">
        <v>0.99969799999999998</v>
      </c>
      <c r="W202">
        <v>1.0000629999999999</v>
      </c>
      <c r="X202">
        <v>1.0000629999999999</v>
      </c>
      <c r="Y202">
        <v>4483108536</v>
      </c>
      <c r="Z202">
        <v>0.63286299999999995</v>
      </c>
      <c r="AA202">
        <v>0.63508299999999995</v>
      </c>
      <c r="AB202">
        <v>0.573932</v>
      </c>
      <c r="AC202">
        <v>0.57421599999999995</v>
      </c>
      <c r="AD202">
        <v>0.57421599999999995</v>
      </c>
      <c r="AE202">
        <v>1170021356</v>
      </c>
    </row>
    <row r="203" spans="1:31" x14ac:dyDescent="0.25">
      <c r="A203" s="1">
        <v>44723</v>
      </c>
      <c r="B203">
        <v>1665.2178960000001</v>
      </c>
      <c r="C203">
        <v>1679.3142089999999</v>
      </c>
      <c r="D203">
        <v>1507.0389399999999</v>
      </c>
      <c r="E203">
        <v>1529.663452</v>
      </c>
      <c r="F203">
        <v>1529.663452</v>
      </c>
      <c r="G203">
        <v>21127089064</v>
      </c>
      <c r="H203">
        <v>29084.666015999999</v>
      </c>
      <c r="I203">
        <v>29401.916015999999</v>
      </c>
      <c r="J203">
        <v>28236.212890999999</v>
      </c>
      <c r="K203">
        <v>28360.810547000001</v>
      </c>
      <c r="L203">
        <v>28360.810547000001</v>
      </c>
      <c r="M203">
        <v>27246574439</v>
      </c>
      <c r="N203">
        <v>0.99918200000000001</v>
      </c>
      <c r="O203">
        <v>0.99930799999999997</v>
      </c>
      <c r="P203">
        <v>0.99900900000000004</v>
      </c>
      <c r="Q203">
        <v>0.99902500000000005</v>
      </c>
      <c r="R203">
        <v>0.99902500000000005</v>
      </c>
      <c r="S203">
        <v>48736816876</v>
      </c>
      <c r="T203">
        <v>1.0000880000000001</v>
      </c>
      <c r="U203">
        <v>1.001088</v>
      </c>
      <c r="V203">
        <v>0.99973800000000002</v>
      </c>
      <c r="W203">
        <v>1.0000899999999999</v>
      </c>
      <c r="X203">
        <v>1.0000899999999999</v>
      </c>
      <c r="Y203">
        <v>4801662884</v>
      </c>
      <c r="Z203">
        <v>0.574268</v>
      </c>
      <c r="AA203">
        <v>0.61366100000000001</v>
      </c>
      <c r="AB203">
        <v>0.54649700000000001</v>
      </c>
      <c r="AC203">
        <v>0.55277699999999996</v>
      </c>
      <c r="AD203">
        <v>0.55277699999999996</v>
      </c>
      <c r="AE203">
        <v>1232257018</v>
      </c>
    </row>
    <row r="204" spans="1:31" x14ac:dyDescent="0.25">
      <c r="A204" s="1">
        <v>44724</v>
      </c>
      <c r="B204">
        <v>1530.189697</v>
      </c>
      <c r="C204">
        <v>1539.705078</v>
      </c>
      <c r="D204">
        <v>1436.1839600000001</v>
      </c>
      <c r="E204">
        <v>1445.216553</v>
      </c>
      <c r="F204">
        <v>1445.216553</v>
      </c>
      <c r="G204">
        <v>23465074882</v>
      </c>
      <c r="H204">
        <v>28373.513672000001</v>
      </c>
      <c r="I204">
        <v>28502.685547000001</v>
      </c>
      <c r="J204">
        <v>26762.648438</v>
      </c>
      <c r="K204">
        <v>26762.648438</v>
      </c>
      <c r="L204">
        <v>26762.648438</v>
      </c>
      <c r="M204">
        <v>34163220274</v>
      </c>
      <c r="N204">
        <v>0.99901399999999996</v>
      </c>
      <c r="O204">
        <v>0.99914899999999995</v>
      </c>
      <c r="P204">
        <v>0.99884200000000001</v>
      </c>
      <c r="Q204">
        <v>0.99907999999999997</v>
      </c>
      <c r="R204">
        <v>0.99907999999999997</v>
      </c>
      <c r="S204">
        <v>59051274983</v>
      </c>
      <c r="T204">
        <v>1.0001949999999999</v>
      </c>
      <c r="U204">
        <v>1.000915</v>
      </c>
      <c r="V204">
        <v>0.99952700000000005</v>
      </c>
      <c r="W204">
        <v>1.000049</v>
      </c>
      <c r="X204">
        <v>1.000049</v>
      </c>
      <c r="Y204">
        <v>6008997676</v>
      </c>
      <c r="Z204">
        <v>0.55297700000000005</v>
      </c>
      <c r="AA204">
        <v>0.55993000000000004</v>
      </c>
      <c r="AB204">
        <v>0.496861</v>
      </c>
      <c r="AC204">
        <v>0.496861</v>
      </c>
      <c r="AD204">
        <v>0.496861</v>
      </c>
      <c r="AE204">
        <v>1474640183</v>
      </c>
    </row>
    <row r="205" spans="1:31" x14ac:dyDescent="0.25">
      <c r="A205" s="1">
        <v>44725</v>
      </c>
      <c r="B205">
        <v>1443.8354489999999</v>
      </c>
      <c r="C205">
        <v>1448.7380370000001</v>
      </c>
      <c r="D205">
        <v>1181.9482419999999</v>
      </c>
      <c r="E205">
        <v>1204.582764</v>
      </c>
      <c r="F205">
        <v>1204.582764</v>
      </c>
      <c r="G205">
        <v>45162788786</v>
      </c>
      <c r="H205">
        <v>26737.578125</v>
      </c>
      <c r="I205">
        <v>26795.589843999998</v>
      </c>
      <c r="J205">
        <v>22141.257813</v>
      </c>
      <c r="K205">
        <v>22487.388672000001</v>
      </c>
      <c r="L205">
        <v>22487.388672000001</v>
      </c>
      <c r="M205">
        <v>68204556440</v>
      </c>
      <c r="N205">
        <v>0.99906899999999998</v>
      </c>
      <c r="O205">
        <v>0.99912599999999996</v>
      </c>
      <c r="P205">
        <v>0.99754699999999996</v>
      </c>
      <c r="Q205">
        <v>0.99859399999999998</v>
      </c>
      <c r="R205">
        <v>0.99859399999999998</v>
      </c>
      <c r="S205">
        <v>107410569162</v>
      </c>
      <c r="T205">
        <v>0.99997400000000003</v>
      </c>
      <c r="U205">
        <v>1.001117</v>
      </c>
      <c r="V205">
        <v>0.99950099999999997</v>
      </c>
      <c r="W205">
        <v>1.000434</v>
      </c>
      <c r="X205">
        <v>1.000434</v>
      </c>
      <c r="Y205">
        <v>13815639937</v>
      </c>
      <c r="Z205">
        <v>0.49609999999999999</v>
      </c>
      <c r="AA205">
        <v>0.49646299999999999</v>
      </c>
      <c r="AB205">
        <v>0.43920599999999999</v>
      </c>
      <c r="AC205">
        <v>0.46313300000000002</v>
      </c>
      <c r="AD205">
        <v>0.46313300000000002</v>
      </c>
      <c r="AE205">
        <v>2551895485</v>
      </c>
    </row>
    <row r="206" spans="1:31" x14ac:dyDescent="0.25">
      <c r="A206" s="1">
        <v>44726</v>
      </c>
      <c r="B206">
        <v>1204.555298</v>
      </c>
      <c r="C206">
        <v>1252.471802</v>
      </c>
      <c r="D206">
        <v>1094.701904</v>
      </c>
      <c r="E206">
        <v>1211.662842</v>
      </c>
      <c r="F206">
        <v>1211.662842</v>
      </c>
      <c r="G206">
        <v>33327826525</v>
      </c>
      <c r="H206">
        <v>22487.986327999999</v>
      </c>
      <c r="I206">
        <v>23018.951172000001</v>
      </c>
      <c r="J206">
        <v>20950.818359000001</v>
      </c>
      <c r="K206">
        <v>22206.792968999998</v>
      </c>
      <c r="L206">
        <v>22206.792968999998</v>
      </c>
      <c r="M206">
        <v>50913575242</v>
      </c>
      <c r="N206">
        <v>0.99860199999999999</v>
      </c>
      <c r="O206">
        <v>0.999108</v>
      </c>
      <c r="P206">
        <v>0.99855499999999997</v>
      </c>
      <c r="Q206">
        <v>0.99895400000000001</v>
      </c>
      <c r="R206">
        <v>0.99895400000000001</v>
      </c>
      <c r="S206">
        <v>81024425505</v>
      </c>
      <c r="T206">
        <v>1.0005029999999999</v>
      </c>
      <c r="U206">
        <v>1.0012259999999999</v>
      </c>
      <c r="V206">
        <v>0.99959200000000004</v>
      </c>
      <c r="W206">
        <v>1.0007280000000001</v>
      </c>
      <c r="X206">
        <v>1.0007280000000001</v>
      </c>
      <c r="Y206">
        <v>9261666900</v>
      </c>
      <c r="Z206">
        <v>0.46325100000000002</v>
      </c>
      <c r="AA206">
        <v>0.51740299999999995</v>
      </c>
      <c r="AB206">
        <v>0.43853700000000001</v>
      </c>
      <c r="AC206">
        <v>0.48438599999999998</v>
      </c>
      <c r="AD206">
        <v>0.48438599999999998</v>
      </c>
      <c r="AE206">
        <v>2241209963</v>
      </c>
    </row>
    <row r="207" spans="1:31" x14ac:dyDescent="0.25">
      <c r="A207" s="1">
        <v>44727</v>
      </c>
      <c r="B207">
        <v>1211.365967</v>
      </c>
      <c r="C207">
        <v>1236.627563</v>
      </c>
      <c r="D207">
        <v>1025.6842039999999</v>
      </c>
      <c r="E207">
        <v>1233.2064210000001</v>
      </c>
      <c r="F207">
        <v>1233.2064210000001</v>
      </c>
      <c r="G207">
        <v>37539999450</v>
      </c>
      <c r="H207">
        <v>22196.730468999998</v>
      </c>
      <c r="I207">
        <v>22642.671875</v>
      </c>
      <c r="J207">
        <v>20178.376952999999</v>
      </c>
      <c r="K207">
        <v>22572.839843999998</v>
      </c>
      <c r="L207">
        <v>22572.839843999998</v>
      </c>
      <c r="M207">
        <v>54912007015</v>
      </c>
      <c r="N207">
        <v>0.99893399999999999</v>
      </c>
      <c r="O207">
        <v>0.99902299999999999</v>
      </c>
      <c r="P207">
        <v>0.99818300000000004</v>
      </c>
      <c r="Q207">
        <v>0.998942</v>
      </c>
      <c r="R207">
        <v>0.998942</v>
      </c>
      <c r="S207">
        <v>89017006423</v>
      </c>
      <c r="T207">
        <v>1.0006429999999999</v>
      </c>
      <c r="U207">
        <v>1.0013399999999999</v>
      </c>
      <c r="V207">
        <v>0.99977700000000003</v>
      </c>
      <c r="W207">
        <v>1.000704</v>
      </c>
      <c r="X207">
        <v>1.000704</v>
      </c>
      <c r="Y207">
        <v>10865090032</v>
      </c>
      <c r="Z207">
        <v>0.48415999999999998</v>
      </c>
      <c r="AA207">
        <v>0.53679200000000005</v>
      </c>
      <c r="AB207">
        <v>0.450104</v>
      </c>
      <c r="AC207">
        <v>0.53329599999999999</v>
      </c>
      <c r="AD207">
        <v>0.53329599999999999</v>
      </c>
      <c r="AE207">
        <v>2335125416</v>
      </c>
    </row>
    <row r="208" spans="1:31" x14ac:dyDescent="0.25">
      <c r="A208" s="1">
        <v>44728</v>
      </c>
      <c r="B208">
        <v>1233.6035159999999</v>
      </c>
      <c r="C208">
        <v>1246.140625</v>
      </c>
      <c r="D208">
        <v>1058.7845460000001</v>
      </c>
      <c r="E208">
        <v>1067.7307129999999</v>
      </c>
      <c r="F208">
        <v>1067.7307129999999</v>
      </c>
      <c r="G208">
        <v>18907671369</v>
      </c>
      <c r="H208">
        <v>22576.304688</v>
      </c>
      <c r="I208">
        <v>22868.921875</v>
      </c>
      <c r="J208">
        <v>20265.226563</v>
      </c>
      <c r="K208">
        <v>20381.650390999999</v>
      </c>
      <c r="L208">
        <v>20381.650390999999</v>
      </c>
      <c r="M208">
        <v>31183975654</v>
      </c>
      <c r="N208">
        <v>0.99892000000000003</v>
      </c>
      <c r="O208">
        <v>0.99913399999999997</v>
      </c>
      <c r="P208">
        <v>0.99864200000000003</v>
      </c>
      <c r="Q208">
        <v>0.99892999999999998</v>
      </c>
      <c r="R208">
        <v>0.99892999999999998</v>
      </c>
      <c r="S208">
        <v>52400892767</v>
      </c>
      <c r="T208">
        <v>1.0007109999999999</v>
      </c>
      <c r="U208">
        <v>1.000909</v>
      </c>
      <c r="V208">
        <v>0.99978900000000004</v>
      </c>
      <c r="W208">
        <v>1.0003679999999999</v>
      </c>
      <c r="X208">
        <v>1.0003679999999999</v>
      </c>
      <c r="Y208">
        <v>6216714654</v>
      </c>
      <c r="Z208">
        <v>0.53352900000000003</v>
      </c>
      <c r="AA208">
        <v>0.54401699999999997</v>
      </c>
      <c r="AB208">
        <v>0.46901799999999999</v>
      </c>
      <c r="AC208">
        <v>0.475022</v>
      </c>
      <c r="AD208">
        <v>0.475022</v>
      </c>
      <c r="AE208">
        <v>1226235066</v>
      </c>
    </row>
    <row r="209" spans="1:31" x14ac:dyDescent="0.25">
      <c r="A209" s="1">
        <v>44729</v>
      </c>
      <c r="B209">
        <v>1067.9876710000001</v>
      </c>
      <c r="C209">
        <v>1112.471558</v>
      </c>
      <c r="D209">
        <v>1060.8676760000001</v>
      </c>
      <c r="E209">
        <v>1086.5192870000001</v>
      </c>
      <c r="F209">
        <v>1086.5192870000001</v>
      </c>
      <c r="G209">
        <v>14591486540</v>
      </c>
      <c r="H209">
        <v>20385.71875</v>
      </c>
      <c r="I209">
        <v>21243.3125</v>
      </c>
      <c r="J209">
        <v>20326.519531000002</v>
      </c>
      <c r="K209">
        <v>20471.482422000001</v>
      </c>
      <c r="L209">
        <v>20471.482422000001</v>
      </c>
      <c r="M209">
        <v>27132421514</v>
      </c>
      <c r="N209">
        <v>0.99895100000000003</v>
      </c>
      <c r="O209">
        <v>0.99907400000000002</v>
      </c>
      <c r="P209">
        <v>0.99868100000000004</v>
      </c>
      <c r="Q209">
        <v>0.99903600000000004</v>
      </c>
      <c r="R209">
        <v>0.99903600000000004</v>
      </c>
      <c r="S209">
        <v>43836219287</v>
      </c>
      <c r="T209">
        <v>1.0004489999999999</v>
      </c>
      <c r="U209">
        <v>1.001064</v>
      </c>
      <c r="V209">
        <v>0.99992199999999998</v>
      </c>
      <c r="W209">
        <v>1.000208</v>
      </c>
      <c r="X209">
        <v>1.000208</v>
      </c>
      <c r="Y209">
        <v>5283451774</v>
      </c>
      <c r="Z209">
        <v>0.47518300000000002</v>
      </c>
      <c r="AA209">
        <v>0.50273900000000005</v>
      </c>
      <c r="AB209">
        <v>0.47347800000000001</v>
      </c>
      <c r="AC209">
        <v>0.48739199999999999</v>
      </c>
      <c r="AD209">
        <v>0.48739199999999999</v>
      </c>
      <c r="AE209">
        <v>872710309</v>
      </c>
    </row>
    <row r="210" spans="1:31" x14ac:dyDescent="0.25">
      <c r="A210" s="1">
        <v>44730</v>
      </c>
      <c r="B210">
        <v>1086.3779300000001</v>
      </c>
      <c r="C210">
        <v>1095.16687</v>
      </c>
      <c r="D210">
        <v>896.10900900000001</v>
      </c>
      <c r="E210">
        <v>993.63678000000004</v>
      </c>
      <c r="F210">
        <v>993.63678000000004</v>
      </c>
      <c r="G210">
        <v>21655406608</v>
      </c>
      <c r="H210">
        <v>20473.425781000002</v>
      </c>
      <c r="I210">
        <v>20736.041015999999</v>
      </c>
      <c r="J210">
        <v>17708.623047000001</v>
      </c>
      <c r="K210">
        <v>19017.642577999999</v>
      </c>
      <c r="L210">
        <v>19017.642577999999</v>
      </c>
      <c r="M210">
        <v>42009436760</v>
      </c>
      <c r="N210">
        <v>0.99901799999999996</v>
      </c>
      <c r="O210">
        <v>0.99904499999999996</v>
      </c>
      <c r="P210">
        <v>0.99845399999999995</v>
      </c>
      <c r="Q210">
        <v>0.99866699999999997</v>
      </c>
      <c r="R210">
        <v>0.99866699999999997</v>
      </c>
      <c r="S210">
        <v>61973128141</v>
      </c>
      <c r="T210">
        <v>1.000151</v>
      </c>
      <c r="U210">
        <v>1.0013240000000001</v>
      </c>
      <c r="V210">
        <v>0.999587</v>
      </c>
      <c r="W210">
        <v>1.0003150000000001</v>
      </c>
      <c r="X210">
        <v>1.0003150000000001</v>
      </c>
      <c r="Y210">
        <v>7168140282</v>
      </c>
      <c r="Z210">
        <v>0.48736699999999999</v>
      </c>
      <c r="AA210">
        <v>0.49466900000000003</v>
      </c>
      <c r="AB210">
        <v>0.42341899999999999</v>
      </c>
      <c r="AC210">
        <v>0.45618199999999998</v>
      </c>
      <c r="AD210">
        <v>0.45618199999999998</v>
      </c>
      <c r="AE210">
        <v>1214101657</v>
      </c>
    </row>
    <row r="211" spans="1:31" x14ac:dyDescent="0.25">
      <c r="A211" s="1">
        <v>44731</v>
      </c>
      <c r="B211">
        <v>993.40063499999997</v>
      </c>
      <c r="C211">
        <v>1142.3408199999999</v>
      </c>
      <c r="D211">
        <v>943.11633300000005</v>
      </c>
      <c r="E211">
        <v>1127.6564940000001</v>
      </c>
      <c r="F211">
        <v>1127.6564940000001</v>
      </c>
      <c r="G211">
        <v>21795481981</v>
      </c>
      <c r="H211">
        <v>19010.902343999998</v>
      </c>
      <c r="I211">
        <v>20683.822265999999</v>
      </c>
      <c r="J211">
        <v>18067.152343999998</v>
      </c>
      <c r="K211">
        <v>20553.271484000001</v>
      </c>
      <c r="L211">
        <v>20553.271484000001</v>
      </c>
      <c r="M211">
        <v>35329942625</v>
      </c>
      <c r="N211">
        <v>0.99865599999999999</v>
      </c>
      <c r="O211">
        <v>0.99901200000000001</v>
      </c>
      <c r="P211">
        <v>0.99846999999999997</v>
      </c>
      <c r="Q211">
        <v>0.998969</v>
      </c>
      <c r="R211">
        <v>0.998969</v>
      </c>
      <c r="S211">
        <v>55603476684</v>
      </c>
      <c r="T211">
        <v>1.0002580000000001</v>
      </c>
      <c r="U211">
        <v>1.001096</v>
      </c>
      <c r="V211">
        <v>0.99989600000000001</v>
      </c>
      <c r="W211">
        <v>1.0004040000000001</v>
      </c>
      <c r="X211">
        <v>1.0004040000000001</v>
      </c>
      <c r="Y211">
        <v>6073489273</v>
      </c>
      <c r="Z211">
        <v>0.45596999999999999</v>
      </c>
      <c r="AA211">
        <v>0.48722599999999999</v>
      </c>
      <c r="AB211">
        <v>0.43721300000000002</v>
      </c>
      <c r="AC211">
        <v>0.48436400000000002</v>
      </c>
      <c r="AD211">
        <v>0.48436400000000002</v>
      </c>
      <c r="AE211">
        <v>1050008285</v>
      </c>
    </row>
    <row r="212" spans="1:31" x14ac:dyDescent="0.25">
      <c r="A212" s="1">
        <v>44732</v>
      </c>
      <c r="B212">
        <v>1127.65625</v>
      </c>
      <c r="C212">
        <v>1159.9853519999999</v>
      </c>
      <c r="D212">
        <v>1066.113159</v>
      </c>
      <c r="E212">
        <v>1127.642456</v>
      </c>
      <c r="F212">
        <v>1127.642456</v>
      </c>
      <c r="G212">
        <v>19739691429</v>
      </c>
      <c r="H212">
        <v>20553.371093999998</v>
      </c>
      <c r="I212">
        <v>20913.322265999999</v>
      </c>
      <c r="J212">
        <v>19689.169922000001</v>
      </c>
      <c r="K212">
        <v>20599.537109000001</v>
      </c>
      <c r="L212">
        <v>20599.537109000001</v>
      </c>
      <c r="M212">
        <v>30818458597</v>
      </c>
      <c r="N212">
        <v>0.99894700000000003</v>
      </c>
      <c r="O212">
        <v>0.99911099999999997</v>
      </c>
      <c r="P212">
        <v>0.99862899999999999</v>
      </c>
      <c r="Q212">
        <v>0.99895699999999998</v>
      </c>
      <c r="R212">
        <v>0.99895699999999998</v>
      </c>
      <c r="S212">
        <v>52157987688</v>
      </c>
      <c r="T212">
        <v>1.0004090000000001</v>
      </c>
      <c r="U212">
        <v>1.000983</v>
      </c>
      <c r="V212">
        <v>0.99984399999999996</v>
      </c>
      <c r="W212">
        <v>1.0001519999999999</v>
      </c>
      <c r="X212">
        <v>1.0001519999999999</v>
      </c>
      <c r="Y212">
        <v>5394231917</v>
      </c>
      <c r="Z212">
        <v>0.48440299999999997</v>
      </c>
      <c r="AA212">
        <v>0.507965</v>
      </c>
      <c r="AB212">
        <v>0.46288600000000002</v>
      </c>
      <c r="AC212">
        <v>0.492261</v>
      </c>
      <c r="AD212">
        <v>0.492261</v>
      </c>
      <c r="AE212">
        <v>1096263588</v>
      </c>
    </row>
    <row r="213" spans="1:31" x14ac:dyDescent="0.25">
      <c r="A213" s="1">
        <v>44733</v>
      </c>
      <c r="B213">
        <v>1127.511841</v>
      </c>
      <c r="C213">
        <v>1185.432495</v>
      </c>
      <c r="D213">
        <v>1112.5726320000001</v>
      </c>
      <c r="E213">
        <v>1124.8245850000001</v>
      </c>
      <c r="F213">
        <v>1124.8245850000001</v>
      </c>
      <c r="G213">
        <v>15632089439</v>
      </c>
      <c r="H213">
        <v>20594.294922000001</v>
      </c>
      <c r="I213">
        <v>21620.628906000002</v>
      </c>
      <c r="J213">
        <v>20415.0625</v>
      </c>
      <c r="K213">
        <v>20710.597656000002</v>
      </c>
      <c r="L213">
        <v>20710.597656000002</v>
      </c>
      <c r="M213">
        <v>28970212744</v>
      </c>
      <c r="N213">
        <v>0.99897100000000005</v>
      </c>
      <c r="O213">
        <v>0.99920600000000004</v>
      </c>
      <c r="P213">
        <v>0.99889799999999995</v>
      </c>
      <c r="Q213">
        <v>0.99909400000000004</v>
      </c>
      <c r="R213">
        <v>0.99909400000000004</v>
      </c>
      <c r="S213">
        <v>50165859626</v>
      </c>
      <c r="T213">
        <v>1.0001800000000001</v>
      </c>
      <c r="U213">
        <v>1.001109</v>
      </c>
      <c r="V213">
        <v>0.99983900000000003</v>
      </c>
      <c r="W213">
        <v>0.99994300000000003</v>
      </c>
      <c r="X213">
        <v>0.99994300000000003</v>
      </c>
      <c r="Y213">
        <v>4898540814</v>
      </c>
      <c r="Z213">
        <v>0.49226999999999999</v>
      </c>
      <c r="AA213">
        <v>0.50972799999999996</v>
      </c>
      <c r="AB213">
        <v>0.47731800000000002</v>
      </c>
      <c r="AC213">
        <v>0.47920400000000002</v>
      </c>
      <c r="AD213">
        <v>0.47920400000000002</v>
      </c>
      <c r="AE213">
        <v>1018828248</v>
      </c>
    </row>
    <row r="214" spans="1:31" x14ac:dyDescent="0.25">
      <c r="A214" s="1">
        <v>44734</v>
      </c>
      <c r="B214">
        <v>1125.3729249999999</v>
      </c>
      <c r="C214">
        <v>1126.2617190000001</v>
      </c>
      <c r="D214">
        <v>1049.7633060000001</v>
      </c>
      <c r="E214">
        <v>1051.421875</v>
      </c>
      <c r="F214">
        <v>1051.421875</v>
      </c>
      <c r="G214">
        <v>15010593493</v>
      </c>
      <c r="H214">
        <v>20719.414063</v>
      </c>
      <c r="I214">
        <v>20835.75</v>
      </c>
      <c r="J214">
        <v>19848.078125</v>
      </c>
      <c r="K214">
        <v>19987.029297000001</v>
      </c>
      <c r="L214">
        <v>19987.029297000001</v>
      </c>
      <c r="M214">
        <v>28574793478</v>
      </c>
      <c r="N214">
        <v>0.99909300000000001</v>
      </c>
      <c r="O214">
        <v>0.99912599999999996</v>
      </c>
      <c r="P214">
        <v>0.99887199999999998</v>
      </c>
      <c r="Q214">
        <v>0.99909499999999996</v>
      </c>
      <c r="R214">
        <v>0.99909499999999996</v>
      </c>
      <c r="S214">
        <v>46130025676</v>
      </c>
      <c r="T214">
        <v>0.99996399999999996</v>
      </c>
      <c r="U214">
        <v>1.000791</v>
      </c>
      <c r="V214">
        <v>0.99962799999999996</v>
      </c>
      <c r="W214">
        <v>1.000108</v>
      </c>
      <c r="X214">
        <v>1.000108</v>
      </c>
      <c r="Y214">
        <v>4567777097</v>
      </c>
      <c r="Z214">
        <v>0.47950599999999999</v>
      </c>
      <c r="AA214">
        <v>0.48099599999999998</v>
      </c>
      <c r="AB214">
        <v>0.45794299999999999</v>
      </c>
      <c r="AC214">
        <v>0.45856799999999998</v>
      </c>
      <c r="AD214">
        <v>0.45856799999999998</v>
      </c>
      <c r="AE214">
        <v>818977392</v>
      </c>
    </row>
    <row r="215" spans="1:31" x14ac:dyDescent="0.25">
      <c r="A215" s="1">
        <v>44735</v>
      </c>
      <c r="B215">
        <v>1051.329346</v>
      </c>
      <c r="C215">
        <v>1146.494263</v>
      </c>
      <c r="D215">
        <v>1050.2196039999999</v>
      </c>
      <c r="E215">
        <v>1143.3867190000001</v>
      </c>
      <c r="F215">
        <v>1143.3867190000001</v>
      </c>
      <c r="G215">
        <v>14657862919</v>
      </c>
      <c r="H215">
        <v>19986.607422000001</v>
      </c>
      <c r="I215">
        <v>21135.761718999998</v>
      </c>
      <c r="J215">
        <v>19950.117188</v>
      </c>
      <c r="K215">
        <v>21085.876952999999</v>
      </c>
      <c r="L215">
        <v>21085.876952999999</v>
      </c>
      <c r="M215">
        <v>26188097173</v>
      </c>
      <c r="N215">
        <v>0.99909599999999998</v>
      </c>
      <c r="O215">
        <v>0.99932799999999999</v>
      </c>
      <c r="P215">
        <v>0.99889799999999995</v>
      </c>
      <c r="Q215">
        <v>0.99927999999999995</v>
      </c>
      <c r="R215">
        <v>0.99927999999999995</v>
      </c>
      <c r="S215">
        <v>43198538082</v>
      </c>
      <c r="T215">
        <v>1.0000929999999999</v>
      </c>
      <c r="U215">
        <v>1.0007790000000001</v>
      </c>
      <c r="V215">
        <v>0.99981900000000001</v>
      </c>
      <c r="W215">
        <v>1.0005390000000001</v>
      </c>
      <c r="X215">
        <v>1.0005390000000001</v>
      </c>
      <c r="Y215">
        <v>4598601365</v>
      </c>
      <c r="Z215">
        <v>0.458652</v>
      </c>
      <c r="AA215">
        <v>0.48222100000000001</v>
      </c>
      <c r="AB215">
        <v>0.45804</v>
      </c>
      <c r="AC215">
        <v>0.480292</v>
      </c>
      <c r="AD215">
        <v>0.480292</v>
      </c>
      <c r="AE215">
        <v>711554788</v>
      </c>
    </row>
    <row r="216" spans="1:31" x14ac:dyDescent="0.25">
      <c r="A216" s="1">
        <v>44736</v>
      </c>
      <c r="B216">
        <v>1143.204712</v>
      </c>
      <c r="C216">
        <v>1238.616943</v>
      </c>
      <c r="D216">
        <v>1134.514038</v>
      </c>
      <c r="E216">
        <v>1226.8447269999999</v>
      </c>
      <c r="F216">
        <v>1226.8447269999999</v>
      </c>
      <c r="G216">
        <v>16981552654</v>
      </c>
      <c r="H216">
        <v>21084.648438</v>
      </c>
      <c r="I216">
        <v>21472.917968999998</v>
      </c>
      <c r="J216">
        <v>20777.511718999998</v>
      </c>
      <c r="K216">
        <v>21231.65625</v>
      </c>
      <c r="L216">
        <v>21231.65625</v>
      </c>
      <c r="M216">
        <v>24957784918</v>
      </c>
      <c r="N216">
        <v>0.99925900000000001</v>
      </c>
      <c r="O216">
        <v>0.99950399999999995</v>
      </c>
      <c r="P216">
        <v>0.99913700000000005</v>
      </c>
      <c r="Q216">
        <v>0.99932500000000002</v>
      </c>
      <c r="R216">
        <v>0.99932500000000002</v>
      </c>
      <c r="S216">
        <v>46919267632</v>
      </c>
      <c r="T216">
        <v>1.0005599999999999</v>
      </c>
      <c r="U216">
        <v>1.0006200000000001</v>
      </c>
      <c r="V216">
        <v>0.999807</v>
      </c>
      <c r="W216">
        <v>0.99986399999999998</v>
      </c>
      <c r="X216">
        <v>0.99986399999999998</v>
      </c>
      <c r="Y216">
        <v>5032854948</v>
      </c>
      <c r="Z216">
        <v>0.48019899999999999</v>
      </c>
      <c r="AA216">
        <v>0.50881600000000005</v>
      </c>
      <c r="AB216">
        <v>0.477045</v>
      </c>
      <c r="AC216">
        <v>0.499224</v>
      </c>
      <c r="AD216">
        <v>0.499224</v>
      </c>
      <c r="AE216">
        <v>945924412</v>
      </c>
    </row>
    <row r="217" spans="1:31" x14ac:dyDescent="0.25">
      <c r="A217" s="1">
        <v>44737</v>
      </c>
      <c r="B217">
        <v>1226.724731</v>
      </c>
      <c r="C217">
        <v>1246.3942870000001</v>
      </c>
      <c r="D217">
        <v>1184.5620120000001</v>
      </c>
      <c r="E217">
        <v>1243.446899</v>
      </c>
      <c r="F217">
        <v>1243.446899</v>
      </c>
      <c r="G217">
        <v>12481946184</v>
      </c>
      <c r="H217">
        <v>21233.609375</v>
      </c>
      <c r="I217">
        <v>21520.914063</v>
      </c>
      <c r="J217">
        <v>20964.585938</v>
      </c>
      <c r="K217">
        <v>21502.337890999999</v>
      </c>
      <c r="L217">
        <v>21502.337890999999</v>
      </c>
      <c r="M217">
        <v>18372538715</v>
      </c>
      <c r="N217">
        <v>0.999336</v>
      </c>
      <c r="O217">
        <v>0.99961100000000003</v>
      </c>
      <c r="P217">
        <v>0.99927299999999997</v>
      </c>
      <c r="Q217">
        <v>0.99954799999999999</v>
      </c>
      <c r="R217">
        <v>0.99954799999999999</v>
      </c>
      <c r="S217">
        <v>36390241725</v>
      </c>
      <c r="T217">
        <v>0.99992000000000003</v>
      </c>
      <c r="U217">
        <v>1.0006600000000001</v>
      </c>
      <c r="V217">
        <v>0.99966200000000005</v>
      </c>
      <c r="W217">
        <v>1.0001040000000001</v>
      </c>
      <c r="X217">
        <v>1.0001040000000001</v>
      </c>
      <c r="Y217">
        <v>3411506544</v>
      </c>
      <c r="Z217">
        <v>0.49923299999999998</v>
      </c>
      <c r="AA217">
        <v>0.50694300000000003</v>
      </c>
      <c r="AB217">
        <v>0.47951700000000003</v>
      </c>
      <c r="AC217">
        <v>0.498946</v>
      </c>
      <c r="AD217">
        <v>0.498946</v>
      </c>
      <c r="AE217">
        <v>649820170</v>
      </c>
    </row>
    <row r="218" spans="1:31" x14ac:dyDescent="0.25">
      <c r="A218" s="1">
        <v>44738</v>
      </c>
      <c r="B218">
        <v>1242.9875489999999</v>
      </c>
      <c r="C218">
        <v>1272.131226</v>
      </c>
      <c r="D218">
        <v>1199.4063719999999</v>
      </c>
      <c r="E218">
        <v>1199.8316649999999</v>
      </c>
      <c r="F218">
        <v>1199.8316649999999</v>
      </c>
      <c r="G218">
        <v>12096607824</v>
      </c>
      <c r="H218">
        <v>21496.494140999999</v>
      </c>
      <c r="I218">
        <v>21783.724609000001</v>
      </c>
      <c r="J218">
        <v>21016.269531000002</v>
      </c>
      <c r="K218">
        <v>21027.294922000001</v>
      </c>
      <c r="L218">
        <v>21027.294922000001</v>
      </c>
      <c r="M218">
        <v>18027170497</v>
      </c>
      <c r="N218">
        <v>0.99955099999999997</v>
      </c>
      <c r="O218">
        <v>0.99959500000000001</v>
      </c>
      <c r="P218">
        <v>0.99937399999999998</v>
      </c>
      <c r="Q218">
        <v>0.99939800000000001</v>
      </c>
      <c r="R218">
        <v>0.99939800000000001</v>
      </c>
      <c r="S218">
        <v>37228683270</v>
      </c>
      <c r="T218">
        <v>1.0000830000000001</v>
      </c>
      <c r="U218">
        <v>1.0007360000000001</v>
      </c>
      <c r="V218">
        <v>0.99981200000000003</v>
      </c>
      <c r="W218">
        <v>0.99981299999999995</v>
      </c>
      <c r="X218">
        <v>0.99981299999999995</v>
      </c>
      <c r="Y218">
        <v>3243270528</v>
      </c>
      <c r="Z218">
        <v>0.49887599999999999</v>
      </c>
      <c r="AA218">
        <v>0.52403699999999998</v>
      </c>
      <c r="AB218">
        <v>0.48942600000000003</v>
      </c>
      <c r="AC218">
        <v>0.489653</v>
      </c>
      <c r="AD218">
        <v>0.489653</v>
      </c>
      <c r="AE218">
        <v>842528877</v>
      </c>
    </row>
    <row r="219" spans="1:31" x14ac:dyDescent="0.25">
      <c r="A219" s="1">
        <v>44739</v>
      </c>
      <c r="B219">
        <v>1199.713135</v>
      </c>
      <c r="C219">
        <v>1234.1807859999999</v>
      </c>
      <c r="D219">
        <v>1179.7924800000001</v>
      </c>
      <c r="E219">
        <v>1193.680664</v>
      </c>
      <c r="F219">
        <v>1193.680664</v>
      </c>
      <c r="G219">
        <v>12492225250</v>
      </c>
      <c r="H219">
        <v>21028.238281000002</v>
      </c>
      <c r="I219">
        <v>21478.089843999998</v>
      </c>
      <c r="J219">
        <v>20620.199218999998</v>
      </c>
      <c r="K219">
        <v>20735.478515999999</v>
      </c>
      <c r="L219">
        <v>20735.478515999999</v>
      </c>
      <c r="M219">
        <v>20965695707</v>
      </c>
      <c r="N219">
        <v>0.99945799999999996</v>
      </c>
      <c r="O219">
        <v>0.99959900000000002</v>
      </c>
      <c r="P219">
        <v>0.99898399999999998</v>
      </c>
      <c r="Q219">
        <v>0.99909199999999998</v>
      </c>
      <c r="R219">
        <v>0.99909199999999998</v>
      </c>
      <c r="S219">
        <v>39296953700</v>
      </c>
      <c r="T219">
        <v>1.0000089999999999</v>
      </c>
      <c r="U219">
        <v>1.000637</v>
      </c>
      <c r="V219">
        <v>0.99977300000000002</v>
      </c>
      <c r="W219">
        <v>1.0001660000000001</v>
      </c>
      <c r="X219">
        <v>1.0001660000000001</v>
      </c>
      <c r="Y219">
        <v>3977297459</v>
      </c>
      <c r="Z219">
        <v>0.48955799999999999</v>
      </c>
      <c r="AA219">
        <v>0.50761500000000004</v>
      </c>
      <c r="AB219">
        <v>0.47861999999999999</v>
      </c>
      <c r="AC219">
        <v>0.48579</v>
      </c>
      <c r="AD219">
        <v>0.48579</v>
      </c>
      <c r="AE219">
        <v>709992597</v>
      </c>
    </row>
    <row r="220" spans="1:31" x14ac:dyDescent="0.25">
      <c r="A220" s="1">
        <v>44740</v>
      </c>
      <c r="B220">
        <v>1193.2540280000001</v>
      </c>
      <c r="C220">
        <v>1229.739014</v>
      </c>
      <c r="D220">
        <v>1141.159668</v>
      </c>
      <c r="E220">
        <v>1144.5792240000001</v>
      </c>
      <c r="F220">
        <v>1144.5792240000001</v>
      </c>
      <c r="G220">
        <v>14023205651</v>
      </c>
      <c r="H220">
        <v>20731.544922000001</v>
      </c>
      <c r="I220">
        <v>21164.423827999999</v>
      </c>
      <c r="J220">
        <v>20228.8125</v>
      </c>
      <c r="K220">
        <v>20280.634765999999</v>
      </c>
      <c r="L220">
        <v>20280.634765999999</v>
      </c>
      <c r="M220">
        <v>21381535161</v>
      </c>
      <c r="N220">
        <v>0.99910399999999999</v>
      </c>
      <c r="O220">
        <v>0.99913399999999997</v>
      </c>
      <c r="P220">
        <v>0.99878199999999995</v>
      </c>
      <c r="Q220">
        <v>0.99883200000000005</v>
      </c>
      <c r="R220">
        <v>0.99883200000000005</v>
      </c>
      <c r="S220">
        <v>40773930242</v>
      </c>
      <c r="T220">
        <v>1.0001230000000001</v>
      </c>
      <c r="U220">
        <v>1.0006870000000001</v>
      </c>
      <c r="V220">
        <v>0.99981500000000001</v>
      </c>
      <c r="W220">
        <v>1.00014</v>
      </c>
      <c r="X220">
        <v>1.00014</v>
      </c>
      <c r="Y220">
        <v>4237935225</v>
      </c>
      <c r="Z220">
        <v>0.48557099999999997</v>
      </c>
      <c r="AA220">
        <v>0.49654399999999999</v>
      </c>
      <c r="AB220">
        <v>0.46822799999999998</v>
      </c>
      <c r="AC220">
        <v>0.46967100000000001</v>
      </c>
      <c r="AD220">
        <v>0.46967100000000001</v>
      </c>
      <c r="AE220">
        <v>724759074</v>
      </c>
    </row>
    <row r="221" spans="1:31" x14ac:dyDescent="0.25">
      <c r="A221" s="1">
        <v>44741</v>
      </c>
      <c r="B221">
        <v>1144.524414</v>
      </c>
      <c r="C221">
        <v>1152.684814</v>
      </c>
      <c r="D221">
        <v>1092.099121</v>
      </c>
      <c r="E221">
        <v>1098.9438479999999</v>
      </c>
      <c r="F221">
        <v>1098.9438479999999</v>
      </c>
      <c r="G221">
        <v>15386286815</v>
      </c>
      <c r="H221">
        <v>20281.169922000001</v>
      </c>
      <c r="I221">
        <v>20364.15625</v>
      </c>
      <c r="J221">
        <v>19937.791015999999</v>
      </c>
      <c r="K221">
        <v>20104.023438</v>
      </c>
      <c r="L221">
        <v>20104.023438</v>
      </c>
      <c r="M221">
        <v>23552740328</v>
      </c>
      <c r="N221">
        <v>0.99884399999999995</v>
      </c>
      <c r="O221">
        <v>0.999058</v>
      </c>
      <c r="P221">
        <v>0.99851900000000005</v>
      </c>
      <c r="Q221">
        <v>0.99888399999999999</v>
      </c>
      <c r="R221">
        <v>0.99888399999999999</v>
      </c>
      <c r="S221">
        <v>44380636377</v>
      </c>
      <c r="T221">
        <v>1.000121</v>
      </c>
      <c r="U221">
        <v>1.0006820000000001</v>
      </c>
      <c r="V221">
        <v>0.99983699999999998</v>
      </c>
      <c r="W221">
        <v>1.0003649999999999</v>
      </c>
      <c r="X221">
        <v>1.0003649999999999</v>
      </c>
      <c r="Y221">
        <v>5094612628</v>
      </c>
      <c r="Z221">
        <v>0.46967300000000001</v>
      </c>
      <c r="AA221">
        <v>0.47591600000000001</v>
      </c>
      <c r="AB221">
        <v>0.46046300000000001</v>
      </c>
      <c r="AC221">
        <v>0.46550900000000001</v>
      </c>
      <c r="AD221">
        <v>0.46550900000000001</v>
      </c>
      <c r="AE221">
        <v>769352065</v>
      </c>
    </row>
    <row r="222" spans="1:31" x14ac:dyDescent="0.25">
      <c r="A222" s="1">
        <v>44742</v>
      </c>
      <c r="B222">
        <v>1099.353149</v>
      </c>
      <c r="C222">
        <v>1103.6904300000001</v>
      </c>
      <c r="D222">
        <v>1009.094849</v>
      </c>
      <c r="E222">
        <v>1067.298828</v>
      </c>
      <c r="F222">
        <v>1067.298828</v>
      </c>
      <c r="G222">
        <v>16350755497</v>
      </c>
      <c r="H222">
        <v>20108.3125</v>
      </c>
      <c r="I222">
        <v>20141.160156000002</v>
      </c>
      <c r="J222">
        <v>18729.65625</v>
      </c>
      <c r="K222">
        <v>19784.726563</v>
      </c>
      <c r="L222">
        <v>19784.726563</v>
      </c>
      <c r="M222">
        <v>26267239923</v>
      </c>
      <c r="N222">
        <v>0.998888</v>
      </c>
      <c r="O222">
        <v>0.99909300000000001</v>
      </c>
      <c r="P222">
        <v>0.99876200000000004</v>
      </c>
      <c r="Q222">
        <v>0.99881900000000001</v>
      </c>
      <c r="R222">
        <v>0.99881900000000001</v>
      </c>
      <c r="S222">
        <v>45578518327</v>
      </c>
      <c r="T222">
        <v>1.0003930000000001</v>
      </c>
      <c r="U222">
        <v>1.000793</v>
      </c>
      <c r="V222">
        <v>0.99974399999999997</v>
      </c>
      <c r="W222">
        <v>0.99991399999999997</v>
      </c>
      <c r="X222">
        <v>0.99991399999999997</v>
      </c>
      <c r="Y222">
        <v>5219514116</v>
      </c>
      <c r="Z222">
        <v>0.46560200000000002</v>
      </c>
      <c r="AA222">
        <v>0.46673599999999998</v>
      </c>
      <c r="AB222">
        <v>0.43618499999999999</v>
      </c>
      <c r="AC222">
        <v>0.45884900000000001</v>
      </c>
      <c r="AD222">
        <v>0.45884900000000001</v>
      </c>
      <c r="AE222">
        <v>903962268</v>
      </c>
    </row>
    <row r="223" spans="1:31" x14ac:dyDescent="0.25">
      <c r="A223" s="1">
        <v>44743</v>
      </c>
      <c r="B223">
        <v>1068.3167719999999</v>
      </c>
      <c r="C223">
        <v>1100.2238769999999</v>
      </c>
      <c r="D223">
        <v>1040.1507570000001</v>
      </c>
      <c r="E223">
        <v>1059.7673339999999</v>
      </c>
      <c r="F223">
        <v>1059.7673339999999</v>
      </c>
      <c r="G223">
        <v>17499453625</v>
      </c>
      <c r="H223">
        <v>19820.470702999999</v>
      </c>
      <c r="I223">
        <v>20632.671875</v>
      </c>
      <c r="J223">
        <v>19073.708984000001</v>
      </c>
      <c r="K223">
        <v>19269.367188</v>
      </c>
      <c r="L223">
        <v>19269.367188</v>
      </c>
      <c r="M223">
        <v>30767551159</v>
      </c>
      <c r="N223">
        <v>0.99885999999999997</v>
      </c>
      <c r="O223">
        <v>0.99913700000000005</v>
      </c>
      <c r="P223">
        <v>0.99870499999999995</v>
      </c>
      <c r="Q223">
        <v>0.99886699999999995</v>
      </c>
      <c r="R223">
        <v>0.99886699999999995</v>
      </c>
      <c r="S223">
        <v>49683415220</v>
      </c>
      <c r="T223">
        <v>1.0000899999999999</v>
      </c>
      <c r="U223">
        <v>1.000659</v>
      </c>
      <c r="V223">
        <v>0.99981200000000003</v>
      </c>
      <c r="W223">
        <v>1.0001770000000001</v>
      </c>
      <c r="X223">
        <v>1.0001770000000001</v>
      </c>
      <c r="Y223">
        <v>5311122206</v>
      </c>
      <c r="Z223">
        <v>0.459312</v>
      </c>
      <c r="AA223">
        <v>0.47031200000000001</v>
      </c>
      <c r="AB223">
        <v>0.44441000000000003</v>
      </c>
      <c r="AC223">
        <v>0.44808900000000002</v>
      </c>
      <c r="AD223">
        <v>0.44808900000000002</v>
      </c>
      <c r="AE223">
        <v>796619668</v>
      </c>
    </row>
    <row r="224" spans="1:31" x14ac:dyDescent="0.25">
      <c r="A224" s="1">
        <v>44744</v>
      </c>
      <c r="B224">
        <v>1060.121216</v>
      </c>
      <c r="C224">
        <v>1073.052612</v>
      </c>
      <c r="D224">
        <v>1033.962158</v>
      </c>
      <c r="E224">
        <v>1066.512817</v>
      </c>
      <c r="F224">
        <v>1066.512817</v>
      </c>
      <c r="G224">
        <v>9935603640</v>
      </c>
      <c r="H224">
        <v>19274.835938</v>
      </c>
      <c r="I224">
        <v>19371.748047000001</v>
      </c>
      <c r="J224">
        <v>19027.082031000002</v>
      </c>
      <c r="K224">
        <v>19242.255859000001</v>
      </c>
      <c r="L224">
        <v>19242.255859000001</v>
      </c>
      <c r="M224">
        <v>18100418740</v>
      </c>
      <c r="N224">
        <v>0.99885500000000005</v>
      </c>
      <c r="O224">
        <v>0.99911899999999998</v>
      </c>
      <c r="P224">
        <v>0.99882700000000002</v>
      </c>
      <c r="Q224">
        <v>0.99895999999999996</v>
      </c>
      <c r="R224">
        <v>0.99895999999999996</v>
      </c>
      <c r="S224">
        <v>31666712588</v>
      </c>
      <c r="T224">
        <v>1.000216</v>
      </c>
      <c r="U224">
        <v>1.000677</v>
      </c>
      <c r="V224">
        <v>0.99967799999999996</v>
      </c>
      <c r="W224">
        <v>0.99997100000000005</v>
      </c>
      <c r="X224">
        <v>0.99997100000000005</v>
      </c>
      <c r="Y224">
        <v>3973778503</v>
      </c>
      <c r="Z224">
        <v>0.44818000000000002</v>
      </c>
      <c r="AA224">
        <v>0.460592</v>
      </c>
      <c r="AB224">
        <v>0.442332</v>
      </c>
      <c r="AC224">
        <v>0.45635100000000001</v>
      </c>
      <c r="AD224">
        <v>0.45635100000000001</v>
      </c>
      <c r="AE224">
        <v>494852064</v>
      </c>
    </row>
    <row r="225" spans="1:31" x14ac:dyDescent="0.25">
      <c r="A225" s="1">
        <v>44745</v>
      </c>
      <c r="B225">
        <v>1066.4674070000001</v>
      </c>
      <c r="C225">
        <v>1083.4189449999999</v>
      </c>
      <c r="D225">
        <v>1044.005615</v>
      </c>
      <c r="E225">
        <v>1073.7669679999999</v>
      </c>
      <c r="F225">
        <v>1073.7669679999999</v>
      </c>
      <c r="G225">
        <v>8557248150</v>
      </c>
      <c r="H225">
        <v>19242.095702999999</v>
      </c>
      <c r="I225">
        <v>19558.269531000002</v>
      </c>
      <c r="J225">
        <v>18966.951172000001</v>
      </c>
      <c r="K225">
        <v>19297.076172000001</v>
      </c>
      <c r="L225">
        <v>19297.076172000001</v>
      </c>
      <c r="M225">
        <v>16390821947</v>
      </c>
      <c r="N225">
        <v>0.99895299999999998</v>
      </c>
      <c r="O225">
        <v>0.99912800000000002</v>
      </c>
      <c r="P225">
        <v>0.99889099999999997</v>
      </c>
      <c r="Q225">
        <v>0.99907800000000002</v>
      </c>
      <c r="R225">
        <v>0.99907800000000002</v>
      </c>
      <c r="S225">
        <v>27890770459</v>
      </c>
      <c r="T225">
        <v>0.99995999999999996</v>
      </c>
      <c r="U225">
        <v>1.0006550000000001</v>
      </c>
      <c r="V225">
        <v>0.99977300000000002</v>
      </c>
      <c r="W225">
        <v>1.000372</v>
      </c>
      <c r="X225">
        <v>1.000372</v>
      </c>
      <c r="Y225">
        <v>3614447154</v>
      </c>
      <c r="Z225">
        <v>0.45632099999999998</v>
      </c>
      <c r="AA225">
        <v>0.45888200000000001</v>
      </c>
      <c r="AB225">
        <v>0.444546</v>
      </c>
      <c r="AC225">
        <v>0.45558700000000002</v>
      </c>
      <c r="AD225">
        <v>0.45558700000000002</v>
      </c>
      <c r="AE225">
        <v>439469536</v>
      </c>
    </row>
    <row r="226" spans="1:31" x14ac:dyDescent="0.25">
      <c r="A226" s="1">
        <v>44746</v>
      </c>
      <c r="B226">
        <v>1073.794312</v>
      </c>
      <c r="C226">
        <v>1152.9438479999999</v>
      </c>
      <c r="D226">
        <v>1048.396362</v>
      </c>
      <c r="E226">
        <v>1151.059082</v>
      </c>
      <c r="F226">
        <v>1151.059082</v>
      </c>
      <c r="G226">
        <v>13670889311</v>
      </c>
      <c r="H226">
        <v>19297.314452999999</v>
      </c>
      <c r="I226">
        <v>20258.748047000001</v>
      </c>
      <c r="J226">
        <v>19063.066406000002</v>
      </c>
      <c r="K226">
        <v>20231.261718999998</v>
      </c>
      <c r="L226">
        <v>20231.261718999998</v>
      </c>
      <c r="M226">
        <v>21594638208</v>
      </c>
      <c r="N226">
        <v>0.99907100000000004</v>
      </c>
      <c r="O226">
        <v>0.99922299999999997</v>
      </c>
      <c r="P226">
        <v>0.99899099999999996</v>
      </c>
      <c r="Q226">
        <v>0.99910900000000002</v>
      </c>
      <c r="R226">
        <v>0.99910900000000002</v>
      </c>
      <c r="S226">
        <v>37816157114</v>
      </c>
      <c r="T226">
        <v>1.0003569999999999</v>
      </c>
      <c r="U226">
        <v>1.0007299999999999</v>
      </c>
      <c r="V226">
        <v>0.99981200000000003</v>
      </c>
      <c r="W226">
        <v>1.0003059999999999</v>
      </c>
      <c r="X226">
        <v>1.0003059999999999</v>
      </c>
      <c r="Y226">
        <v>5032411793</v>
      </c>
      <c r="Z226">
        <v>0.45561200000000002</v>
      </c>
      <c r="AA226">
        <v>0.47320899999999999</v>
      </c>
      <c r="AB226">
        <v>0.445301</v>
      </c>
      <c r="AC226">
        <v>0.46964400000000001</v>
      </c>
      <c r="AD226">
        <v>0.46964400000000001</v>
      </c>
      <c r="AE226">
        <v>808524892</v>
      </c>
    </row>
    <row r="227" spans="1:31" x14ac:dyDescent="0.25">
      <c r="A227" s="1">
        <v>44747</v>
      </c>
      <c r="B227">
        <v>1150.5097659999999</v>
      </c>
      <c r="C227">
        <v>1165.6827390000001</v>
      </c>
      <c r="D227">
        <v>1086.829956</v>
      </c>
      <c r="E227">
        <v>1134.5410159999999</v>
      </c>
      <c r="F227">
        <v>1134.5410159999999</v>
      </c>
      <c r="G227">
        <v>16195518291</v>
      </c>
      <c r="H227">
        <v>20225.353515999999</v>
      </c>
      <c r="I227">
        <v>20635.466797000001</v>
      </c>
      <c r="J227">
        <v>19341.232422000001</v>
      </c>
      <c r="K227">
        <v>20190.115234000001</v>
      </c>
      <c r="L227">
        <v>20190.115234000001</v>
      </c>
      <c r="M227">
        <v>26715546990</v>
      </c>
      <c r="N227">
        <v>0.99911799999999995</v>
      </c>
      <c r="O227">
        <v>0.99924800000000003</v>
      </c>
      <c r="P227">
        <v>0.99893600000000005</v>
      </c>
      <c r="Q227">
        <v>0.99909199999999998</v>
      </c>
      <c r="R227">
        <v>0.99909199999999998</v>
      </c>
      <c r="S227">
        <v>46794873591</v>
      </c>
      <c r="T227">
        <v>1.0003359999999999</v>
      </c>
      <c r="U227">
        <v>1.0005820000000001</v>
      </c>
      <c r="V227">
        <v>0.99980899999999995</v>
      </c>
      <c r="W227">
        <v>1.0000530000000001</v>
      </c>
      <c r="X227">
        <v>1.0000530000000001</v>
      </c>
      <c r="Y227">
        <v>6243487902</v>
      </c>
      <c r="Z227">
        <v>0.46956900000000001</v>
      </c>
      <c r="AA227">
        <v>0.47067300000000001</v>
      </c>
      <c r="AB227">
        <v>0.44544</v>
      </c>
      <c r="AC227">
        <v>0.45763199999999998</v>
      </c>
      <c r="AD227">
        <v>0.45763199999999998</v>
      </c>
      <c r="AE227">
        <v>766706338</v>
      </c>
    </row>
    <row r="228" spans="1:31" x14ac:dyDescent="0.25">
      <c r="A228" s="1">
        <v>44748</v>
      </c>
      <c r="B228">
        <v>1134.8222659999999</v>
      </c>
      <c r="C228">
        <v>1193.6367190000001</v>
      </c>
      <c r="D228">
        <v>1116.2475589999999</v>
      </c>
      <c r="E228">
        <v>1186.973999</v>
      </c>
      <c r="F228">
        <v>1186.973999</v>
      </c>
      <c r="G228">
        <v>15373536703</v>
      </c>
      <c r="H228">
        <v>20194.619140999999</v>
      </c>
      <c r="I228">
        <v>20595.529297000001</v>
      </c>
      <c r="J228">
        <v>19823.511718999998</v>
      </c>
      <c r="K228">
        <v>20548.246093999998</v>
      </c>
      <c r="L228">
        <v>20548.246093999998</v>
      </c>
      <c r="M228">
        <v>24598943708</v>
      </c>
      <c r="N228">
        <v>0.99909499999999996</v>
      </c>
      <c r="O228">
        <v>0.99922100000000003</v>
      </c>
      <c r="P228">
        <v>0.99895999999999996</v>
      </c>
      <c r="Q228">
        <v>0.99909800000000004</v>
      </c>
      <c r="R228">
        <v>0.99909800000000004</v>
      </c>
      <c r="S228">
        <v>41932894214</v>
      </c>
      <c r="T228">
        <v>1.0001119999999999</v>
      </c>
      <c r="U228">
        <v>1.0007809999999999</v>
      </c>
      <c r="V228">
        <v>0.99973500000000004</v>
      </c>
      <c r="W228">
        <v>0.99987899999999996</v>
      </c>
      <c r="X228">
        <v>0.99987899999999996</v>
      </c>
      <c r="Y228">
        <v>5406302050</v>
      </c>
      <c r="Z228">
        <v>0.45766800000000002</v>
      </c>
      <c r="AA228">
        <v>0.46429100000000001</v>
      </c>
      <c r="AB228">
        <v>0.44911499999999999</v>
      </c>
      <c r="AC228">
        <v>0.46217900000000001</v>
      </c>
      <c r="AD228">
        <v>0.46217900000000001</v>
      </c>
      <c r="AE228">
        <v>622551308</v>
      </c>
    </row>
    <row r="229" spans="1:31" x14ac:dyDescent="0.25">
      <c r="A229" s="1">
        <v>44749</v>
      </c>
      <c r="B229">
        <v>1186.9609379999999</v>
      </c>
      <c r="C229">
        <v>1246.8948969999999</v>
      </c>
      <c r="D229">
        <v>1165.623169</v>
      </c>
      <c r="E229">
        <v>1237.593384</v>
      </c>
      <c r="F229">
        <v>1237.593384</v>
      </c>
      <c r="G229">
        <v>14230795894</v>
      </c>
      <c r="H229">
        <v>20547.814452999999</v>
      </c>
      <c r="I229">
        <v>21771.816406000002</v>
      </c>
      <c r="J229">
        <v>20296.103515999999</v>
      </c>
      <c r="K229">
        <v>21637.587890999999</v>
      </c>
      <c r="L229">
        <v>21637.587890999999</v>
      </c>
      <c r="M229">
        <v>25814972520</v>
      </c>
      <c r="N229">
        <v>0.999089</v>
      </c>
      <c r="O229">
        <v>0.99950600000000001</v>
      </c>
      <c r="P229">
        <v>0.99901899999999999</v>
      </c>
      <c r="Q229">
        <v>0.99944599999999995</v>
      </c>
      <c r="R229">
        <v>0.99944599999999995</v>
      </c>
      <c r="S229">
        <v>41395542117</v>
      </c>
      <c r="T229">
        <v>0.99989300000000003</v>
      </c>
      <c r="U229">
        <v>1.0006189999999999</v>
      </c>
      <c r="V229">
        <v>0.99975899999999995</v>
      </c>
      <c r="W229">
        <v>1.000092</v>
      </c>
      <c r="X229">
        <v>1.000092</v>
      </c>
      <c r="Y229">
        <v>5521739581</v>
      </c>
      <c r="Z229">
        <v>0.46221000000000001</v>
      </c>
      <c r="AA229">
        <v>0.48194500000000001</v>
      </c>
      <c r="AB229">
        <v>0.461557</v>
      </c>
      <c r="AC229">
        <v>0.47781200000000001</v>
      </c>
      <c r="AD229">
        <v>0.47781200000000001</v>
      </c>
      <c r="AE229">
        <v>619107061</v>
      </c>
    </row>
    <row r="230" spans="1:31" x14ac:dyDescent="0.25">
      <c r="A230" s="1">
        <v>44750</v>
      </c>
      <c r="B230">
        <v>1237.580322</v>
      </c>
      <c r="C230">
        <v>1262.8857419999999</v>
      </c>
      <c r="D230">
        <v>1200.632202</v>
      </c>
      <c r="E230">
        <v>1222.506226</v>
      </c>
      <c r="F230">
        <v>1222.506226</v>
      </c>
      <c r="G230">
        <v>16315929082</v>
      </c>
      <c r="H230">
        <v>21637.154297000001</v>
      </c>
      <c r="I230">
        <v>22314.941406000002</v>
      </c>
      <c r="J230">
        <v>21257.453125</v>
      </c>
      <c r="K230">
        <v>21731.117188</v>
      </c>
      <c r="L230">
        <v>21731.117188</v>
      </c>
      <c r="M230">
        <v>49899834488</v>
      </c>
      <c r="N230">
        <v>0.99941100000000005</v>
      </c>
      <c r="O230">
        <v>0.99957600000000002</v>
      </c>
      <c r="P230">
        <v>0.99928499999999998</v>
      </c>
      <c r="Q230">
        <v>0.99941800000000003</v>
      </c>
      <c r="R230">
        <v>0.99941800000000003</v>
      </c>
      <c r="S230">
        <v>64720676603</v>
      </c>
      <c r="T230">
        <v>1.000105</v>
      </c>
      <c r="U230">
        <v>1.0007109999999999</v>
      </c>
      <c r="V230">
        <v>0.99963500000000005</v>
      </c>
      <c r="W230">
        <v>0.99977800000000006</v>
      </c>
      <c r="X230">
        <v>0.99977800000000006</v>
      </c>
      <c r="Y230">
        <v>6142274118</v>
      </c>
      <c r="Z230">
        <v>0.47781699999999999</v>
      </c>
      <c r="AA230">
        <v>0.49091699999999999</v>
      </c>
      <c r="AB230">
        <v>0.46191599999999999</v>
      </c>
      <c r="AC230">
        <v>0.46731099999999998</v>
      </c>
      <c r="AD230">
        <v>0.46731099999999998</v>
      </c>
      <c r="AE230">
        <v>827327238</v>
      </c>
    </row>
    <row r="231" spans="1:31" x14ac:dyDescent="0.25">
      <c r="A231" s="1">
        <v>44751</v>
      </c>
      <c r="B231">
        <v>1222.306885</v>
      </c>
      <c r="C231">
        <v>1228.7679439999999</v>
      </c>
      <c r="D231">
        <v>1209.377563</v>
      </c>
      <c r="E231">
        <v>1216.9782709999999</v>
      </c>
      <c r="F231">
        <v>1216.9782709999999</v>
      </c>
      <c r="G231">
        <v>8821353104</v>
      </c>
      <c r="H231">
        <v>21716.828125</v>
      </c>
      <c r="I231">
        <v>21877.138672000001</v>
      </c>
      <c r="J231">
        <v>21445.957031000002</v>
      </c>
      <c r="K231">
        <v>21592.207031000002</v>
      </c>
      <c r="L231">
        <v>21592.207031000002</v>
      </c>
      <c r="M231">
        <v>29641127858</v>
      </c>
      <c r="N231">
        <v>0.99942200000000003</v>
      </c>
      <c r="O231">
        <v>0.99957200000000002</v>
      </c>
      <c r="P231">
        <v>0.99933300000000003</v>
      </c>
      <c r="Q231">
        <v>0.99953800000000004</v>
      </c>
      <c r="R231">
        <v>0.99953800000000004</v>
      </c>
      <c r="S231">
        <v>38957001478</v>
      </c>
      <c r="T231">
        <v>0.999915</v>
      </c>
      <c r="U231">
        <v>1.0005250000000001</v>
      </c>
      <c r="V231">
        <v>0.99981200000000003</v>
      </c>
      <c r="W231">
        <v>1.000046</v>
      </c>
      <c r="X231">
        <v>1.000046</v>
      </c>
      <c r="Y231">
        <v>4905270940</v>
      </c>
      <c r="Z231">
        <v>0.46728999999999998</v>
      </c>
      <c r="AA231">
        <v>0.484265</v>
      </c>
      <c r="AB231">
        <v>0.46649099999999999</v>
      </c>
      <c r="AC231">
        <v>0.47876000000000002</v>
      </c>
      <c r="AD231">
        <v>0.47876000000000002</v>
      </c>
      <c r="AE231">
        <v>666827059</v>
      </c>
    </row>
    <row r="232" spans="1:31" x14ac:dyDescent="0.25">
      <c r="A232" s="1">
        <v>44752</v>
      </c>
      <c r="B232">
        <v>1216.904419</v>
      </c>
      <c r="C232">
        <v>1216.904419</v>
      </c>
      <c r="D232">
        <v>1157.1755370000001</v>
      </c>
      <c r="E232">
        <v>1168.401611</v>
      </c>
      <c r="F232">
        <v>1168.401611</v>
      </c>
      <c r="G232">
        <v>10984558039</v>
      </c>
      <c r="H232">
        <v>21591.080077999999</v>
      </c>
      <c r="I232">
        <v>21591.080077999999</v>
      </c>
      <c r="J232">
        <v>20727.123047000001</v>
      </c>
      <c r="K232">
        <v>20860.449218999998</v>
      </c>
      <c r="L232">
        <v>20860.449218999998</v>
      </c>
      <c r="M232">
        <v>28688807249</v>
      </c>
      <c r="N232">
        <v>0.99953899999999996</v>
      </c>
      <c r="O232">
        <v>0.99962899999999999</v>
      </c>
      <c r="P232">
        <v>0.99939599999999995</v>
      </c>
      <c r="Q232">
        <v>0.99946500000000005</v>
      </c>
      <c r="R232">
        <v>0.99946500000000005</v>
      </c>
      <c r="S232">
        <v>40170710077</v>
      </c>
      <c r="T232">
        <v>1.0000599999999999</v>
      </c>
      <c r="U232">
        <v>1.0003869999999999</v>
      </c>
      <c r="V232">
        <v>0.99970199999999998</v>
      </c>
      <c r="W232">
        <v>1.0000290000000001</v>
      </c>
      <c r="X232">
        <v>1.0000290000000001</v>
      </c>
      <c r="Y232">
        <v>4439375698</v>
      </c>
      <c r="Z232">
        <v>0.478771</v>
      </c>
      <c r="AA232">
        <v>0.47942899999999999</v>
      </c>
      <c r="AB232">
        <v>0.457067</v>
      </c>
      <c r="AC232">
        <v>0.46322000000000002</v>
      </c>
      <c r="AD232">
        <v>0.46322000000000002</v>
      </c>
      <c r="AE232">
        <v>612314122</v>
      </c>
    </row>
    <row r="233" spans="1:31" x14ac:dyDescent="0.25">
      <c r="A233" s="1">
        <v>44753</v>
      </c>
      <c r="B233">
        <v>1168.139038</v>
      </c>
      <c r="C233">
        <v>1169.1938479999999</v>
      </c>
      <c r="D233">
        <v>1095.002808</v>
      </c>
      <c r="E233">
        <v>1097.236572</v>
      </c>
      <c r="F233">
        <v>1097.236572</v>
      </c>
      <c r="G233">
        <v>12064180410</v>
      </c>
      <c r="H233">
        <v>20856.353515999999</v>
      </c>
      <c r="I233">
        <v>20856.353515999999</v>
      </c>
      <c r="J233">
        <v>19924.539063</v>
      </c>
      <c r="K233">
        <v>19970.556640999999</v>
      </c>
      <c r="L233">
        <v>19970.556640999999</v>
      </c>
      <c r="M233">
        <v>24150249025</v>
      </c>
      <c r="N233">
        <v>0.99945600000000001</v>
      </c>
      <c r="O233">
        <v>0.99957600000000002</v>
      </c>
      <c r="P233">
        <v>0.99912800000000002</v>
      </c>
      <c r="Q233">
        <v>0.99922500000000003</v>
      </c>
      <c r="R233">
        <v>0.99922500000000003</v>
      </c>
      <c r="S233">
        <v>38726869251</v>
      </c>
      <c r="T233">
        <v>1.000046</v>
      </c>
      <c r="U233">
        <v>1.0006520000000001</v>
      </c>
      <c r="V233">
        <v>0.999726</v>
      </c>
      <c r="W233">
        <v>1.0001690000000001</v>
      </c>
      <c r="X233">
        <v>1.0001690000000001</v>
      </c>
      <c r="Y233">
        <v>4843512117</v>
      </c>
      <c r="Z233">
        <v>0.46318100000000001</v>
      </c>
      <c r="AA233">
        <v>0.46318100000000001</v>
      </c>
      <c r="AB233">
        <v>0.433865</v>
      </c>
      <c r="AC233">
        <v>0.43552000000000002</v>
      </c>
      <c r="AD233">
        <v>0.43552000000000002</v>
      </c>
      <c r="AE233">
        <v>737643033</v>
      </c>
    </row>
    <row r="234" spans="1:31" x14ac:dyDescent="0.25">
      <c r="A234" s="1">
        <v>44754</v>
      </c>
      <c r="B234">
        <v>1097.259155</v>
      </c>
      <c r="C234">
        <v>1097.259155</v>
      </c>
      <c r="D234">
        <v>1038.13562</v>
      </c>
      <c r="E234">
        <v>1038.19165</v>
      </c>
      <c r="F234">
        <v>1038.19165</v>
      </c>
      <c r="G234">
        <v>12583282453</v>
      </c>
      <c r="H234">
        <v>19970.474609000001</v>
      </c>
      <c r="I234">
        <v>20043.445313</v>
      </c>
      <c r="J234">
        <v>19308.53125</v>
      </c>
      <c r="K234">
        <v>19323.914063</v>
      </c>
      <c r="L234">
        <v>19323.914063</v>
      </c>
      <c r="M234">
        <v>25810220018</v>
      </c>
      <c r="N234">
        <v>0.99922500000000003</v>
      </c>
      <c r="O234">
        <v>0.99938000000000005</v>
      </c>
      <c r="P234">
        <v>0.99911799999999995</v>
      </c>
      <c r="Q234">
        <v>0.99934299999999998</v>
      </c>
      <c r="R234">
        <v>0.99934299999999998</v>
      </c>
      <c r="S234">
        <v>40368791506</v>
      </c>
      <c r="T234">
        <v>1.0001709999999999</v>
      </c>
      <c r="U234">
        <v>1.0005740000000001</v>
      </c>
      <c r="V234">
        <v>0.99968599999999996</v>
      </c>
      <c r="W234">
        <v>0.99985299999999999</v>
      </c>
      <c r="X234">
        <v>0.99985299999999999</v>
      </c>
      <c r="Y234">
        <v>4780296209</v>
      </c>
      <c r="Z234">
        <v>0.435581</v>
      </c>
      <c r="AA234">
        <v>0.44090600000000002</v>
      </c>
      <c r="AB234">
        <v>0.417435</v>
      </c>
      <c r="AC234">
        <v>0.41792800000000002</v>
      </c>
      <c r="AD234">
        <v>0.41792800000000002</v>
      </c>
      <c r="AE234">
        <v>707915451</v>
      </c>
    </row>
    <row r="235" spans="1:31" x14ac:dyDescent="0.25">
      <c r="A235" s="1">
        <v>44755</v>
      </c>
      <c r="B235">
        <v>1038.1866460000001</v>
      </c>
      <c r="C235">
        <v>1113.587158</v>
      </c>
      <c r="D235">
        <v>1019.220337</v>
      </c>
      <c r="E235">
        <v>1113.587158</v>
      </c>
      <c r="F235">
        <v>1113.587158</v>
      </c>
      <c r="G235">
        <v>18302588147</v>
      </c>
      <c r="H235">
        <v>19325.972656000002</v>
      </c>
      <c r="I235">
        <v>20223.052734000001</v>
      </c>
      <c r="J235">
        <v>18999.953125</v>
      </c>
      <c r="K235">
        <v>20212.074218999998</v>
      </c>
      <c r="L235">
        <v>20212.074218999998</v>
      </c>
      <c r="M235">
        <v>33042430345</v>
      </c>
      <c r="N235">
        <v>0.99934199999999995</v>
      </c>
      <c r="O235">
        <v>0.99942900000000001</v>
      </c>
      <c r="P235">
        <v>0.99915699999999996</v>
      </c>
      <c r="Q235">
        <v>0.99938400000000005</v>
      </c>
      <c r="R235">
        <v>0.99938400000000005</v>
      </c>
      <c r="S235">
        <v>51757860849</v>
      </c>
      <c r="T235">
        <v>0.99990999999999997</v>
      </c>
      <c r="U235">
        <v>1.000788</v>
      </c>
      <c r="V235">
        <v>0.99953499999999995</v>
      </c>
      <c r="W235">
        <v>1.0000469999999999</v>
      </c>
      <c r="X235">
        <v>1.0000469999999999</v>
      </c>
      <c r="Y235">
        <v>5445116047</v>
      </c>
      <c r="Z235">
        <v>0.417881</v>
      </c>
      <c r="AA235">
        <v>0.43973000000000001</v>
      </c>
      <c r="AB235">
        <v>0.40643699999999999</v>
      </c>
      <c r="AC235">
        <v>0.438108</v>
      </c>
      <c r="AD235">
        <v>0.438108</v>
      </c>
      <c r="AE235">
        <v>977278539</v>
      </c>
    </row>
    <row r="236" spans="1:31" x14ac:dyDescent="0.25">
      <c r="A236" s="1">
        <v>44756</v>
      </c>
      <c r="B236">
        <v>1113.5157469999999</v>
      </c>
      <c r="C236">
        <v>1202.9533690000001</v>
      </c>
      <c r="D236">
        <v>1077.4057620000001</v>
      </c>
      <c r="E236">
        <v>1191.526245</v>
      </c>
      <c r="F236">
        <v>1191.526245</v>
      </c>
      <c r="G236">
        <v>16688640823</v>
      </c>
      <c r="H236">
        <v>20211.466797000001</v>
      </c>
      <c r="I236">
        <v>20789.894531000002</v>
      </c>
      <c r="J236">
        <v>19689.257813</v>
      </c>
      <c r="K236">
        <v>20569.919922000001</v>
      </c>
      <c r="L236">
        <v>20569.919922000001</v>
      </c>
      <c r="M236">
        <v>31158743333</v>
      </c>
      <c r="N236">
        <v>0.999394</v>
      </c>
      <c r="O236">
        <v>0.99953999999999998</v>
      </c>
      <c r="P236">
        <v>0.99930200000000002</v>
      </c>
      <c r="Q236">
        <v>0.99940700000000005</v>
      </c>
      <c r="R236">
        <v>0.99940700000000005</v>
      </c>
      <c r="S236">
        <v>49222660233</v>
      </c>
      <c r="T236">
        <v>1.0001640000000001</v>
      </c>
      <c r="U236">
        <v>1.000475</v>
      </c>
      <c r="V236">
        <v>0.99970800000000004</v>
      </c>
      <c r="W236">
        <v>0.99999700000000002</v>
      </c>
      <c r="X236">
        <v>0.99999700000000002</v>
      </c>
      <c r="Y236">
        <v>5345559224</v>
      </c>
      <c r="Z236">
        <v>0.43805699999999997</v>
      </c>
      <c r="AA236">
        <v>0.44441900000000001</v>
      </c>
      <c r="AB236">
        <v>0.41774099999999997</v>
      </c>
      <c r="AC236">
        <v>0.441025</v>
      </c>
      <c r="AD236">
        <v>0.441025</v>
      </c>
      <c r="AE236">
        <v>861474952</v>
      </c>
    </row>
    <row r="237" spans="1:31" x14ac:dyDescent="0.25">
      <c r="A237" s="1">
        <v>44757</v>
      </c>
      <c r="B237">
        <v>1191.6748050000001</v>
      </c>
      <c r="C237">
        <v>1275.778198</v>
      </c>
      <c r="D237">
        <v>1182.903198</v>
      </c>
      <c r="E237">
        <v>1233.12915</v>
      </c>
      <c r="F237">
        <v>1233.12915</v>
      </c>
      <c r="G237">
        <v>17411448225</v>
      </c>
      <c r="H237">
        <v>20573.15625</v>
      </c>
      <c r="I237">
        <v>21138.244140999999</v>
      </c>
      <c r="J237">
        <v>20397</v>
      </c>
      <c r="K237">
        <v>20836.328125</v>
      </c>
      <c r="L237">
        <v>20836.328125</v>
      </c>
      <c r="M237">
        <v>25905575359</v>
      </c>
      <c r="N237">
        <v>0.99938499999999997</v>
      </c>
      <c r="O237">
        <v>0.99974399999999997</v>
      </c>
      <c r="P237">
        <v>0.99934699999999999</v>
      </c>
      <c r="Q237">
        <v>0.99970599999999998</v>
      </c>
      <c r="R237">
        <v>0.99970599999999998</v>
      </c>
      <c r="S237">
        <v>45982487607</v>
      </c>
      <c r="T237">
        <v>1.0000089999999999</v>
      </c>
      <c r="U237">
        <v>1.0004649999999999</v>
      </c>
      <c r="V237">
        <v>0.99960000000000004</v>
      </c>
      <c r="W237">
        <v>0.99996300000000005</v>
      </c>
      <c r="X237">
        <v>0.99996300000000005</v>
      </c>
      <c r="Y237">
        <v>5646216485</v>
      </c>
      <c r="Z237">
        <v>0.44111499999999998</v>
      </c>
      <c r="AA237">
        <v>0.45156000000000002</v>
      </c>
      <c r="AB237">
        <v>0.43396800000000002</v>
      </c>
      <c r="AC237">
        <v>0.44245600000000002</v>
      </c>
      <c r="AD237">
        <v>0.44245600000000002</v>
      </c>
      <c r="AE237">
        <v>739541229</v>
      </c>
    </row>
    <row r="238" spans="1:31" x14ac:dyDescent="0.25">
      <c r="A238" s="1">
        <v>44758</v>
      </c>
      <c r="B238">
        <v>1232.791626</v>
      </c>
      <c r="C238">
        <v>1377.9445800000001</v>
      </c>
      <c r="D238">
        <v>1195.605957</v>
      </c>
      <c r="E238">
        <v>1352.6264650000001</v>
      </c>
      <c r="F238">
        <v>1352.6264650000001</v>
      </c>
      <c r="G238">
        <v>18364013796</v>
      </c>
      <c r="H238">
        <v>20834.103515999999</v>
      </c>
      <c r="I238">
        <v>21514.404297000001</v>
      </c>
      <c r="J238">
        <v>20518.898438</v>
      </c>
      <c r="K238">
        <v>21190.316406000002</v>
      </c>
      <c r="L238">
        <v>21190.316406000002</v>
      </c>
      <c r="M238">
        <v>24302954056</v>
      </c>
      <c r="N238">
        <v>0.99970099999999995</v>
      </c>
      <c r="O238">
        <v>0.99987999999999999</v>
      </c>
      <c r="P238">
        <v>0.99968299999999999</v>
      </c>
      <c r="Q238">
        <v>0.99977400000000005</v>
      </c>
      <c r="R238">
        <v>0.99977400000000005</v>
      </c>
      <c r="S238">
        <v>44126749597</v>
      </c>
      <c r="T238">
        <v>0.999946</v>
      </c>
      <c r="U238">
        <v>1.0008649999999999</v>
      </c>
      <c r="V238">
        <v>0.99958899999999995</v>
      </c>
      <c r="W238">
        <v>1.000151</v>
      </c>
      <c r="X238">
        <v>1.000151</v>
      </c>
      <c r="Y238">
        <v>5382938984</v>
      </c>
      <c r="Z238">
        <v>0.44244499999999998</v>
      </c>
      <c r="AA238">
        <v>0.45792699999999997</v>
      </c>
      <c r="AB238">
        <v>0.43245800000000001</v>
      </c>
      <c r="AC238">
        <v>0.45723000000000003</v>
      </c>
      <c r="AD238">
        <v>0.45723000000000003</v>
      </c>
      <c r="AE238">
        <v>653009372</v>
      </c>
    </row>
    <row r="239" spans="1:31" x14ac:dyDescent="0.25">
      <c r="A239" s="1">
        <v>44759</v>
      </c>
      <c r="B239">
        <v>1353.205078</v>
      </c>
      <c r="C239">
        <v>1378.4174800000001</v>
      </c>
      <c r="D239">
        <v>1329.7633060000001</v>
      </c>
      <c r="E239">
        <v>1338.6357419999999</v>
      </c>
      <c r="F239">
        <v>1338.6357419999999</v>
      </c>
      <c r="G239">
        <v>16079711737</v>
      </c>
      <c r="H239">
        <v>21195.041015999999</v>
      </c>
      <c r="I239">
        <v>21600.640625</v>
      </c>
      <c r="J239">
        <v>20778.179688</v>
      </c>
      <c r="K239">
        <v>20779.34375</v>
      </c>
      <c r="L239">
        <v>20779.34375</v>
      </c>
      <c r="M239">
        <v>22927802083</v>
      </c>
      <c r="N239">
        <v>0.99977899999999997</v>
      </c>
      <c r="O239">
        <v>0.99986299999999995</v>
      </c>
      <c r="P239">
        <v>0.99967700000000004</v>
      </c>
      <c r="Q239">
        <v>0.99973400000000001</v>
      </c>
      <c r="R239">
        <v>0.99973400000000001</v>
      </c>
      <c r="S239">
        <v>42189248625</v>
      </c>
      <c r="T239">
        <v>1.0001720000000001</v>
      </c>
      <c r="U239">
        <v>1.00044</v>
      </c>
      <c r="V239">
        <v>0.99945200000000001</v>
      </c>
      <c r="W239">
        <v>1.0002489999999999</v>
      </c>
      <c r="X239">
        <v>1.0002489999999999</v>
      </c>
      <c r="Y239">
        <v>5540927850</v>
      </c>
      <c r="Z239">
        <v>0.457318</v>
      </c>
      <c r="AA239">
        <v>0.465061</v>
      </c>
      <c r="AB239">
        <v>0.44379000000000002</v>
      </c>
      <c r="AC239">
        <v>0.447353</v>
      </c>
      <c r="AD239">
        <v>0.447353</v>
      </c>
      <c r="AE239">
        <v>695937971</v>
      </c>
    </row>
    <row r="240" spans="1:31" x14ac:dyDescent="0.25">
      <c r="A240" s="1">
        <v>44760</v>
      </c>
      <c r="B240">
        <v>1338.80603</v>
      </c>
      <c r="C240">
        <v>1578.7178960000001</v>
      </c>
      <c r="D240">
        <v>1338.80603</v>
      </c>
      <c r="E240">
        <v>1578.7178960000001</v>
      </c>
      <c r="F240">
        <v>1578.7178960000001</v>
      </c>
      <c r="G240">
        <v>27440420623</v>
      </c>
      <c r="H240">
        <v>20781.912109000001</v>
      </c>
      <c r="I240">
        <v>22633.033202999999</v>
      </c>
      <c r="J240">
        <v>20781.912109000001</v>
      </c>
      <c r="K240">
        <v>22485.689452999999</v>
      </c>
      <c r="L240">
        <v>22485.689452999999</v>
      </c>
      <c r="M240">
        <v>39974475562</v>
      </c>
      <c r="N240">
        <v>0.999726</v>
      </c>
      <c r="O240">
        <v>0.99997000000000003</v>
      </c>
      <c r="P240">
        <v>0.99969300000000005</v>
      </c>
      <c r="Q240">
        <v>0.99977700000000003</v>
      </c>
      <c r="R240">
        <v>0.99977700000000003</v>
      </c>
      <c r="S240">
        <v>70390606911</v>
      </c>
      <c r="T240">
        <v>1.0002420000000001</v>
      </c>
      <c r="U240">
        <v>1.0007699999999999</v>
      </c>
      <c r="V240">
        <v>0.99951900000000005</v>
      </c>
      <c r="W240">
        <v>1.000078</v>
      </c>
      <c r="X240">
        <v>1.000078</v>
      </c>
      <c r="Y240">
        <v>8456901936</v>
      </c>
      <c r="Z240">
        <v>0.44741500000000001</v>
      </c>
      <c r="AA240">
        <v>0.49724600000000002</v>
      </c>
      <c r="AB240">
        <v>0.44638299999999997</v>
      </c>
      <c r="AC240">
        <v>0.49254300000000001</v>
      </c>
      <c r="AD240">
        <v>0.49254300000000001</v>
      </c>
      <c r="AE240">
        <v>1514608156</v>
      </c>
    </row>
    <row r="241" spans="1:31" x14ac:dyDescent="0.25">
      <c r="A241" s="1">
        <v>44761</v>
      </c>
      <c r="B241">
        <v>1578.3839109999999</v>
      </c>
      <c r="C241">
        <v>1607.033081</v>
      </c>
      <c r="D241">
        <v>1501.7974850000001</v>
      </c>
      <c r="E241">
        <v>1542.97522</v>
      </c>
      <c r="F241">
        <v>1542.97522</v>
      </c>
      <c r="G241">
        <v>27753529276</v>
      </c>
      <c r="H241">
        <v>22467.849609000001</v>
      </c>
      <c r="I241">
        <v>23666.962890999999</v>
      </c>
      <c r="J241">
        <v>21683.40625</v>
      </c>
      <c r="K241">
        <v>23389.433593999998</v>
      </c>
      <c r="L241">
        <v>23389.433593999998</v>
      </c>
      <c r="M241">
        <v>48765202697</v>
      </c>
      <c r="N241">
        <v>0.99978500000000003</v>
      </c>
      <c r="O241">
        <v>1.000124</v>
      </c>
      <c r="P241">
        <v>0.99976399999999999</v>
      </c>
      <c r="Q241">
        <v>1.000092</v>
      </c>
      <c r="R241">
        <v>1.000092</v>
      </c>
      <c r="S241">
        <v>77160548741</v>
      </c>
      <c r="T241">
        <v>0.99987199999999998</v>
      </c>
      <c r="U241">
        <v>1.0005010000000001</v>
      </c>
      <c r="V241">
        <v>0.99935399999999996</v>
      </c>
      <c r="W241">
        <v>0.99989300000000003</v>
      </c>
      <c r="X241">
        <v>0.99989300000000003</v>
      </c>
      <c r="Y241">
        <v>9504899153</v>
      </c>
      <c r="Z241">
        <v>0.49207800000000002</v>
      </c>
      <c r="AA241">
        <v>0.524594</v>
      </c>
      <c r="AB241">
        <v>0.474607</v>
      </c>
      <c r="AC241">
        <v>0.515768</v>
      </c>
      <c r="AD241">
        <v>0.515768</v>
      </c>
      <c r="AE241">
        <v>1558576681</v>
      </c>
    </row>
    <row r="242" spans="1:31" x14ac:dyDescent="0.25">
      <c r="A242" s="1">
        <v>44762</v>
      </c>
      <c r="B242">
        <v>1542.954346</v>
      </c>
      <c r="C242">
        <v>1612.6457519999999</v>
      </c>
      <c r="D242">
        <v>1500.8032229999999</v>
      </c>
      <c r="E242">
        <v>1520.2006839999999</v>
      </c>
      <c r="F242">
        <v>1520.2006839999999</v>
      </c>
      <c r="G242">
        <v>22942708340</v>
      </c>
      <c r="H242">
        <v>23393.191406000002</v>
      </c>
      <c r="I242">
        <v>24196.818359000001</v>
      </c>
      <c r="J242">
        <v>23009.949218999998</v>
      </c>
      <c r="K242">
        <v>23231.732422000001</v>
      </c>
      <c r="L242">
        <v>23231.732422000001</v>
      </c>
      <c r="M242">
        <v>42932549127</v>
      </c>
      <c r="N242">
        <v>1.0000960000000001</v>
      </c>
      <c r="O242">
        <v>1.0002489999999999</v>
      </c>
      <c r="P242">
        <v>1.0000020000000001</v>
      </c>
      <c r="Q242">
        <v>1.000068</v>
      </c>
      <c r="R242">
        <v>1.000068</v>
      </c>
      <c r="S242">
        <v>68306872702</v>
      </c>
      <c r="T242">
        <v>0.99987300000000001</v>
      </c>
      <c r="U242">
        <v>1.0005790000000001</v>
      </c>
      <c r="V242">
        <v>0.99944999999999995</v>
      </c>
      <c r="W242">
        <v>0.99991300000000005</v>
      </c>
      <c r="X242">
        <v>0.99991300000000005</v>
      </c>
      <c r="Y242">
        <v>8806753436</v>
      </c>
      <c r="Z242">
        <v>0.51580099999999995</v>
      </c>
      <c r="AA242">
        <v>0.54600000000000004</v>
      </c>
      <c r="AB242">
        <v>0.48926799999999998</v>
      </c>
      <c r="AC242">
        <v>0.49104300000000001</v>
      </c>
      <c r="AD242">
        <v>0.49104300000000001</v>
      </c>
      <c r="AE242">
        <v>1559480054</v>
      </c>
    </row>
    <row r="243" spans="1:31" x14ac:dyDescent="0.25">
      <c r="A243" s="1">
        <v>44763</v>
      </c>
      <c r="B243">
        <v>1520.3745120000001</v>
      </c>
      <c r="C243">
        <v>1595.7619629999999</v>
      </c>
      <c r="D243">
        <v>1472.1854249999999</v>
      </c>
      <c r="E243">
        <v>1576.7495120000001</v>
      </c>
      <c r="F243">
        <v>1576.7495120000001</v>
      </c>
      <c r="G243">
        <v>20009556587</v>
      </c>
      <c r="H243">
        <v>23233.201172000001</v>
      </c>
      <c r="I243">
        <v>23388.322265999999</v>
      </c>
      <c r="J243">
        <v>22431.148438</v>
      </c>
      <c r="K243">
        <v>23164.628906000002</v>
      </c>
      <c r="L243">
        <v>23164.628906000002</v>
      </c>
      <c r="M243">
        <v>33631012204</v>
      </c>
      <c r="N243">
        <v>1.0000530000000001</v>
      </c>
      <c r="O243">
        <v>1.000138</v>
      </c>
      <c r="P243">
        <v>0.99994899999999998</v>
      </c>
      <c r="Q243">
        <v>1.0000800000000001</v>
      </c>
      <c r="R243">
        <v>1.0000800000000001</v>
      </c>
      <c r="S243">
        <v>55292189306</v>
      </c>
      <c r="T243">
        <v>0.99988699999999997</v>
      </c>
      <c r="U243">
        <v>1.0005489999999999</v>
      </c>
      <c r="V243">
        <v>0.99945799999999996</v>
      </c>
      <c r="W243">
        <v>1.0000819999999999</v>
      </c>
      <c r="X243">
        <v>1.0000819999999999</v>
      </c>
      <c r="Y243">
        <v>7372587537</v>
      </c>
      <c r="Z243">
        <v>0.49107099999999998</v>
      </c>
      <c r="AA243">
        <v>0.501448</v>
      </c>
      <c r="AB243">
        <v>0.47723500000000002</v>
      </c>
      <c r="AC243">
        <v>0.50009800000000004</v>
      </c>
      <c r="AD243">
        <v>0.50009800000000004</v>
      </c>
      <c r="AE243">
        <v>929201777</v>
      </c>
    </row>
    <row r="244" spans="1:31" x14ac:dyDescent="0.25">
      <c r="A244" s="1">
        <v>44764</v>
      </c>
      <c r="B244">
        <v>1576.745361</v>
      </c>
      <c r="C244">
        <v>1641.2092290000001</v>
      </c>
      <c r="D244">
        <v>1523.6417240000001</v>
      </c>
      <c r="E244">
        <v>1537.4051509999999</v>
      </c>
      <c r="F244">
        <v>1537.4051509999999</v>
      </c>
      <c r="G244">
        <v>18926100582</v>
      </c>
      <c r="H244">
        <v>23163.751952999999</v>
      </c>
      <c r="I244">
        <v>23671.927734000001</v>
      </c>
      <c r="J244">
        <v>22603.416015999999</v>
      </c>
      <c r="K244">
        <v>22714.978515999999</v>
      </c>
      <c r="L244">
        <v>22714.978515999999</v>
      </c>
      <c r="M244">
        <v>31421555646</v>
      </c>
      <c r="N244">
        <v>1.0000819999999999</v>
      </c>
      <c r="O244">
        <v>1.0001770000000001</v>
      </c>
      <c r="P244">
        <v>1.000027</v>
      </c>
      <c r="Q244">
        <v>1.0000519999999999</v>
      </c>
      <c r="R244">
        <v>1.0000519999999999</v>
      </c>
      <c r="S244">
        <v>51645071119</v>
      </c>
      <c r="T244">
        <v>1.0000789999999999</v>
      </c>
      <c r="U244">
        <v>1.0004470000000001</v>
      </c>
      <c r="V244">
        <v>0.99921899999999997</v>
      </c>
      <c r="W244">
        <v>1.0000169999999999</v>
      </c>
      <c r="X244">
        <v>1.0000169999999999</v>
      </c>
      <c r="Y244">
        <v>6285903773</v>
      </c>
      <c r="Z244">
        <v>0.50009099999999995</v>
      </c>
      <c r="AA244">
        <v>0.51064299999999996</v>
      </c>
      <c r="AB244">
        <v>0.478904</v>
      </c>
      <c r="AC244">
        <v>0.48394599999999999</v>
      </c>
      <c r="AD244">
        <v>0.48394599999999999</v>
      </c>
      <c r="AE244">
        <v>783147406</v>
      </c>
    </row>
    <row r="245" spans="1:31" x14ac:dyDescent="0.25">
      <c r="A245" s="1">
        <v>44765</v>
      </c>
      <c r="B245">
        <v>1536.4573969999999</v>
      </c>
      <c r="C245">
        <v>1591.632568</v>
      </c>
      <c r="D245">
        <v>1495.678101</v>
      </c>
      <c r="E245">
        <v>1549.2974850000001</v>
      </c>
      <c r="F245">
        <v>1549.2974850000001</v>
      </c>
      <c r="G245">
        <v>14998811383</v>
      </c>
      <c r="H245">
        <v>22706.984375</v>
      </c>
      <c r="I245">
        <v>22977.210938</v>
      </c>
      <c r="J245">
        <v>22002.910156000002</v>
      </c>
      <c r="K245">
        <v>22465.478515999999</v>
      </c>
      <c r="L245">
        <v>22465.478515999999</v>
      </c>
      <c r="M245">
        <v>24021799169</v>
      </c>
      <c r="N245">
        <v>1.0000519999999999</v>
      </c>
      <c r="O245">
        <v>1.000146</v>
      </c>
      <c r="P245">
        <v>0.99998399999999998</v>
      </c>
      <c r="Q245">
        <v>1.0000359999999999</v>
      </c>
      <c r="R245">
        <v>1.0000359999999999</v>
      </c>
      <c r="S245">
        <v>43014917183</v>
      </c>
      <c r="T245">
        <v>0.99995199999999995</v>
      </c>
      <c r="U245">
        <v>1.000408</v>
      </c>
      <c r="V245">
        <v>0.99949699999999997</v>
      </c>
      <c r="W245">
        <v>1.000014</v>
      </c>
      <c r="X245">
        <v>1.000014</v>
      </c>
      <c r="Y245">
        <v>5287167945</v>
      </c>
      <c r="Z245">
        <v>0.48372700000000002</v>
      </c>
      <c r="AA245">
        <v>0.51753199999999999</v>
      </c>
      <c r="AB245">
        <v>0.47551599999999999</v>
      </c>
      <c r="AC245">
        <v>0.51736800000000005</v>
      </c>
      <c r="AD245">
        <v>0.51736800000000005</v>
      </c>
      <c r="AE245">
        <v>837188756</v>
      </c>
    </row>
    <row r="246" spans="1:31" x14ac:dyDescent="0.25">
      <c r="A246" s="1">
        <v>44766</v>
      </c>
      <c r="B246">
        <v>1549.222534</v>
      </c>
      <c r="C246">
        <v>1654.428711</v>
      </c>
      <c r="D246">
        <v>1548.671143</v>
      </c>
      <c r="E246">
        <v>1599.4766850000001</v>
      </c>
      <c r="F246">
        <v>1599.4766850000001</v>
      </c>
      <c r="G246">
        <v>17217849557</v>
      </c>
      <c r="H246">
        <v>22465.509765999999</v>
      </c>
      <c r="I246">
        <v>22974.001952999999</v>
      </c>
      <c r="J246">
        <v>22306.839843999998</v>
      </c>
      <c r="K246">
        <v>22609.164063</v>
      </c>
      <c r="L246">
        <v>22609.164063</v>
      </c>
      <c r="M246">
        <v>23565495303</v>
      </c>
      <c r="N246">
        <v>1.0000340000000001</v>
      </c>
      <c r="O246">
        <v>1.0001180000000001</v>
      </c>
      <c r="P246">
        <v>0.99992999999999999</v>
      </c>
      <c r="Q246">
        <v>1.000035</v>
      </c>
      <c r="R246">
        <v>1.000035</v>
      </c>
      <c r="S246">
        <v>41955275140</v>
      </c>
      <c r="T246">
        <v>1.0000070000000001</v>
      </c>
      <c r="U246">
        <v>1.000475</v>
      </c>
      <c r="V246">
        <v>0.99959799999999999</v>
      </c>
      <c r="W246">
        <v>1.000084</v>
      </c>
      <c r="X246">
        <v>1.000084</v>
      </c>
      <c r="Y246">
        <v>4866184511</v>
      </c>
      <c r="Z246">
        <v>0.51736000000000004</v>
      </c>
      <c r="AA246">
        <v>0.53407400000000005</v>
      </c>
      <c r="AB246">
        <v>0.51063199999999997</v>
      </c>
      <c r="AC246">
        <v>0.51381399999999999</v>
      </c>
      <c r="AD246">
        <v>0.51381399999999999</v>
      </c>
      <c r="AE246">
        <v>910596091</v>
      </c>
    </row>
    <row r="247" spans="1:31" x14ac:dyDescent="0.25">
      <c r="A247" s="1">
        <v>44767</v>
      </c>
      <c r="B247">
        <v>1599.1572269999999</v>
      </c>
      <c r="C247">
        <v>1605.336914</v>
      </c>
      <c r="D247">
        <v>1445.383423</v>
      </c>
      <c r="E247">
        <v>1445.383423</v>
      </c>
      <c r="F247">
        <v>1445.383423</v>
      </c>
      <c r="G247">
        <v>20585056021</v>
      </c>
      <c r="H247">
        <v>22607.15625</v>
      </c>
      <c r="I247">
        <v>22649.121093999998</v>
      </c>
      <c r="J247">
        <v>21361.642577999999</v>
      </c>
      <c r="K247">
        <v>21361.701172000001</v>
      </c>
      <c r="L247">
        <v>21361.701172000001</v>
      </c>
      <c r="M247">
        <v>35574561406</v>
      </c>
      <c r="N247">
        <v>1.000038</v>
      </c>
      <c r="O247">
        <v>1.000122</v>
      </c>
      <c r="P247">
        <v>1.000006</v>
      </c>
      <c r="Q247">
        <v>1.000062</v>
      </c>
      <c r="R247">
        <v>1.000062</v>
      </c>
      <c r="S247">
        <v>56307512994</v>
      </c>
      <c r="T247">
        <v>1.0000640000000001</v>
      </c>
      <c r="U247">
        <v>1.0004850000000001</v>
      </c>
      <c r="V247">
        <v>0.999363</v>
      </c>
      <c r="W247">
        <v>0.99974200000000002</v>
      </c>
      <c r="X247">
        <v>0.99974200000000002</v>
      </c>
      <c r="Y247">
        <v>6431520471</v>
      </c>
      <c r="Z247">
        <v>0.51376299999999997</v>
      </c>
      <c r="AA247">
        <v>0.51481200000000005</v>
      </c>
      <c r="AB247">
        <v>0.47623700000000002</v>
      </c>
      <c r="AC247">
        <v>0.47625000000000001</v>
      </c>
      <c r="AD247">
        <v>0.47625000000000001</v>
      </c>
      <c r="AE247">
        <v>747132740</v>
      </c>
    </row>
    <row r="248" spans="1:31" x14ac:dyDescent="0.25">
      <c r="A248" s="1">
        <v>44768</v>
      </c>
      <c r="B248">
        <v>1445.1511230000001</v>
      </c>
      <c r="C248">
        <v>1445.1511230000001</v>
      </c>
      <c r="D248">
        <v>1362.9516599999999</v>
      </c>
      <c r="E248">
        <v>1441.806763</v>
      </c>
      <c r="F248">
        <v>1441.806763</v>
      </c>
      <c r="G248">
        <v>18238563509</v>
      </c>
      <c r="H248">
        <v>21361.121093999998</v>
      </c>
      <c r="I248">
        <v>21361.121093999998</v>
      </c>
      <c r="J248">
        <v>20776.816406000002</v>
      </c>
      <c r="K248">
        <v>21239.753906000002</v>
      </c>
      <c r="L248">
        <v>21239.753906000002</v>
      </c>
      <c r="M248">
        <v>28624673855</v>
      </c>
      <c r="N248">
        <v>1.000067</v>
      </c>
      <c r="O248">
        <v>1.0001279999999999</v>
      </c>
      <c r="P248">
        <v>0.999996</v>
      </c>
      <c r="Q248">
        <v>1.0000469999999999</v>
      </c>
      <c r="R248">
        <v>1.0000469999999999</v>
      </c>
      <c r="S248">
        <v>48266723630</v>
      </c>
      <c r="T248">
        <v>0.99977700000000003</v>
      </c>
      <c r="U248">
        <v>1.000669</v>
      </c>
      <c r="V248">
        <v>0.99958499999999995</v>
      </c>
      <c r="W248">
        <v>1.0001420000000001</v>
      </c>
      <c r="X248">
        <v>1.0001420000000001</v>
      </c>
      <c r="Y248">
        <v>6871887569</v>
      </c>
      <c r="Z248">
        <v>0.476298</v>
      </c>
      <c r="AA248">
        <v>0.47660400000000003</v>
      </c>
      <c r="AB248">
        <v>0.45210499999999998</v>
      </c>
      <c r="AC248">
        <v>0.46760699999999999</v>
      </c>
      <c r="AD248">
        <v>0.46760699999999999</v>
      </c>
      <c r="AE248">
        <v>753266177</v>
      </c>
    </row>
    <row r="249" spans="1:31" x14ac:dyDescent="0.25">
      <c r="A249" s="1">
        <v>44769</v>
      </c>
      <c r="B249">
        <v>1443.726807</v>
      </c>
      <c r="C249">
        <v>1636.799438</v>
      </c>
      <c r="D249">
        <v>1423.6188959999999</v>
      </c>
      <c r="E249">
        <v>1636.2326660000001</v>
      </c>
      <c r="F249">
        <v>1636.2326660000001</v>
      </c>
      <c r="G249">
        <v>23007524016</v>
      </c>
      <c r="H249">
        <v>21244.169922000001</v>
      </c>
      <c r="I249">
        <v>22986.529297000001</v>
      </c>
      <c r="J249">
        <v>21070.806640999999</v>
      </c>
      <c r="K249">
        <v>22930.548827999999</v>
      </c>
      <c r="L249">
        <v>22930.548827999999</v>
      </c>
      <c r="M249">
        <v>31758955233</v>
      </c>
      <c r="N249">
        <v>1.000048</v>
      </c>
      <c r="O249">
        <v>1.0003280000000001</v>
      </c>
      <c r="P249">
        <v>0.99997999999999998</v>
      </c>
      <c r="Q249">
        <v>1.0002740000000001</v>
      </c>
      <c r="R249">
        <v>1.0002740000000001</v>
      </c>
      <c r="S249">
        <v>60104591185</v>
      </c>
      <c r="T249">
        <v>1.0001610000000001</v>
      </c>
      <c r="U249">
        <v>1.0006949999999999</v>
      </c>
      <c r="V249">
        <v>0.99963500000000005</v>
      </c>
      <c r="W249">
        <v>1.0001150000000001</v>
      </c>
      <c r="X249">
        <v>1.0001150000000001</v>
      </c>
      <c r="Y249">
        <v>8262809031</v>
      </c>
      <c r="Z249">
        <v>0.46771299999999999</v>
      </c>
      <c r="AA249">
        <v>0.51055300000000003</v>
      </c>
      <c r="AB249">
        <v>0.45982499999999998</v>
      </c>
      <c r="AC249">
        <v>0.51055300000000003</v>
      </c>
      <c r="AD249">
        <v>0.51055300000000003</v>
      </c>
      <c r="AE249">
        <v>1108377917</v>
      </c>
    </row>
    <row r="250" spans="1:31" x14ac:dyDescent="0.25">
      <c r="A250" s="1">
        <v>44770</v>
      </c>
      <c r="B250">
        <v>1636.2319339999999</v>
      </c>
      <c r="C250">
        <v>1774.5764160000001</v>
      </c>
      <c r="D250">
        <v>1604.890991</v>
      </c>
      <c r="E250">
        <v>1725.4681399999999</v>
      </c>
      <c r="F250">
        <v>1725.4681399999999</v>
      </c>
      <c r="G250">
        <v>27231399966</v>
      </c>
      <c r="H250">
        <v>22933.640625</v>
      </c>
      <c r="I250">
        <v>24110.470702999999</v>
      </c>
      <c r="J250">
        <v>22722.265625</v>
      </c>
      <c r="K250">
        <v>23843.886718999998</v>
      </c>
      <c r="L250">
        <v>23843.886718999998</v>
      </c>
      <c r="M250">
        <v>40212386158</v>
      </c>
      <c r="N250">
        <v>1.0002880000000001</v>
      </c>
      <c r="O250">
        <v>1.0003599999999999</v>
      </c>
      <c r="P250">
        <v>1.0001230000000001</v>
      </c>
      <c r="Q250">
        <v>1.0002</v>
      </c>
      <c r="R250">
        <v>1.0002</v>
      </c>
      <c r="S250">
        <v>75754591120</v>
      </c>
      <c r="T250">
        <v>1.0001409999999999</v>
      </c>
      <c r="U250">
        <v>1.0004919999999999</v>
      </c>
      <c r="V250">
        <v>0.99941899999999995</v>
      </c>
      <c r="W250">
        <v>1.000022</v>
      </c>
      <c r="X250">
        <v>1.000022</v>
      </c>
      <c r="Y250">
        <v>9419521160</v>
      </c>
      <c r="Z250">
        <v>0.51058000000000003</v>
      </c>
      <c r="AA250">
        <v>0.52294799999999997</v>
      </c>
      <c r="AB250">
        <v>0.49211199999999999</v>
      </c>
      <c r="AC250">
        <v>0.51332800000000001</v>
      </c>
      <c r="AD250">
        <v>0.51332800000000001</v>
      </c>
      <c r="AE250">
        <v>1404871202</v>
      </c>
    </row>
    <row r="251" spans="1:31" x14ac:dyDescent="0.25">
      <c r="A251" s="1">
        <v>44771</v>
      </c>
      <c r="B251">
        <v>1725.6239009999999</v>
      </c>
      <c r="C251">
        <v>1759.884033</v>
      </c>
      <c r="D251">
        <v>1662.791138</v>
      </c>
      <c r="E251">
        <v>1727.406982</v>
      </c>
      <c r="F251">
        <v>1727.406982</v>
      </c>
      <c r="G251">
        <v>23249531113</v>
      </c>
      <c r="H251">
        <v>23845.212890999999</v>
      </c>
      <c r="I251">
        <v>24294.787109000001</v>
      </c>
      <c r="J251">
        <v>23481.173827999999</v>
      </c>
      <c r="K251">
        <v>23804.632813</v>
      </c>
      <c r="L251">
        <v>23804.632813</v>
      </c>
      <c r="M251">
        <v>35887249746</v>
      </c>
      <c r="N251">
        <v>1.000205</v>
      </c>
      <c r="O251">
        <v>1.000346</v>
      </c>
      <c r="P251">
        <v>1.0001690000000001</v>
      </c>
      <c r="Q251">
        <v>1.000311</v>
      </c>
      <c r="R251">
        <v>1.000311</v>
      </c>
      <c r="S251">
        <v>72013108986</v>
      </c>
      <c r="T251">
        <v>1.000024</v>
      </c>
      <c r="U251">
        <v>1.0005059999999999</v>
      </c>
      <c r="V251">
        <v>0.99921000000000004</v>
      </c>
      <c r="W251">
        <v>0.99967799999999996</v>
      </c>
      <c r="X251">
        <v>0.99967799999999996</v>
      </c>
      <c r="Y251">
        <v>8773001546</v>
      </c>
      <c r="Z251">
        <v>0.51322800000000002</v>
      </c>
      <c r="AA251">
        <v>0.54408400000000001</v>
      </c>
      <c r="AB251">
        <v>0.50833300000000003</v>
      </c>
      <c r="AC251">
        <v>0.52333499999999999</v>
      </c>
      <c r="AD251">
        <v>0.52333499999999999</v>
      </c>
      <c r="AE251">
        <v>1601170272</v>
      </c>
    </row>
    <row r="252" spans="1:31" x14ac:dyDescent="0.25">
      <c r="A252" s="1">
        <v>44772</v>
      </c>
      <c r="B252">
        <v>1727.0618899999999</v>
      </c>
      <c r="C252">
        <v>1738.016846</v>
      </c>
      <c r="D252">
        <v>1678.1080320000001</v>
      </c>
      <c r="E252">
        <v>1695.969482</v>
      </c>
      <c r="F252">
        <v>1695.969482</v>
      </c>
      <c r="G252">
        <v>15576977870</v>
      </c>
      <c r="H252">
        <v>23796.818359000001</v>
      </c>
      <c r="I252">
        <v>24572.580077999999</v>
      </c>
      <c r="J252">
        <v>23580.507813</v>
      </c>
      <c r="K252">
        <v>23656.207031000002</v>
      </c>
      <c r="L252">
        <v>23656.207031000002</v>
      </c>
      <c r="M252">
        <v>28148218301</v>
      </c>
      <c r="N252">
        <v>1.00031</v>
      </c>
      <c r="O252">
        <v>1.0003519999999999</v>
      </c>
      <c r="P252">
        <v>1.0002169999999999</v>
      </c>
      <c r="Q252">
        <v>1.000289</v>
      </c>
      <c r="R252">
        <v>1.000289</v>
      </c>
      <c r="S252">
        <v>57489826931</v>
      </c>
      <c r="T252">
        <v>0.99972000000000005</v>
      </c>
      <c r="U252">
        <v>1.0004189999999999</v>
      </c>
      <c r="V252">
        <v>0.99937600000000004</v>
      </c>
      <c r="W252">
        <v>0.99986600000000003</v>
      </c>
      <c r="X252">
        <v>0.99986600000000003</v>
      </c>
      <c r="Y252">
        <v>6342886733</v>
      </c>
      <c r="Z252">
        <v>0.52321899999999999</v>
      </c>
      <c r="AA252">
        <v>0.55121799999999999</v>
      </c>
      <c r="AB252">
        <v>0.51198100000000002</v>
      </c>
      <c r="AC252">
        <v>0.52557600000000004</v>
      </c>
      <c r="AD252">
        <v>0.52557600000000004</v>
      </c>
      <c r="AE252">
        <v>1247885850</v>
      </c>
    </row>
    <row r="253" spans="1:31" x14ac:dyDescent="0.25">
      <c r="A253" s="1">
        <v>44773</v>
      </c>
      <c r="B253">
        <v>1695.8847659999999</v>
      </c>
      <c r="C253">
        <v>1745.8831789999999</v>
      </c>
      <c r="D253">
        <v>1672.612793</v>
      </c>
      <c r="E253">
        <v>1681.5173339999999</v>
      </c>
      <c r="F253">
        <v>1681.5173339999999</v>
      </c>
      <c r="G253">
        <v>14200735370</v>
      </c>
      <c r="H253">
        <v>23652.070313</v>
      </c>
      <c r="I253">
        <v>24121.642577999999</v>
      </c>
      <c r="J253">
        <v>23275.703125</v>
      </c>
      <c r="K253">
        <v>23336.896484000001</v>
      </c>
      <c r="L253">
        <v>23336.896484000001</v>
      </c>
      <c r="M253">
        <v>23553591896</v>
      </c>
      <c r="N253">
        <v>1.0002800000000001</v>
      </c>
      <c r="O253">
        <v>1.0003379999999999</v>
      </c>
      <c r="P253">
        <v>1.0002</v>
      </c>
      <c r="Q253">
        <v>1.0003280000000001</v>
      </c>
      <c r="R253">
        <v>1.0003280000000001</v>
      </c>
      <c r="S253">
        <v>52267348020</v>
      </c>
      <c r="T253">
        <v>0.99974799999999997</v>
      </c>
      <c r="U253">
        <v>1.0003010000000001</v>
      </c>
      <c r="V253">
        <v>0.99931599999999998</v>
      </c>
      <c r="W253">
        <v>0.99979700000000005</v>
      </c>
      <c r="X253">
        <v>0.99979700000000005</v>
      </c>
      <c r="Y253">
        <v>7124030237</v>
      </c>
      <c r="Z253">
        <v>0.52559299999999998</v>
      </c>
      <c r="AA253">
        <v>0.54253600000000002</v>
      </c>
      <c r="AB253">
        <v>0.51495100000000005</v>
      </c>
      <c r="AC253">
        <v>0.51702000000000004</v>
      </c>
      <c r="AD253">
        <v>0.51702000000000004</v>
      </c>
      <c r="AE253">
        <v>875157898</v>
      </c>
    </row>
    <row r="254" spans="1:31" x14ac:dyDescent="0.25">
      <c r="A254" s="1">
        <v>44774</v>
      </c>
      <c r="B254">
        <v>1681.445557</v>
      </c>
      <c r="C254">
        <v>1700.1708980000001</v>
      </c>
      <c r="D254">
        <v>1613.4160159999999</v>
      </c>
      <c r="E254">
        <v>1635.1958010000001</v>
      </c>
      <c r="F254">
        <v>1635.1958010000001</v>
      </c>
      <c r="G254">
        <v>16191371176</v>
      </c>
      <c r="H254">
        <v>23336.71875</v>
      </c>
      <c r="I254">
        <v>23464.787109000001</v>
      </c>
      <c r="J254">
        <v>22890.796875</v>
      </c>
      <c r="K254">
        <v>23314.199218999998</v>
      </c>
      <c r="L254">
        <v>23314.199218999998</v>
      </c>
      <c r="M254">
        <v>25849159141</v>
      </c>
      <c r="N254">
        <v>1.0003219999999999</v>
      </c>
      <c r="O254">
        <v>1.0003679999999999</v>
      </c>
      <c r="P254">
        <v>1.0001249999999999</v>
      </c>
      <c r="Q254">
        <v>1.0002040000000001</v>
      </c>
      <c r="R254">
        <v>1.0002040000000001</v>
      </c>
      <c r="S254">
        <v>50882756969</v>
      </c>
      <c r="T254">
        <v>0.99975800000000004</v>
      </c>
      <c r="U254">
        <v>1.0004690000000001</v>
      </c>
      <c r="V254">
        <v>0.99952300000000005</v>
      </c>
      <c r="W254">
        <v>0.99983699999999998</v>
      </c>
      <c r="X254">
        <v>0.99983699999999998</v>
      </c>
      <c r="Y254">
        <v>8090652736</v>
      </c>
      <c r="Z254">
        <v>0.51705100000000004</v>
      </c>
      <c r="AA254">
        <v>0.52573300000000001</v>
      </c>
      <c r="AB254">
        <v>0.50253099999999995</v>
      </c>
      <c r="AC254">
        <v>0.514123</v>
      </c>
      <c r="AD254">
        <v>0.514123</v>
      </c>
      <c r="AE254">
        <v>647889797</v>
      </c>
    </row>
    <row r="255" spans="1:31" x14ac:dyDescent="0.25">
      <c r="A255" s="1">
        <v>44775</v>
      </c>
      <c r="B255">
        <v>1634.645874</v>
      </c>
      <c r="C255">
        <v>1672.6297609999999</v>
      </c>
      <c r="D255">
        <v>1567.8510739999999</v>
      </c>
      <c r="E255">
        <v>1632.9454350000001</v>
      </c>
      <c r="F255">
        <v>1632.9454350000001</v>
      </c>
      <c r="G255">
        <v>20426082309</v>
      </c>
      <c r="H255">
        <v>23308.433593999998</v>
      </c>
      <c r="I255">
        <v>23415.041015999999</v>
      </c>
      <c r="J255">
        <v>22710.083984000001</v>
      </c>
      <c r="K255">
        <v>22978.117188</v>
      </c>
      <c r="L255">
        <v>22978.117188</v>
      </c>
      <c r="M255">
        <v>28389250717</v>
      </c>
      <c r="N255">
        <v>1.00021</v>
      </c>
      <c r="O255">
        <v>1.000319</v>
      </c>
      <c r="P255">
        <v>1.0001329999999999</v>
      </c>
      <c r="Q255">
        <v>1.000159</v>
      </c>
      <c r="R255">
        <v>1.000159</v>
      </c>
      <c r="S255">
        <v>54793315279</v>
      </c>
      <c r="T255">
        <v>0.99985599999999997</v>
      </c>
      <c r="U255">
        <v>1.000583</v>
      </c>
      <c r="V255">
        <v>0.99934800000000001</v>
      </c>
      <c r="W255">
        <v>0.99993399999999999</v>
      </c>
      <c r="X255">
        <v>0.99993399999999999</v>
      </c>
      <c r="Y255">
        <v>8333966555</v>
      </c>
      <c r="Z255">
        <v>0.513907</v>
      </c>
      <c r="AA255">
        <v>0.51461000000000001</v>
      </c>
      <c r="AB255">
        <v>0.49022100000000002</v>
      </c>
      <c r="AC255">
        <v>0.49683300000000002</v>
      </c>
      <c r="AD255">
        <v>0.49683300000000002</v>
      </c>
      <c r="AE255">
        <v>709947033</v>
      </c>
    </row>
    <row r="256" spans="1:31" x14ac:dyDescent="0.25">
      <c r="A256" s="1">
        <v>44776</v>
      </c>
      <c r="B256">
        <v>1633.0512699999999</v>
      </c>
      <c r="C256">
        <v>1678.0982670000001</v>
      </c>
      <c r="D256">
        <v>1595.6345209999999</v>
      </c>
      <c r="E256">
        <v>1618.8745120000001</v>
      </c>
      <c r="F256">
        <v>1618.8745120000001</v>
      </c>
      <c r="G256">
        <v>16786218830</v>
      </c>
      <c r="H256">
        <v>22981.302734000001</v>
      </c>
      <c r="I256">
        <v>23578.650390999999</v>
      </c>
      <c r="J256">
        <v>22747.835938</v>
      </c>
      <c r="K256">
        <v>22846.507813</v>
      </c>
      <c r="L256">
        <v>22846.507813</v>
      </c>
      <c r="M256">
        <v>26288169966</v>
      </c>
      <c r="N256">
        <v>1.000148</v>
      </c>
      <c r="O256">
        <v>1.000272</v>
      </c>
      <c r="P256">
        <v>1.0001169999999999</v>
      </c>
      <c r="Q256">
        <v>1.0002040000000001</v>
      </c>
      <c r="R256">
        <v>1.0002040000000001</v>
      </c>
      <c r="S256">
        <v>47717439471</v>
      </c>
      <c r="T256">
        <v>0.99996700000000005</v>
      </c>
      <c r="U256">
        <v>1.0005120000000001</v>
      </c>
      <c r="V256">
        <v>0.99956500000000004</v>
      </c>
      <c r="W256">
        <v>1.000032</v>
      </c>
      <c r="X256">
        <v>1.000032</v>
      </c>
      <c r="Y256">
        <v>7123782220</v>
      </c>
      <c r="Z256">
        <v>0.49686599999999997</v>
      </c>
      <c r="AA256">
        <v>0.51574299999999995</v>
      </c>
      <c r="AB256">
        <v>0.49023600000000001</v>
      </c>
      <c r="AC256">
        <v>0.50098799999999999</v>
      </c>
      <c r="AD256">
        <v>0.50098799999999999</v>
      </c>
      <c r="AE256">
        <v>553477710</v>
      </c>
    </row>
    <row r="257" spans="1:31" x14ac:dyDescent="0.25">
      <c r="A257" s="1">
        <v>44777</v>
      </c>
      <c r="B257">
        <v>1618.8867190000001</v>
      </c>
      <c r="C257">
        <v>1658.5115969999999</v>
      </c>
      <c r="D257">
        <v>1585.326538</v>
      </c>
      <c r="E257">
        <v>1608.205811</v>
      </c>
      <c r="F257">
        <v>1608.205811</v>
      </c>
      <c r="G257">
        <v>14467440626</v>
      </c>
      <c r="H257">
        <v>22848.214843999998</v>
      </c>
      <c r="I257">
        <v>23198.009765999999</v>
      </c>
      <c r="J257">
        <v>22485.701172000001</v>
      </c>
      <c r="K257">
        <v>22630.957031000002</v>
      </c>
      <c r="L257">
        <v>22630.957031000002</v>
      </c>
      <c r="M257">
        <v>25120229769</v>
      </c>
      <c r="N257">
        <v>1.0002070000000001</v>
      </c>
      <c r="O257">
        <v>1.0002850000000001</v>
      </c>
      <c r="P257">
        <v>1.0000530000000001</v>
      </c>
      <c r="Q257">
        <v>1.0001329999999999</v>
      </c>
      <c r="R257">
        <v>1.0001329999999999</v>
      </c>
      <c r="S257">
        <v>44526180493</v>
      </c>
      <c r="T257">
        <v>1.0000340000000001</v>
      </c>
      <c r="U257">
        <v>1.000686</v>
      </c>
      <c r="V257">
        <v>0.99961199999999995</v>
      </c>
      <c r="W257">
        <v>1.0000359999999999</v>
      </c>
      <c r="X257">
        <v>1.0000359999999999</v>
      </c>
      <c r="Y257">
        <v>6265705595</v>
      </c>
      <c r="Z257">
        <v>0.50097499999999995</v>
      </c>
      <c r="AA257">
        <v>0.51041999999999998</v>
      </c>
      <c r="AB257">
        <v>0.49488900000000002</v>
      </c>
      <c r="AC257">
        <v>0.499668</v>
      </c>
      <c r="AD257">
        <v>0.499668</v>
      </c>
      <c r="AE257">
        <v>499753654</v>
      </c>
    </row>
    <row r="258" spans="1:31" x14ac:dyDescent="0.25">
      <c r="A258" s="1">
        <v>44778</v>
      </c>
      <c r="B258">
        <v>1607.5239260000001</v>
      </c>
      <c r="C258">
        <v>1732.254639</v>
      </c>
      <c r="D258">
        <v>1606.4970699999999</v>
      </c>
      <c r="E258">
        <v>1732.254639</v>
      </c>
      <c r="F258">
        <v>1732.254639</v>
      </c>
      <c r="G258">
        <v>18546491876</v>
      </c>
      <c r="H258">
        <v>22626.833984000001</v>
      </c>
      <c r="I258">
        <v>23422.828125</v>
      </c>
      <c r="J258">
        <v>22612.177734000001</v>
      </c>
      <c r="K258">
        <v>23289.314452999999</v>
      </c>
      <c r="L258">
        <v>23289.314452999999</v>
      </c>
      <c r="M258">
        <v>28881249043</v>
      </c>
      <c r="N258">
        <v>1.0001119999999999</v>
      </c>
      <c r="O258">
        <v>1.000159</v>
      </c>
      <c r="P258">
        <v>1.000032</v>
      </c>
      <c r="Q258">
        <v>1.0000420000000001</v>
      </c>
      <c r="R258">
        <v>1.0000420000000001</v>
      </c>
      <c r="S258">
        <v>49723473321</v>
      </c>
      <c r="T258">
        <v>1.0000370000000001</v>
      </c>
      <c r="U258">
        <v>1.000418</v>
      </c>
      <c r="V258">
        <v>0.99942399999999998</v>
      </c>
      <c r="W258">
        <v>1.0000880000000001</v>
      </c>
      <c r="X258">
        <v>1.0000880000000001</v>
      </c>
      <c r="Y258">
        <v>6033672422</v>
      </c>
      <c r="Z258">
        <v>0.49958200000000003</v>
      </c>
      <c r="AA258">
        <v>0.51842699999999997</v>
      </c>
      <c r="AB258">
        <v>0.49951400000000001</v>
      </c>
      <c r="AC258">
        <v>0.51750300000000005</v>
      </c>
      <c r="AD258">
        <v>0.51750300000000005</v>
      </c>
      <c r="AE258">
        <v>536832135</v>
      </c>
    </row>
    <row r="259" spans="1:31" x14ac:dyDescent="0.25">
      <c r="A259" s="1">
        <v>44779</v>
      </c>
      <c r="B259">
        <v>1732.6611330000001</v>
      </c>
      <c r="C259">
        <v>1744.3264160000001</v>
      </c>
      <c r="D259">
        <v>1691.658081</v>
      </c>
      <c r="E259">
        <v>1691.658081</v>
      </c>
      <c r="F259">
        <v>1691.658081</v>
      </c>
      <c r="G259">
        <v>11757911705</v>
      </c>
      <c r="H259">
        <v>23291.423827999999</v>
      </c>
      <c r="I259">
        <v>23326.5625</v>
      </c>
      <c r="J259">
        <v>22961.279297000001</v>
      </c>
      <c r="K259">
        <v>22961.279297000001</v>
      </c>
      <c r="L259">
        <v>22961.279297000001</v>
      </c>
      <c r="M259">
        <v>15978259885</v>
      </c>
      <c r="N259">
        <v>1.000038</v>
      </c>
      <c r="O259">
        <v>1.000165</v>
      </c>
      <c r="P259">
        <v>1.000038</v>
      </c>
      <c r="Q259">
        <v>1.0001249999999999</v>
      </c>
      <c r="R259">
        <v>1.0001249999999999</v>
      </c>
      <c r="S259">
        <v>32961917502</v>
      </c>
      <c r="T259">
        <v>1.000121</v>
      </c>
      <c r="U259">
        <v>1.0002880000000001</v>
      </c>
      <c r="V259">
        <v>0.99956599999999995</v>
      </c>
      <c r="W259">
        <v>0.99970599999999998</v>
      </c>
      <c r="X259">
        <v>0.99970599999999998</v>
      </c>
      <c r="Y259">
        <v>4013049170</v>
      </c>
      <c r="Z259">
        <v>0.51756400000000002</v>
      </c>
      <c r="AA259">
        <v>0.52146800000000004</v>
      </c>
      <c r="AB259">
        <v>0.51120600000000005</v>
      </c>
      <c r="AC259">
        <v>0.51125600000000004</v>
      </c>
      <c r="AD259">
        <v>0.51125600000000004</v>
      </c>
      <c r="AE259">
        <v>370884770</v>
      </c>
    </row>
    <row r="260" spans="1:31" x14ac:dyDescent="0.25">
      <c r="A260" s="1">
        <v>44780</v>
      </c>
      <c r="B260">
        <v>1691.7779539999999</v>
      </c>
      <c r="C260">
        <v>1724.7891850000001</v>
      </c>
      <c r="D260">
        <v>1672.908447</v>
      </c>
      <c r="E260">
        <v>1699.3508300000001</v>
      </c>
      <c r="F260">
        <v>1699.3508300000001</v>
      </c>
      <c r="G260">
        <v>10252090340</v>
      </c>
      <c r="H260">
        <v>22963.505859000001</v>
      </c>
      <c r="I260">
        <v>23359.009765999999</v>
      </c>
      <c r="J260">
        <v>22894.556640999999</v>
      </c>
      <c r="K260">
        <v>23175.890625</v>
      </c>
      <c r="L260">
        <v>23175.890625</v>
      </c>
      <c r="M260">
        <v>15886817043</v>
      </c>
      <c r="N260">
        <v>1.0001279999999999</v>
      </c>
      <c r="O260">
        <v>1.000181</v>
      </c>
      <c r="P260">
        <v>1.000068</v>
      </c>
      <c r="Q260">
        <v>1.0001439999999999</v>
      </c>
      <c r="R260">
        <v>1.0001439999999999</v>
      </c>
      <c r="S260">
        <v>29901528651</v>
      </c>
      <c r="T260">
        <v>0.99984799999999996</v>
      </c>
      <c r="U260">
        <v>1.000354</v>
      </c>
      <c r="V260">
        <v>0.99949100000000002</v>
      </c>
      <c r="W260">
        <v>0.999919</v>
      </c>
      <c r="X260">
        <v>0.999919</v>
      </c>
      <c r="Y260">
        <v>3504912367</v>
      </c>
      <c r="Z260">
        <v>0.51137200000000005</v>
      </c>
      <c r="AA260">
        <v>0.53666400000000003</v>
      </c>
      <c r="AB260">
        <v>0.50766800000000001</v>
      </c>
      <c r="AC260">
        <v>0.52746999999999999</v>
      </c>
      <c r="AD260">
        <v>0.52746999999999999</v>
      </c>
      <c r="AE260">
        <v>495713645</v>
      </c>
    </row>
    <row r="261" spans="1:31" x14ac:dyDescent="0.25">
      <c r="A261" s="1">
        <v>44781</v>
      </c>
      <c r="B261">
        <v>1699.693481</v>
      </c>
      <c r="C261">
        <v>1806.886475</v>
      </c>
      <c r="D261">
        <v>1697.4079589999999</v>
      </c>
      <c r="E261">
        <v>1775.5161129999999</v>
      </c>
      <c r="F261">
        <v>1775.5161129999999</v>
      </c>
      <c r="G261">
        <v>16841424404</v>
      </c>
      <c r="H261">
        <v>23179.527343999998</v>
      </c>
      <c r="I261">
        <v>24203.689452999999</v>
      </c>
      <c r="J261">
        <v>23176.546875</v>
      </c>
      <c r="K261">
        <v>23809.486327999999</v>
      </c>
      <c r="L261">
        <v>23809.486327999999</v>
      </c>
      <c r="M261">
        <v>28575544847</v>
      </c>
      <c r="N261">
        <v>1.000159</v>
      </c>
      <c r="O261">
        <v>1.000227</v>
      </c>
      <c r="P261">
        <v>1.000097</v>
      </c>
      <c r="Q261">
        <v>1.0001770000000001</v>
      </c>
      <c r="R261">
        <v>1.0001770000000001</v>
      </c>
      <c r="S261">
        <v>50243147547</v>
      </c>
      <c r="T261">
        <v>0.99993799999999999</v>
      </c>
      <c r="U261">
        <v>1.000454</v>
      </c>
      <c r="V261">
        <v>0.99944200000000005</v>
      </c>
      <c r="W261">
        <v>1.0000659999999999</v>
      </c>
      <c r="X261">
        <v>1.0000659999999999</v>
      </c>
      <c r="Y261">
        <v>6960679226</v>
      </c>
      <c r="Z261">
        <v>0.52748799999999996</v>
      </c>
      <c r="AA261">
        <v>0.54840699999999998</v>
      </c>
      <c r="AB261">
        <v>0.52363300000000002</v>
      </c>
      <c r="AC261">
        <v>0.53659599999999996</v>
      </c>
      <c r="AD261">
        <v>0.53659599999999996</v>
      </c>
      <c r="AE261">
        <v>782794306</v>
      </c>
    </row>
    <row r="262" spans="1:31" x14ac:dyDescent="0.25">
      <c r="A262" s="1">
        <v>44782</v>
      </c>
      <c r="B262">
        <v>1776.071289</v>
      </c>
      <c r="C262">
        <v>1786.1225589999999</v>
      </c>
      <c r="D262">
        <v>1675.8498540000001</v>
      </c>
      <c r="E262">
        <v>1703.025024</v>
      </c>
      <c r="F262">
        <v>1703.025024</v>
      </c>
      <c r="G262">
        <v>16368619692</v>
      </c>
      <c r="H262">
        <v>23811.484375</v>
      </c>
      <c r="I262">
        <v>23898.615234000001</v>
      </c>
      <c r="J262">
        <v>22982</v>
      </c>
      <c r="K262">
        <v>23164.318359000001</v>
      </c>
      <c r="L262">
        <v>23164.318359000001</v>
      </c>
      <c r="M262">
        <v>23555719219</v>
      </c>
      <c r="N262">
        <v>1.0001690000000001</v>
      </c>
      <c r="O262">
        <v>1.0002439999999999</v>
      </c>
      <c r="P262">
        <v>1.0001180000000001</v>
      </c>
      <c r="Q262">
        <v>1.0002089999999999</v>
      </c>
      <c r="R262">
        <v>1.0002089999999999</v>
      </c>
      <c r="S262">
        <v>46070684571</v>
      </c>
      <c r="T262">
        <v>1.0000800000000001</v>
      </c>
      <c r="U262">
        <v>1.000299</v>
      </c>
      <c r="V262">
        <v>0.99914499999999995</v>
      </c>
      <c r="W262">
        <v>0.99979799999999996</v>
      </c>
      <c r="X262">
        <v>0.99979799999999996</v>
      </c>
      <c r="Y262">
        <v>6736005317</v>
      </c>
      <c r="Z262">
        <v>0.53665600000000002</v>
      </c>
      <c r="AA262">
        <v>0.53708500000000003</v>
      </c>
      <c r="AB262">
        <v>0.50764100000000001</v>
      </c>
      <c r="AC262">
        <v>0.51405199999999995</v>
      </c>
      <c r="AD262">
        <v>0.51405199999999995</v>
      </c>
      <c r="AE262">
        <v>636681258</v>
      </c>
    </row>
    <row r="263" spans="1:31" x14ac:dyDescent="0.25">
      <c r="A263" s="1">
        <v>44783</v>
      </c>
      <c r="B263">
        <v>1702.9064940000001</v>
      </c>
      <c r="C263">
        <v>1869.400635</v>
      </c>
      <c r="D263">
        <v>1665.0904539999999</v>
      </c>
      <c r="E263">
        <v>1851.7426760000001</v>
      </c>
      <c r="F263">
        <v>1851.7426760000001</v>
      </c>
      <c r="G263">
        <v>23512477984</v>
      </c>
      <c r="H263">
        <v>23162.898438</v>
      </c>
      <c r="I263">
        <v>24127.414063</v>
      </c>
      <c r="J263">
        <v>22771.519531000002</v>
      </c>
      <c r="K263">
        <v>23947.642577999999</v>
      </c>
      <c r="L263">
        <v>23947.642577999999</v>
      </c>
      <c r="M263">
        <v>32837431722</v>
      </c>
      <c r="N263">
        <v>1.000205</v>
      </c>
      <c r="O263">
        <v>1.000562</v>
      </c>
      <c r="P263">
        <v>1.000151</v>
      </c>
      <c r="Q263">
        <v>1.0002530000000001</v>
      </c>
      <c r="R263">
        <v>1.0002530000000001</v>
      </c>
      <c r="S263">
        <v>60085173824</v>
      </c>
      <c r="T263">
        <v>0.99977199999999999</v>
      </c>
      <c r="U263">
        <v>1.000326</v>
      </c>
      <c r="V263">
        <v>0.99953199999999998</v>
      </c>
      <c r="W263">
        <v>1.000135</v>
      </c>
      <c r="X263">
        <v>1.000135</v>
      </c>
      <c r="Y263">
        <v>7908008277</v>
      </c>
      <c r="Z263">
        <v>0.513992</v>
      </c>
      <c r="AA263">
        <v>0.53788599999999998</v>
      </c>
      <c r="AB263">
        <v>0.50406099999999998</v>
      </c>
      <c r="AC263">
        <v>0.53709300000000004</v>
      </c>
      <c r="AD263">
        <v>0.53709300000000004</v>
      </c>
      <c r="AE263">
        <v>816259967</v>
      </c>
    </row>
    <row r="264" spans="1:31" x14ac:dyDescent="0.25">
      <c r="A264" s="1">
        <v>44784</v>
      </c>
      <c r="B264">
        <v>1851.8283690000001</v>
      </c>
      <c r="C264">
        <v>1927.9392089999999</v>
      </c>
      <c r="D264">
        <v>1851.8283690000001</v>
      </c>
      <c r="E264">
        <v>1881.224121</v>
      </c>
      <c r="F264">
        <v>1881.224121</v>
      </c>
      <c r="G264">
        <v>23826986482</v>
      </c>
      <c r="H264">
        <v>23948.345702999999</v>
      </c>
      <c r="I264">
        <v>24822.628906000002</v>
      </c>
      <c r="J264">
        <v>23900.996093999998</v>
      </c>
      <c r="K264">
        <v>23957.529297000001</v>
      </c>
      <c r="L264">
        <v>23957.529297000001</v>
      </c>
      <c r="M264">
        <v>37127036580</v>
      </c>
      <c r="N264">
        <v>1.000251</v>
      </c>
      <c r="O264">
        <v>1.0005040000000001</v>
      </c>
      <c r="P264">
        <v>1.000243</v>
      </c>
      <c r="Q264">
        <v>1.0004059999999999</v>
      </c>
      <c r="R264">
        <v>1.0004059999999999</v>
      </c>
      <c r="S264">
        <v>64445391375</v>
      </c>
      <c r="T264">
        <v>1.0001359999999999</v>
      </c>
      <c r="U264">
        <v>1.0002580000000001</v>
      </c>
      <c r="V264">
        <v>0.99964200000000003</v>
      </c>
      <c r="W264">
        <v>0.99991399999999997</v>
      </c>
      <c r="X264">
        <v>0.99991399999999997</v>
      </c>
      <c r="Y264">
        <v>8324806426</v>
      </c>
      <c r="Z264">
        <v>0.53710400000000003</v>
      </c>
      <c r="AA264">
        <v>0.54659800000000003</v>
      </c>
      <c r="AB264">
        <v>0.529891</v>
      </c>
      <c r="AC264">
        <v>0.53125800000000001</v>
      </c>
      <c r="AD264">
        <v>0.53125800000000001</v>
      </c>
      <c r="AE264">
        <v>819277170</v>
      </c>
    </row>
    <row r="265" spans="1:31" x14ac:dyDescent="0.25">
      <c r="A265" s="1">
        <v>44785</v>
      </c>
      <c r="B265">
        <v>1880.8991699999999</v>
      </c>
      <c r="C265">
        <v>1957.5529790000001</v>
      </c>
      <c r="D265">
        <v>1860.083496</v>
      </c>
      <c r="E265">
        <v>1957.2464600000001</v>
      </c>
      <c r="F265">
        <v>1957.2464600000001</v>
      </c>
      <c r="G265">
        <v>17168141904</v>
      </c>
      <c r="H265">
        <v>23957.203125</v>
      </c>
      <c r="I265">
        <v>24412.566406000002</v>
      </c>
      <c r="J265">
        <v>23657.265625</v>
      </c>
      <c r="K265">
        <v>24402.818359000001</v>
      </c>
      <c r="L265">
        <v>24402.818359000001</v>
      </c>
      <c r="M265">
        <v>27265804688</v>
      </c>
      <c r="N265">
        <v>1.0004010000000001</v>
      </c>
      <c r="O265">
        <v>1.0004729999999999</v>
      </c>
      <c r="P265">
        <v>1.0002450000000001</v>
      </c>
      <c r="Q265">
        <v>1.0003359999999999</v>
      </c>
      <c r="R265">
        <v>1.0003359999999999</v>
      </c>
      <c r="S265">
        <v>46783370955</v>
      </c>
      <c r="T265">
        <v>0.999884</v>
      </c>
      <c r="U265">
        <v>1.0002789999999999</v>
      </c>
      <c r="V265">
        <v>0.99965099999999996</v>
      </c>
      <c r="W265">
        <v>1.000067</v>
      </c>
      <c r="X265">
        <v>1.000067</v>
      </c>
      <c r="Y265">
        <v>6575377525</v>
      </c>
      <c r="Z265">
        <v>0.53119499999999997</v>
      </c>
      <c r="AA265">
        <v>0.54144199999999998</v>
      </c>
      <c r="AB265">
        <v>0.52203500000000003</v>
      </c>
      <c r="AC265">
        <v>0.54075300000000004</v>
      </c>
      <c r="AD265">
        <v>0.54075300000000004</v>
      </c>
      <c r="AE265">
        <v>538287825</v>
      </c>
    </row>
    <row r="266" spans="1:31" x14ac:dyDescent="0.25">
      <c r="A266" s="1">
        <v>44786</v>
      </c>
      <c r="B266">
        <v>1957.3339840000001</v>
      </c>
      <c r="C266">
        <v>2013.755737</v>
      </c>
      <c r="D266">
        <v>1948.5952150000001</v>
      </c>
      <c r="E266">
        <v>1981.336548</v>
      </c>
      <c r="F266">
        <v>1981.336548</v>
      </c>
      <c r="G266">
        <v>16038975216</v>
      </c>
      <c r="H266">
        <v>24402.1875</v>
      </c>
      <c r="I266">
        <v>24860.050781000002</v>
      </c>
      <c r="J266">
        <v>24346.115234000001</v>
      </c>
      <c r="K266">
        <v>24424.068359000001</v>
      </c>
      <c r="L266">
        <v>24424.068359000001</v>
      </c>
      <c r="M266">
        <v>22987346289</v>
      </c>
      <c r="N266">
        <v>1.0003420000000001</v>
      </c>
      <c r="O266">
        <v>1.0005740000000001</v>
      </c>
      <c r="P266">
        <v>1.0002500000000001</v>
      </c>
      <c r="Q266">
        <v>1.0003759999999999</v>
      </c>
      <c r="R266">
        <v>1.0003759999999999</v>
      </c>
      <c r="S266">
        <v>41593883061</v>
      </c>
      <c r="T266">
        <v>1.000041</v>
      </c>
      <c r="U266">
        <v>1.0001599999999999</v>
      </c>
      <c r="V266">
        <v>0.99967099999999998</v>
      </c>
      <c r="W266">
        <v>0.99995199999999995</v>
      </c>
      <c r="X266">
        <v>0.99995199999999995</v>
      </c>
      <c r="Y266">
        <v>5445129024</v>
      </c>
      <c r="Z266">
        <v>0.54070799999999997</v>
      </c>
      <c r="AA266">
        <v>0.56639200000000001</v>
      </c>
      <c r="AB266">
        <v>0.53868799999999994</v>
      </c>
      <c r="AC266">
        <v>0.55981300000000001</v>
      </c>
      <c r="AD266">
        <v>0.55981300000000001</v>
      </c>
      <c r="AE266">
        <v>930190208</v>
      </c>
    </row>
    <row r="267" spans="1:31" x14ac:dyDescent="0.25">
      <c r="A267" s="1">
        <v>44787</v>
      </c>
      <c r="B267">
        <v>1981.782471</v>
      </c>
      <c r="C267">
        <v>2022.791504</v>
      </c>
      <c r="D267">
        <v>1919.0101320000001</v>
      </c>
      <c r="E267">
        <v>1936.8020019999999</v>
      </c>
      <c r="F267">
        <v>1936.8020019999999</v>
      </c>
      <c r="G267">
        <v>14062754456</v>
      </c>
      <c r="H267">
        <v>24429.056640999999</v>
      </c>
      <c r="I267">
        <v>24974.914063</v>
      </c>
      <c r="J267">
        <v>24206.259765999999</v>
      </c>
      <c r="K267">
        <v>24319.333984000001</v>
      </c>
      <c r="L267">
        <v>24319.333984000001</v>
      </c>
      <c r="M267">
        <v>22994133555</v>
      </c>
      <c r="N267">
        <v>1.000367</v>
      </c>
      <c r="O267">
        <v>1.0004010000000001</v>
      </c>
      <c r="P267">
        <v>1.0002260000000001</v>
      </c>
      <c r="Q267">
        <v>1.0002709999999999</v>
      </c>
      <c r="R267">
        <v>1.0002709999999999</v>
      </c>
      <c r="S267">
        <v>43866838979</v>
      </c>
      <c r="T267">
        <v>0.99995199999999995</v>
      </c>
      <c r="U267">
        <v>1.0001709999999999</v>
      </c>
      <c r="V267">
        <v>0.99955799999999995</v>
      </c>
      <c r="W267">
        <v>0.99984799999999996</v>
      </c>
      <c r="X267">
        <v>0.99984799999999996</v>
      </c>
      <c r="Y267">
        <v>4448890165</v>
      </c>
      <c r="Z267">
        <v>0.55981899999999996</v>
      </c>
      <c r="AA267">
        <v>0.59389800000000004</v>
      </c>
      <c r="AB267">
        <v>0.55755399999999999</v>
      </c>
      <c r="AC267">
        <v>0.57034300000000004</v>
      </c>
      <c r="AD267">
        <v>0.57034300000000004</v>
      </c>
      <c r="AE267">
        <v>1180283864</v>
      </c>
    </row>
    <row r="268" spans="1:31" x14ac:dyDescent="0.25">
      <c r="A268" s="1">
        <v>44788</v>
      </c>
      <c r="B268">
        <v>1936.7604980000001</v>
      </c>
      <c r="C268">
        <v>2007.210327</v>
      </c>
      <c r="D268">
        <v>1881.856812</v>
      </c>
      <c r="E268">
        <v>1904.228149</v>
      </c>
      <c r="F268">
        <v>1904.228149</v>
      </c>
      <c r="G268">
        <v>20349931313</v>
      </c>
      <c r="H268">
        <v>24318.316406000002</v>
      </c>
      <c r="I268">
        <v>25135.589843999998</v>
      </c>
      <c r="J268">
        <v>23839.775390999999</v>
      </c>
      <c r="K268">
        <v>24136.972656000002</v>
      </c>
      <c r="L268">
        <v>24136.972656000002</v>
      </c>
      <c r="M268">
        <v>35123501685</v>
      </c>
      <c r="N268">
        <v>1.0002599999999999</v>
      </c>
      <c r="O268">
        <v>1.000354</v>
      </c>
      <c r="P268">
        <v>1.0001249999999999</v>
      </c>
      <c r="Q268">
        <v>1.0001739999999999</v>
      </c>
      <c r="R268">
        <v>1.0001739999999999</v>
      </c>
      <c r="S268">
        <v>57703388667</v>
      </c>
      <c r="T268">
        <v>0.99988200000000005</v>
      </c>
      <c r="U268">
        <v>1.0002610000000001</v>
      </c>
      <c r="V268">
        <v>0.99945899999999999</v>
      </c>
      <c r="W268">
        <v>0.99994899999999998</v>
      </c>
      <c r="X268">
        <v>0.99994899999999998</v>
      </c>
      <c r="Y268">
        <v>7302904711</v>
      </c>
      <c r="Z268">
        <v>0.57038599999999995</v>
      </c>
      <c r="AA268">
        <v>0.58101000000000003</v>
      </c>
      <c r="AB268">
        <v>0.54560500000000001</v>
      </c>
      <c r="AC268">
        <v>0.55117099999999997</v>
      </c>
      <c r="AD268">
        <v>0.55117099999999997</v>
      </c>
      <c r="AE268">
        <v>876107175</v>
      </c>
    </row>
    <row r="269" spans="1:31" x14ac:dyDescent="0.25">
      <c r="A269" s="1">
        <v>44789</v>
      </c>
      <c r="B269">
        <v>1902.83313</v>
      </c>
      <c r="C269">
        <v>1910.745361</v>
      </c>
      <c r="D269">
        <v>1862.2734379999999</v>
      </c>
      <c r="E269">
        <v>1878.139404</v>
      </c>
      <c r="F269">
        <v>1878.139404</v>
      </c>
      <c r="G269">
        <v>15637578930</v>
      </c>
      <c r="H269">
        <v>24126.136718999998</v>
      </c>
      <c r="I269">
        <v>24228.416015999999</v>
      </c>
      <c r="J269">
        <v>23733.5</v>
      </c>
      <c r="K269">
        <v>23883.291015999999</v>
      </c>
      <c r="L269">
        <v>23883.291015999999</v>
      </c>
      <c r="M269">
        <v>27753685646</v>
      </c>
      <c r="N269">
        <v>1.0001690000000001</v>
      </c>
      <c r="O269">
        <v>1.0003249999999999</v>
      </c>
      <c r="P269">
        <v>1.0000450000000001</v>
      </c>
      <c r="Q269">
        <v>1.0001150000000001</v>
      </c>
      <c r="R269">
        <v>1.0001150000000001</v>
      </c>
      <c r="S269">
        <v>46945222159</v>
      </c>
      <c r="T269">
        <v>0.999915</v>
      </c>
      <c r="U269">
        <v>1.000232</v>
      </c>
      <c r="V269">
        <v>0.99962099999999998</v>
      </c>
      <c r="W269">
        <v>1.0000610000000001</v>
      </c>
      <c r="X269">
        <v>1.0000610000000001</v>
      </c>
      <c r="Y269">
        <v>6162980451</v>
      </c>
      <c r="Z269">
        <v>0.55100400000000005</v>
      </c>
      <c r="AA269">
        <v>0.56926699999999997</v>
      </c>
      <c r="AB269">
        <v>0.54915700000000001</v>
      </c>
      <c r="AC269">
        <v>0.55791500000000005</v>
      </c>
      <c r="AD269">
        <v>0.55791500000000005</v>
      </c>
      <c r="AE269">
        <v>734187541</v>
      </c>
    </row>
    <row r="270" spans="1:31" x14ac:dyDescent="0.25">
      <c r="A270" s="1">
        <v>44790</v>
      </c>
      <c r="B270">
        <v>1877.9343260000001</v>
      </c>
      <c r="C270">
        <v>1951.675659</v>
      </c>
      <c r="D270">
        <v>1823.5322269999999</v>
      </c>
      <c r="E270">
        <v>1832.999634</v>
      </c>
      <c r="F270">
        <v>1832.999634</v>
      </c>
      <c r="G270">
        <v>20308508124</v>
      </c>
      <c r="H270">
        <v>23881.316406000002</v>
      </c>
      <c r="I270">
        <v>24407.058593999998</v>
      </c>
      <c r="J270">
        <v>23243.353515999999</v>
      </c>
      <c r="K270">
        <v>23335.998047000001</v>
      </c>
      <c r="L270">
        <v>23335.998047000001</v>
      </c>
      <c r="M270">
        <v>30931623076</v>
      </c>
      <c r="N270">
        <v>1.0001249999999999</v>
      </c>
      <c r="O270">
        <v>1.000132</v>
      </c>
      <c r="P270">
        <v>0.99999700000000002</v>
      </c>
      <c r="Q270">
        <v>1.000073</v>
      </c>
      <c r="R270">
        <v>1.000073</v>
      </c>
      <c r="S270">
        <v>53355167557</v>
      </c>
      <c r="T270">
        <v>1.0000640000000001</v>
      </c>
      <c r="U270">
        <v>1.0002610000000001</v>
      </c>
      <c r="V270">
        <v>0.999421</v>
      </c>
      <c r="W270">
        <v>0.99995500000000004</v>
      </c>
      <c r="X270">
        <v>0.99995500000000004</v>
      </c>
      <c r="Y270">
        <v>6429626031</v>
      </c>
      <c r="Z270">
        <v>0.557921</v>
      </c>
      <c r="AA270">
        <v>0.57992500000000002</v>
      </c>
      <c r="AB270">
        <v>0.53296699999999997</v>
      </c>
      <c r="AC270">
        <v>0.53703800000000002</v>
      </c>
      <c r="AD270">
        <v>0.53703800000000002</v>
      </c>
      <c r="AE270">
        <v>1035477916</v>
      </c>
    </row>
    <row r="271" spans="1:31" x14ac:dyDescent="0.25">
      <c r="A271" s="1">
        <v>44791</v>
      </c>
      <c r="B271">
        <v>1833.7155760000001</v>
      </c>
      <c r="C271">
        <v>1876.376953</v>
      </c>
      <c r="D271">
        <v>1826.957764</v>
      </c>
      <c r="E271">
        <v>1847.0078129999999</v>
      </c>
      <c r="F271">
        <v>1847.0078129999999</v>
      </c>
      <c r="G271">
        <v>14999352229</v>
      </c>
      <c r="H271">
        <v>23341.039063</v>
      </c>
      <c r="I271">
        <v>23563.832031000002</v>
      </c>
      <c r="J271">
        <v>23177.601563</v>
      </c>
      <c r="K271">
        <v>23212.738281000002</v>
      </c>
      <c r="L271">
        <v>23212.738281000002</v>
      </c>
      <c r="M271">
        <v>23747613147</v>
      </c>
      <c r="N271">
        <v>1.0000720000000001</v>
      </c>
      <c r="O271">
        <v>1.000119</v>
      </c>
      <c r="P271">
        <v>0.99993500000000002</v>
      </c>
      <c r="Q271">
        <v>0.99999899999999997</v>
      </c>
      <c r="R271">
        <v>0.99999899999999997</v>
      </c>
      <c r="S271">
        <v>43149679443</v>
      </c>
      <c r="T271">
        <v>0.99997499999999995</v>
      </c>
      <c r="U271">
        <v>1.000192</v>
      </c>
      <c r="V271">
        <v>0.99962499999999999</v>
      </c>
      <c r="W271">
        <v>0.99990699999999999</v>
      </c>
      <c r="X271">
        <v>0.99990699999999999</v>
      </c>
      <c r="Y271">
        <v>5259309739</v>
      </c>
      <c r="Z271">
        <v>0.5373</v>
      </c>
      <c r="AA271">
        <v>0.54298299999999999</v>
      </c>
      <c r="AB271">
        <v>0.51141300000000001</v>
      </c>
      <c r="AC271">
        <v>0.51263300000000001</v>
      </c>
      <c r="AD271">
        <v>0.51263300000000001</v>
      </c>
      <c r="AE271">
        <v>642877241</v>
      </c>
    </row>
    <row r="272" spans="1:31" x14ac:dyDescent="0.25">
      <c r="A272" s="1">
        <v>44792</v>
      </c>
      <c r="B272">
        <v>1847.095337</v>
      </c>
      <c r="C272">
        <v>1847.095337</v>
      </c>
      <c r="D272">
        <v>1611.3388669999999</v>
      </c>
      <c r="E272">
        <v>1612.9873050000001</v>
      </c>
      <c r="F272">
        <v>1612.9873050000001</v>
      </c>
      <c r="G272">
        <v>25906358731</v>
      </c>
      <c r="H272">
        <v>23213.3125</v>
      </c>
      <c r="I272">
        <v>23213.3125</v>
      </c>
      <c r="J272">
        <v>20868.847656000002</v>
      </c>
      <c r="K272">
        <v>20877.552734000001</v>
      </c>
      <c r="L272">
        <v>20877.552734000001</v>
      </c>
      <c r="M272">
        <v>40509610260</v>
      </c>
      <c r="N272">
        <v>0.99999099999999996</v>
      </c>
      <c r="O272">
        <v>1.000175</v>
      </c>
      <c r="P272">
        <v>0.999946</v>
      </c>
      <c r="Q272">
        <v>1.0000599999999999</v>
      </c>
      <c r="R272">
        <v>1.0000599999999999</v>
      </c>
      <c r="S272">
        <v>64302127382</v>
      </c>
      <c r="T272">
        <v>0.99993699999999996</v>
      </c>
      <c r="U272">
        <v>1.0004</v>
      </c>
      <c r="V272">
        <v>0.99947799999999998</v>
      </c>
      <c r="W272">
        <v>1.0000279999999999</v>
      </c>
      <c r="X272">
        <v>1.0000279999999999</v>
      </c>
      <c r="Y272">
        <v>7104084896</v>
      </c>
      <c r="Z272">
        <v>0.51269799999999999</v>
      </c>
      <c r="AA272">
        <v>0.51269799999999999</v>
      </c>
      <c r="AB272">
        <v>0.44931900000000002</v>
      </c>
      <c r="AC272">
        <v>0.45097999999999999</v>
      </c>
      <c r="AD272">
        <v>0.45097999999999999</v>
      </c>
      <c r="AE272">
        <v>1294433367</v>
      </c>
    </row>
    <row r="273" spans="1:31" x14ac:dyDescent="0.25">
      <c r="A273" s="1">
        <v>44793</v>
      </c>
      <c r="B273">
        <v>1612.650635</v>
      </c>
      <c r="C273">
        <v>1652.21875</v>
      </c>
      <c r="D273">
        <v>1534.298828</v>
      </c>
      <c r="E273">
        <v>1577.003784</v>
      </c>
      <c r="F273">
        <v>1577.003784</v>
      </c>
      <c r="G273">
        <v>18334580263</v>
      </c>
      <c r="H273">
        <v>20872.841797000001</v>
      </c>
      <c r="I273">
        <v>21350.806640999999</v>
      </c>
      <c r="J273">
        <v>20856.730468999998</v>
      </c>
      <c r="K273">
        <v>21166.060547000001</v>
      </c>
      <c r="L273">
        <v>21166.060547000001</v>
      </c>
      <c r="M273">
        <v>27595671000</v>
      </c>
      <c r="N273">
        <v>1.0000530000000001</v>
      </c>
      <c r="O273">
        <v>1.0001329999999999</v>
      </c>
      <c r="P273">
        <v>0.999973</v>
      </c>
      <c r="Q273">
        <v>0.99997400000000003</v>
      </c>
      <c r="R273">
        <v>0.99997400000000003</v>
      </c>
      <c r="S273">
        <v>64302127382</v>
      </c>
      <c r="T273">
        <v>0.99995400000000001</v>
      </c>
      <c r="U273">
        <v>1.000461</v>
      </c>
      <c r="V273">
        <v>0.99973699999999999</v>
      </c>
      <c r="W273">
        <v>1.000211</v>
      </c>
      <c r="X273">
        <v>1.000211</v>
      </c>
      <c r="Y273">
        <v>7104084896</v>
      </c>
      <c r="Z273">
        <v>0.45087500000000003</v>
      </c>
      <c r="AA273">
        <v>0.46297899999999997</v>
      </c>
      <c r="AB273">
        <v>0.43886999999999998</v>
      </c>
      <c r="AC273">
        <v>0.45138800000000001</v>
      </c>
      <c r="AD273">
        <v>0.45138800000000001</v>
      </c>
      <c r="AE273">
        <v>792647751</v>
      </c>
    </row>
    <row r="274" spans="1:31" x14ac:dyDescent="0.25">
      <c r="A274" s="1">
        <v>44794</v>
      </c>
      <c r="B274">
        <v>1576.5435789999999</v>
      </c>
      <c r="C274">
        <v>1640.9365230000001</v>
      </c>
      <c r="D274">
        <v>1569.046509</v>
      </c>
      <c r="E274">
        <v>1619.31897</v>
      </c>
      <c r="F274">
        <v>1619.31897</v>
      </c>
      <c r="G274">
        <v>15849221752</v>
      </c>
      <c r="H274">
        <v>21160.392577999999</v>
      </c>
      <c r="I274">
        <v>21668.845702999999</v>
      </c>
      <c r="J274">
        <v>21103.197265999999</v>
      </c>
      <c r="K274">
        <v>21534.121093999998</v>
      </c>
      <c r="L274">
        <v>21534.121093999998</v>
      </c>
      <c r="M274">
        <v>23102307723</v>
      </c>
      <c r="N274">
        <v>0.99997400000000003</v>
      </c>
      <c r="O274">
        <v>1.0001610000000001</v>
      </c>
      <c r="P274">
        <v>0.999942</v>
      </c>
      <c r="Q274">
        <v>0.99999400000000005</v>
      </c>
      <c r="R274">
        <v>0.99999400000000005</v>
      </c>
      <c r="S274">
        <v>45699064002</v>
      </c>
      <c r="T274">
        <v>1.0001880000000001</v>
      </c>
      <c r="U274">
        <v>1.000397</v>
      </c>
      <c r="V274">
        <v>0.99975899999999995</v>
      </c>
      <c r="W274">
        <v>1.0001409999999999</v>
      </c>
      <c r="X274">
        <v>1.0001409999999999</v>
      </c>
      <c r="Y274">
        <v>5446317941</v>
      </c>
      <c r="Z274">
        <v>0.451266</v>
      </c>
      <c r="AA274">
        <v>0.47227799999999998</v>
      </c>
      <c r="AB274">
        <v>0.44848199999999999</v>
      </c>
      <c r="AC274">
        <v>0.46354600000000001</v>
      </c>
      <c r="AD274">
        <v>0.46354600000000001</v>
      </c>
      <c r="AE274">
        <v>616272980</v>
      </c>
    </row>
    <row r="275" spans="1:31" x14ac:dyDescent="0.25">
      <c r="A275" s="1">
        <v>44795</v>
      </c>
      <c r="B275">
        <v>1619.16687</v>
      </c>
      <c r="C275">
        <v>1622.7788089999999</v>
      </c>
      <c r="D275">
        <v>1535.0147710000001</v>
      </c>
      <c r="E275">
        <v>1622.5058590000001</v>
      </c>
      <c r="F275">
        <v>1622.5058590000001</v>
      </c>
      <c r="G275">
        <v>18557078599</v>
      </c>
      <c r="H275">
        <v>21531.462890999999</v>
      </c>
      <c r="I275">
        <v>21531.462890999999</v>
      </c>
      <c r="J275">
        <v>20939.183593999998</v>
      </c>
      <c r="K275">
        <v>21398.908202999999</v>
      </c>
      <c r="L275">
        <v>21398.908202999999</v>
      </c>
      <c r="M275">
        <v>31666498758</v>
      </c>
      <c r="N275">
        <v>0.99999899999999997</v>
      </c>
      <c r="O275">
        <v>1.0001139999999999</v>
      </c>
      <c r="P275">
        <v>0.99989099999999997</v>
      </c>
      <c r="Q275">
        <v>0.99998399999999998</v>
      </c>
      <c r="R275">
        <v>0.99998399999999998</v>
      </c>
      <c r="S275">
        <v>51710064329</v>
      </c>
      <c r="T275">
        <v>1.0001139999999999</v>
      </c>
      <c r="U275">
        <v>1.000364</v>
      </c>
      <c r="V275">
        <v>0.99976399999999999</v>
      </c>
      <c r="W275">
        <v>1.000138</v>
      </c>
      <c r="X275">
        <v>1.000138</v>
      </c>
      <c r="Y275">
        <v>5446317941</v>
      </c>
      <c r="Z275">
        <v>0.463536</v>
      </c>
      <c r="AA275">
        <v>0.463536</v>
      </c>
      <c r="AB275">
        <v>0.44001499999999999</v>
      </c>
      <c r="AC275">
        <v>0.46144600000000002</v>
      </c>
      <c r="AD275">
        <v>0.46144600000000002</v>
      </c>
      <c r="AE275">
        <v>722091304</v>
      </c>
    </row>
    <row r="276" spans="1:31" x14ac:dyDescent="0.25">
      <c r="A276" s="1">
        <v>44796</v>
      </c>
      <c r="B276">
        <v>1622.939331</v>
      </c>
      <c r="C276">
        <v>1666.676514</v>
      </c>
      <c r="D276">
        <v>1569.4285890000001</v>
      </c>
      <c r="E276">
        <v>1662.7698969999999</v>
      </c>
      <c r="F276">
        <v>1662.7698969999999</v>
      </c>
      <c r="G276">
        <v>18322041914</v>
      </c>
      <c r="H276">
        <v>21401.044922000001</v>
      </c>
      <c r="I276">
        <v>21646.203125</v>
      </c>
      <c r="J276">
        <v>20955.138672000001</v>
      </c>
      <c r="K276">
        <v>21528.087890999999</v>
      </c>
      <c r="L276">
        <v>21528.087890999999</v>
      </c>
      <c r="M276">
        <v>31878280659</v>
      </c>
      <c r="N276">
        <v>0.99998299999999996</v>
      </c>
      <c r="O276">
        <v>1.0000500000000001</v>
      </c>
      <c r="P276">
        <v>0.99988600000000005</v>
      </c>
      <c r="Q276">
        <v>0.99999199999999999</v>
      </c>
      <c r="R276">
        <v>0.99999199999999999</v>
      </c>
      <c r="S276">
        <v>52978066914</v>
      </c>
      <c r="T276">
        <v>1.0001359999999999</v>
      </c>
      <c r="U276">
        <v>1.0003949999999999</v>
      </c>
      <c r="V276">
        <v>0.99970499999999995</v>
      </c>
      <c r="W276">
        <v>0.99998200000000004</v>
      </c>
      <c r="X276">
        <v>0.99998200000000004</v>
      </c>
      <c r="Y276">
        <v>5446317941</v>
      </c>
      <c r="Z276">
        <v>0.46148299999999998</v>
      </c>
      <c r="AA276">
        <v>0.46881</v>
      </c>
      <c r="AB276">
        <v>0.44780500000000001</v>
      </c>
      <c r="AC276">
        <v>0.46520699999999998</v>
      </c>
      <c r="AD276">
        <v>0.46520699999999998</v>
      </c>
      <c r="AE276">
        <v>562953519</v>
      </c>
    </row>
    <row r="277" spans="1:31" x14ac:dyDescent="0.25">
      <c r="A277" s="1">
        <v>44797</v>
      </c>
      <c r="B277">
        <v>1662.6954350000001</v>
      </c>
      <c r="C277">
        <v>1686.5577390000001</v>
      </c>
      <c r="D277">
        <v>1610.0992429999999</v>
      </c>
      <c r="E277">
        <v>1657.0592039999999</v>
      </c>
      <c r="F277">
        <v>1657.0592039999999</v>
      </c>
      <c r="G277">
        <v>16780932907</v>
      </c>
      <c r="H277">
        <v>21526.455077999999</v>
      </c>
      <c r="I277">
        <v>21783.076172000001</v>
      </c>
      <c r="J277">
        <v>21195.005859000001</v>
      </c>
      <c r="K277">
        <v>21395.019531000002</v>
      </c>
      <c r="L277">
        <v>21395.019531000002</v>
      </c>
      <c r="M277">
        <v>31962253368</v>
      </c>
      <c r="N277">
        <v>0.99999199999999999</v>
      </c>
      <c r="O277">
        <v>1.000105</v>
      </c>
      <c r="P277">
        <v>0.99995500000000004</v>
      </c>
      <c r="Q277">
        <v>1.0000389999999999</v>
      </c>
      <c r="R277">
        <v>1.0000389999999999</v>
      </c>
      <c r="S277">
        <v>48708536003</v>
      </c>
      <c r="T277">
        <v>0.99999899999999997</v>
      </c>
      <c r="U277">
        <v>1.0002390000000001</v>
      </c>
      <c r="V277">
        <v>0.99964699999999995</v>
      </c>
      <c r="W277">
        <v>0.999861</v>
      </c>
      <c r="X277">
        <v>0.999861</v>
      </c>
      <c r="Y277">
        <v>7342467396</v>
      </c>
      <c r="Z277">
        <v>0.46518199999999998</v>
      </c>
      <c r="AA277">
        <v>0.46660099999999999</v>
      </c>
      <c r="AB277">
        <v>0.45451799999999998</v>
      </c>
      <c r="AC277">
        <v>0.45810899999999999</v>
      </c>
      <c r="AD277">
        <v>0.45810899999999999</v>
      </c>
      <c r="AE277">
        <v>494717036</v>
      </c>
    </row>
    <row r="278" spans="1:31" x14ac:dyDescent="0.25">
      <c r="A278" s="1">
        <v>44798</v>
      </c>
      <c r="B278">
        <v>1657.336548</v>
      </c>
      <c r="C278">
        <v>1718.1832280000001</v>
      </c>
      <c r="D278">
        <v>1656.8560789999999</v>
      </c>
      <c r="E278">
        <v>1696.4570309999999</v>
      </c>
      <c r="F278">
        <v>1696.4570309999999</v>
      </c>
      <c r="G278">
        <v>14818795695</v>
      </c>
      <c r="H278">
        <v>21395.458984000001</v>
      </c>
      <c r="I278">
        <v>21789.636718999998</v>
      </c>
      <c r="J278">
        <v>21362.441406000002</v>
      </c>
      <c r="K278">
        <v>21600.904297000001</v>
      </c>
      <c r="L278">
        <v>21600.904297000001</v>
      </c>
      <c r="M278">
        <v>31028679593</v>
      </c>
      <c r="N278">
        <v>1.0000340000000001</v>
      </c>
      <c r="O278">
        <v>1.00013</v>
      </c>
      <c r="P278">
        <v>0.99995900000000004</v>
      </c>
      <c r="Q278">
        <v>1.0000800000000001</v>
      </c>
      <c r="R278">
        <v>1.0000800000000001</v>
      </c>
      <c r="S278">
        <v>45854093190</v>
      </c>
      <c r="T278">
        <v>0.99992099999999995</v>
      </c>
      <c r="U278">
        <v>1.0001949999999999</v>
      </c>
      <c r="V278">
        <v>0.99967099999999998</v>
      </c>
      <c r="W278">
        <v>0.99995999999999996</v>
      </c>
      <c r="X278">
        <v>0.99995999999999996</v>
      </c>
      <c r="Y278">
        <v>7247298408</v>
      </c>
      <c r="Z278">
        <v>0.45810800000000002</v>
      </c>
      <c r="AA278">
        <v>0.47341499999999997</v>
      </c>
      <c r="AB278">
        <v>0.45804099999999998</v>
      </c>
      <c r="AC278">
        <v>0.464999</v>
      </c>
      <c r="AD278">
        <v>0.464999</v>
      </c>
      <c r="AE278">
        <v>525337287</v>
      </c>
    </row>
    <row r="279" spans="1:31" x14ac:dyDescent="0.25">
      <c r="A279" s="1">
        <v>44799</v>
      </c>
      <c r="B279">
        <v>1696.3245850000001</v>
      </c>
      <c r="C279">
        <v>1698.5610349999999</v>
      </c>
      <c r="D279">
        <v>1498.77124</v>
      </c>
      <c r="E279">
        <v>1507.782837</v>
      </c>
      <c r="F279">
        <v>1507.782837</v>
      </c>
      <c r="G279">
        <v>26713710143</v>
      </c>
      <c r="H279">
        <v>21596.085938</v>
      </c>
      <c r="I279">
        <v>21804.908202999999</v>
      </c>
      <c r="J279">
        <v>20199.482422000001</v>
      </c>
      <c r="K279">
        <v>20260.019531000002</v>
      </c>
      <c r="L279">
        <v>20260.019531000002</v>
      </c>
      <c r="M279">
        <v>42326789564</v>
      </c>
      <c r="N279">
        <v>1.000078</v>
      </c>
      <c r="O279">
        <v>1.0001389999999999</v>
      </c>
      <c r="P279">
        <v>0.999973</v>
      </c>
      <c r="Q279">
        <v>1.000043</v>
      </c>
      <c r="R279">
        <v>1.000043</v>
      </c>
      <c r="S279">
        <v>62406193046</v>
      </c>
      <c r="T279">
        <v>0.99997899999999995</v>
      </c>
      <c r="U279">
        <v>1.000318</v>
      </c>
      <c r="V279">
        <v>0.99954900000000002</v>
      </c>
      <c r="W279">
        <v>0.99997400000000003</v>
      </c>
      <c r="X279">
        <v>0.99997400000000003</v>
      </c>
      <c r="Y279">
        <v>9023777773</v>
      </c>
      <c r="Z279">
        <v>0.46495900000000001</v>
      </c>
      <c r="AA279">
        <v>0.48163899999999998</v>
      </c>
      <c r="AB279">
        <v>0.42815700000000001</v>
      </c>
      <c r="AC279">
        <v>0.430863</v>
      </c>
      <c r="AD279">
        <v>0.430863</v>
      </c>
      <c r="AE279">
        <v>1299179883</v>
      </c>
    </row>
    <row r="280" spans="1:31" x14ac:dyDescent="0.25">
      <c r="A280" s="1">
        <v>44800</v>
      </c>
      <c r="B280">
        <v>1508.156982</v>
      </c>
      <c r="C280">
        <v>1517.150024</v>
      </c>
      <c r="D280">
        <v>1454.2829589999999</v>
      </c>
      <c r="E280">
        <v>1491.3950199999999</v>
      </c>
      <c r="F280">
        <v>1491.3950199999999</v>
      </c>
      <c r="G280">
        <v>18120831899</v>
      </c>
      <c r="H280">
        <v>20262.480468999998</v>
      </c>
      <c r="I280">
        <v>20340.775390999999</v>
      </c>
      <c r="J280">
        <v>19890.523438</v>
      </c>
      <c r="K280">
        <v>20041.738281000002</v>
      </c>
      <c r="L280">
        <v>20041.738281000002</v>
      </c>
      <c r="M280">
        <v>30116729776</v>
      </c>
      <c r="N280">
        <v>1.0000560000000001</v>
      </c>
      <c r="O280">
        <v>1.00014</v>
      </c>
      <c r="P280">
        <v>0.99997100000000005</v>
      </c>
      <c r="Q280">
        <v>1.000019</v>
      </c>
      <c r="R280">
        <v>1.000019</v>
      </c>
      <c r="S280">
        <v>43316381517</v>
      </c>
      <c r="T280">
        <v>0.99992099999999995</v>
      </c>
      <c r="U280">
        <v>1.0003500000000001</v>
      </c>
      <c r="V280">
        <v>0.99970099999999995</v>
      </c>
      <c r="W280">
        <v>1.0000089999999999</v>
      </c>
      <c r="X280">
        <v>1.0000089999999999</v>
      </c>
      <c r="Y280">
        <v>12367955268</v>
      </c>
      <c r="Z280">
        <v>0.43103900000000001</v>
      </c>
      <c r="AA280">
        <v>0.450795</v>
      </c>
      <c r="AB280">
        <v>0.42807699999999999</v>
      </c>
      <c r="AC280">
        <v>0.44970300000000002</v>
      </c>
      <c r="AD280">
        <v>0.44970300000000002</v>
      </c>
      <c r="AE280">
        <v>733099946</v>
      </c>
    </row>
    <row r="281" spans="1:31" x14ac:dyDescent="0.25">
      <c r="A281" s="1">
        <v>44801</v>
      </c>
      <c r="B281">
        <v>1491.2067870000001</v>
      </c>
      <c r="C281">
        <v>1505.7919919999999</v>
      </c>
      <c r="D281">
        <v>1430.5473629999999</v>
      </c>
      <c r="E281">
        <v>1430.5473629999999</v>
      </c>
      <c r="F281">
        <v>1430.5473629999999</v>
      </c>
      <c r="G281">
        <v>12823572918</v>
      </c>
      <c r="H281">
        <v>20041.035156000002</v>
      </c>
      <c r="I281">
        <v>20139.054688</v>
      </c>
      <c r="J281">
        <v>19616.814452999999</v>
      </c>
      <c r="K281">
        <v>19616.814452999999</v>
      </c>
      <c r="L281">
        <v>19616.814452999999</v>
      </c>
      <c r="M281">
        <v>24366810591</v>
      </c>
      <c r="N281">
        <v>1.0000150000000001</v>
      </c>
      <c r="O281">
        <v>1.0000869999999999</v>
      </c>
      <c r="P281">
        <v>0.99996499999999999</v>
      </c>
      <c r="Q281">
        <v>1.0000279999999999</v>
      </c>
      <c r="R281">
        <v>1.0000279999999999</v>
      </c>
      <c r="S281">
        <v>34337927087</v>
      </c>
      <c r="T281">
        <v>1.000014</v>
      </c>
      <c r="U281">
        <v>1.00024</v>
      </c>
      <c r="V281">
        <v>0.99972700000000003</v>
      </c>
      <c r="W281">
        <v>1.0000309999999999</v>
      </c>
      <c r="X281">
        <v>1.0000309999999999</v>
      </c>
      <c r="Y281">
        <v>6479740107</v>
      </c>
      <c r="Z281">
        <v>0.44971899999999998</v>
      </c>
      <c r="AA281">
        <v>0.453401</v>
      </c>
      <c r="AB281">
        <v>0.43004900000000001</v>
      </c>
      <c r="AC281">
        <v>0.43004900000000001</v>
      </c>
      <c r="AD281">
        <v>0.43004900000000001</v>
      </c>
      <c r="AE281">
        <v>519341943</v>
      </c>
    </row>
    <row r="282" spans="1:31" x14ac:dyDescent="0.25">
      <c r="A282" s="1">
        <v>44802</v>
      </c>
      <c r="B282">
        <v>1430.439453</v>
      </c>
      <c r="C282">
        <v>1556.3095699999999</v>
      </c>
      <c r="D282">
        <v>1427.728394</v>
      </c>
      <c r="E282">
        <v>1553.0373540000001</v>
      </c>
      <c r="F282">
        <v>1553.0373540000001</v>
      </c>
      <c r="G282">
        <v>17965837488</v>
      </c>
      <c r="H282">
        <v>19615.154297000001</v>
      </c>
      <c r="I282">
        <v>20357.462890999999</v>
      </c>
      <c r="J282">
        <v>19600.785156000002</v>
      </c>
      <c r="K282">
        <v>20297.994140999999</v>
      </c>
      <c r="L282">
        <v>20297.994140999999</v>
      </c>
      <c r="M282">
        <v>32637854078</v>
      </c>
      <c r="N282">
        <v>1.000051</v>
      </c>
      <c r="O282">
        <v>1.0000910000000001</v>
      </c>
      <c r="P282">
        <v>0.99996799999999997</v>
      </c>
      <c r="Q282">
        <v>1.000032</v>
      </c>
      <c r="R282">
        <v>1.000032</v>
      </c>
      <c r="S282">
        <v>45837060552</v>
      </c>
      <c r="T282">
        <v>0.99993500000000002</v>
      </c>
      <c r="U282">
        <v>1.0003660000000001</v>
      </c>
      <c r="V282">
        <v>0.99980100000000005</v>
      </c>
      <c r="W282">
        <v>0.99996700000000005</v>
      </c>
      <c r="X282">
        <v>0.99996700000000005</v>
      </c>
      <c r="Y282">
        <v>8146241733</v>
      </c>
      <c r="Z282">
        <v>0.43007000000000001</v>
      </c>
      <c r="AA282">
        <v>0.45204899999999998</v>
      </c>
      <c r="AB282">
        <v>0.42768200000000001</v>
      </c>
      <c r="AC282">
        <v>0.45070300000000002</v>
      </c>
      <c r="AD282">
        <v>0.45070300000000002</v>
      </c>
      <c r="AE282">
        <v>587946527</v>
      </c>
    </row>
    <row r="283" spans="1:31" x14ac:dyDescent="0.25">
      <c r="A283" s="1">
        <v>44803</v>
      </c>
      <c r="B283">
        <v>1553.1889650000001</v>
      </c>
      <c r="C283">
        <v>1600.461182</v>
      </c>
      <c r="D283">
        <v>1480.8317870000001</v>
      </c>
      <c r="E283">
        <v>1523.8388669999999</v>
      </c>
      <c r="F283">
        <v>1523.8388669999999</v>
      </c>
      <c r="G283">
        <v>21835784470</v>
      </c>
      <c r="H283">
        <v>20298.611327999999</v>
      </c>
      <c r="I283">
        <v>20542.644531000002</v>
      </c>
      <c r="J283">
        <v>19617.640625</v>
      </c>
      <c r="K283">
        <v>19796.808593999998</v>
      </c>
      <c r="L283">
        <v>19796.808593999998</v>
      </c>
      <c r="M283">
        <v>34483360283</v>
      </c>
      <c r="N283">
        <v>1.0000389999999999</v>
      </c>
      <c r="O283">
        <v>1.0002340000000001</v>
      </c>
      <c r="P283">
        <v>0.999977</v>
      </c>
      <c r="Q283">
        <v>1.000081</v>
      </c>
      <c r="R283">
        <v>1.000081</v>
      </c>
      <c r="S283">
        <v>50170084207</v>
      </c>
      <c r="T283">
        <v>0.99997999999999998</v>
      </c>
      <c r="U283">
        <v>1.000502</v>
      </c>
      <c r="V283">
        <v>0.99968699999999999</v>
      </c>
      <c r="W283">
        <v>1.000006</v>
      </c>
      <c r="X283">
        <v>1.000006</v>
      </c>
      <c r="Y283">
        <v>6564730413</v>
      </c>
      <c r="Z283">
        <v>0.45073600000000003</v>
      </c>
      <c r="AA283">
        <v>0.46254600000000001</v>
      </c>
      <c r="AB283">
        <v>0.44001800000000002</v>
      </c>
      <c r="AC283">
        <v>0.45216899999999999</v>
      </c>
      <c r="AD283">
        <v>0.45216899999999999</v>
      </c>
      <c r="AE283">
        <v>640051711</v>
      </c>
    </row>
    <row r="284" spans="1:31" x14ac:dyDescent="0.25">
      <c r="A284" s="1">
        <v>44804</v>
      </c>
      <c r="B284">
        <v>1524.286499</v>
      </c>
      <c r="C284">
        <v>1612.3588870000001</v>
      </c>
      <c r="D284">
        <v>1524.286499</v>
      </c>
      <c r="E284">
        <v>1553.684937</v>
      </c>
      <c r="F284">
        <v>1553.684937</v>
      </c>
      <c r="G284">
        <v>20591680941</v>
      </c>
      <c r="H284">
        <v>19799.582031000002</v>
      </c>
      <c r="I284">
        <v>20420.990234000001</v>
      </c>
      <c r="J284">
        <v>19799.582031000002</v>
      </c>
      <c r="K284">
        <v>20049.763672000001</v>
      </c>
      <c r="L284">
        <v>20049.763672000001</v>
      </c>
      <c r="M284">
        <v>33225232872</v>
      </c>
      <c r="N284">
        <v>1.0000899999999999</v>
      </c>
      <c r="O284">
        <v>1.0001629999999999</v>
      </c>
      <c r="P284">
        <v>0.99997400000000003</v>
      </c>
      <c r="Q284">
        <v>1.000016</v>
      </c>
      <c r="R284">
        <v>1.000016</v>
      </c>
      <c r="S284">
        <v>48405934722</v>
      </c>
      <c r="T284">
        <v>0.99997899999999995</v>
      </c>
      <c r="U284">
        <v>1.000391</v>
      </c>
      <c r="V284">
        <v>0.99968199999999996</v>
      </c>
      <c r="W284">
        <v>1.0000279999999999</v>
      </c>
      <c r="X284">
        <v>1.0000279999999999</v>
      </c>
      <c r="Y284">
        <v>5586800452</v>
      </c>
      <c r="Z284">
        <v>0.45226300000000003</v>
      </c>
      <c r="AA284">
        <v>0.462779</v>
      </c>
      <c r="AB284">
        <v>0.44605499999999998</v>
      </c>
      <c r="AC284">
        <v>0.44666499999999998</v>
      </c>
      <c r="AD284">
        <v>0.44666499999999998</v>
      </c>
      <c r="AE284">
        <v>521553602</v>
      </c>
    </row>
    <row r="285" spans="1:31" x14ac:dyDescent="0.25">
      <c r="A285" s="1">
        <v>44805</v>
      </c>
      <c r="B285">
        <v>1553.7563479999999</v>
      </c>
      <c r="C285">
        <v>1593.082764</v>
      </c>
      <c r="D285">
        <v>1520.1883539999999</v>
      </c>
      <c r="E285">
        <v>1586.1767580000001</v>
      </c>
      <c r="F285">
        <v>1586.1767580000001</v>
      </c>
      <c r="G285">
        <v>16434276817</v>
      </c>
      <c r="H285">
        <v>20050.498047000001</v>
      </c>
      <c r="I285">
        <v>20198.390625</v>
      </c>
      <c r="J285">
        <v>19653.96875</v>
      </c>
      <c r="K285">
        <v>20127.140625</v>
      </c>
      <c r="L285">
        <v>20127.140625</v>
      </c>
      <c r="M285">
        <v>30182031010</v>
      </c>
      <c r="N285">
        <v>1.000014</v>
      </c>
      <c r="O285">
        <v>1.0001169999999999</v>
      </c>
      <c r="P285">
        <v>0.99996799999999997</v>
      </c>
      <c r="Q285">
        <v>1.0000100000000001</v>
      </c>
      <c r="R285">
        <v>1.0000100000000001</v>
      </c>
      <c r="S285">
        <v>44702355872</v>
      </c>
      <c r="T285">
        <v>1.0000549999999999</v>
      </c>
      <c r="U285">
        <v>1.000397</v>
      </c>
      <c r="V285">
        <v>0.99965999999999999</v>
      </c>
      <c r="W285">
        <v>0.99997599999999998</v>
      </c>
      <c r="X285">
        <v>0.99997599999999998</v>
      </c>
      <c r="Y285">
        <v>5070758690</v>
      </c>
      <c r="Z285">
        <v>0.44667699999999999</v>
      </c>
      <c r="AA285">
        <v>0.45850200000000002</v>
      </c>
      <c r="AB285">
        <v>0.44247599999999998</v>
      </c>
      <c r="AC285">
        <v>0.45748100000000003</v>
      </c>
      <c r="AD285">
        <v>0.45748100000000003</v>
      </c>
      <c r="AE285">
        <v>582859437</v>
      </c>
    </row>
    <row r="286" spans="1:31" x14ac:dyDescent="0.25">
      <c r="A286" s="1">
        <v>44806</v>
      </c>
      <c r="B286">
        <v>1586.0179439999999</v>
      </c>
      <c r="C286">
        <v>1643.1832280000001</v>
      </c>
      <c r="D286">
        <v>1551.8779300000001</v>
      </c>
      <c r="E286">
        <v>1577.2204589999999</v>
      </c>
      <c r="F286">
        <v>1577.2204589999999</v>
      </c>
      <c r="G286">
        <v>17708478709</v>
      </c>
      <c r="H286">
        <v>20126.072265999999</v>
      </c>
      <c r="I286">
        <v>20401.568359000001</v>
      </c>
      <c r="J286">
        <v>19814.765625</v>
      </c>
      <c r="K286">
        <v>19969.771484000001</v>
      </c>
      <c r="L286">
        <v>19969.771484000001</v>
      </c>
      <c r="M286">
        <v>29123998928</v>
      </c>
      <c r="N286">
        <v>0.999996</v>
      </c>
      <c r="O286">
        <v>1.0001199999999999</v>
      </c>
      <c r="P286">
        <v>0.99994799999999995</v>
      </c>
      <c r="Q286">
        <v>1.000089</v>
      </c>
      <c r="R286">
        <v>1.000089</v>
      </c>
      <c r="S286">
        <v>44468235183</v>
      </c>
      <c r="T286">
        <v>0.99997000000000003</v>
      </c>
      <c r="U286">
        <v>1.000278</v>
      </c>
      <c r="V286">
        <v>0.99973199999999995</v>
      </c>
      <c r="W286">
        <v>1.0001009999999999</v>
      </c>
      <c r="X286">
        <v>1.0001009999999999</v>
      </c>
      <c r="Y286">
        <v>4800544392</v>
      </c>
      <c r="Z286">
        <v>0.45746399999999998</v>
      </c>
      <c r="AA286">
        <v>0.46563900000000003</v>
      </c>
      <c r="AB286">
        <v>0.44991300000000001</v>
      </c>
      <c r="AC286">
        <v>0.45455899999999999</v>
      </c>
      <c r="AD286">
        <v>0.45455899999999999</v>
      </c>
      <c r="AE286">
        <v>525812957</v>
      </c>
    </row>
    <row r="287" spans="1:31" x14ac:dyDescent="0.25">
      <c r="A287" s="1">
        <v>44807</v>
      </c>
      <c r="B287">
        <v>1577.213745</v>
      </c>
      <c r="C287">
        <v>1579.454346</v>
      </c>
      <c r="D287">
        <v>1541.6721190000001</v>
      </c>
      <c r="E287">
        <v>1556.8726810000001</v>
      </c>
      <c r="F287">
        <v>1556.8726810000001</v>
      </c>
      <c r="G287">
        <v>9516825994</v>
      </c>
      <c r="H287">
        <v>19969.71875</v>
      </c>
      <c r="I287">
        <v>20037.009765999999</v>
      </c>
      <c r="J287">
        <v>19698.355468999998</v>
      </c>
      <c r="K287">
        <v>19832.087890999999</v>
      </c>
      <c r="L287">
        <v>19832.087890999999</v>
      </c>
      <c r="M287">
        <v>23613051457</v>
      </c>
      <c r="N287">
        <v>1.000089</v>
      </c>
      <c r="O287">
        <v>1.0001199999999999</v>
      </c>
      <c r="P287">
        <v>1.0000340000000001</v>
      </c>
      <c r="Q287">
        <v>1.0000739999999999</v>
      </c>
      <c r="R287">
        <v>1.0000739999999999</v>
      </c>
      <c r="S287">
        <v>30873646175</v>
      </c>
      <c r="T287">
        <v>1.0001329999999999</v>
      </c>
      <c r="U287">
        <v>1.000294</v>
      </c>
      <c r="V287">
        <v>0.99963999999999997</v>
      </c>
      <c r="W287">
        <v>1.0001260000000001</v>
      </c>
      <c r="X287">
        <v>1.0001260000000001</v>
      </c>
      <c r="Y287">
        <v>5057166378</v>
      </c>
      <c r="Z287">
        <v>0.45453399999999999</v>
      </c>
      <c r="AA287">
        <v>0.484817</v>
      </c>
      <c r="AB287">
        <v>0.45399400000000001</v>
      </c>
      <c r="AC287">
        <v>0.48038700000000001</v>
      </c>
      <c r="AD287">
        <v>0.48038700000000001</v>
      </c>
      <c r="AE287">
        <v>778592386</v>
      </c>
    </row>
    <row r="288" spans="1:31" x14ac:dyDescent="0.25">
      <c r="A288" s="1">
        <v>44808</v>
      </c>
      <c r="B288">
        <v>1556.895874</v>
      </c>
      <c r="C288">
        <v>1578.0092770000001</v>
      </c>
      <c r="D288">
        <v>1543.6988530000001</v>
      </c>
      <c r="E288">
        <v>1577.6416019999999</v>
      </c>
      <c r="F288">
        <v>1577.6416019999999</v>
      </c>
      <c r="G288">
        <v>8884144998</v>
      </c>
      <c r="H288">
        <v>19832.470702999999</v>
      </c>
      <c r="I288">
        <v>19999.689452999999</v>
      </c>
      <c r="J288">
        <v>19636.816406000002</v>
      </c>
      <c r="K288">
        <v>19986.712890999999</v>
      </c>
      <c r="L288">
        <v>19986.712890999999</v>
      </c>
      <c r="M288">
        <v>25245861652</v>
      </c>
      <c r="N288">
        <v>1.000076</v>
      </c>
      <c r="O288">
        <v>1.0001009999999999</v>
      </c>
      <c r="P288">
        <v>0.99997499999999995</v>
      </c>
      <c r="Q288">
        <v>1.0000610000000001</v>
      </c>
      <c r="R288">
        <v>1.0000610000000001</v>
      </c>
      <c r="S288">
        <v>31495577330</v>
      </c>
      <c r="T288">
        <v>1.000116</v>
      </c>
      <c r="U288">
        <v>1.0002549999999999</v>
      </c>
      <c r="V288">
        <v>0.99979600000000002</v>
      </c>
      <c r="W288">
        <v>1.0001070000000001</v>
      </c>
      <c r="X288">
        <v>1.0001070000000001</v>
      </c>
      <c r="Y288">
        <v>6332291606</v>
      </c>
      <c r="Z288">
        <v>0.48037200000000002</v>
      </c>
      <c r="AA288">
        <v>0.50582800000000006</v>
      </c>
      <c r="AB288">
        <v>0.47680499999999998</v>
      </c>
      <c r="AC288">
        <v>0.50308399999999998</v>
      </c>
      <c r="AD288">
        <v>0.50308399999999998</v>
      </c>
      <c r="AE288">
        <v>907968827</v>
      </c>
    </row>
    <row r="289" spans="1:31" x14ac:dyDescent="0.25">
      <c r="A289" s="1">
        <v>44809</v>
      </c>
      <c r="B289">
        <v>1577.884033</v>
      </c>
      <c r="C289">
        <v>1621.6613769999999</v>
      </c>
      <c r="D289">
        <v>1559.7818600000001</v>
      </c>
      <c r="E289">
        <v>1617.1832280000001</v>
      </c>
      <c r="F289">
        <v>1617.1832280000001</v>
      </c>
      <c r="G289">
        <v>13060541168</v>
      </c>
      <c r="H289">
        <v>19988.789063</v>
      </c>
      <c r="I289">
        <v>20031.160156000002</v>
      </c>
      <c r="J289">
        <v>19673.046875</v>
      </c>
      <c r="K289">
        <v>19812.371093999998</v>
      </c>
      <c r="L289">
        <v>19812.371093999998</v>
      </c>
      <c r="M289">
        <v>28813460025</v>
      </c>
      <c r="N289">
        <v>1.000062</v>
      </c>
      <c r="O289">
        <v>1.000092</v>
      </c>
      <c r="P289">
        <v>0.99996600000000002</v>
      </c>
      <c r="Q289">
        <v>1.000038</v>
      </c>
      <c r="R289">
        <v>1.000038</v>
      </c>
      <c r="S289">
        <v>39598045837</v>
      </c>
      <c r="T289">
        <v>1.000121</v>
      </c>
      <c r="U289">
        <v>1.0002899999999999</v>
      </c>
      <c r="V289">
        <v>0.99959200000000004</v>
      </c>
      <c r="W289">
        <v>0.99988200000000005</v>
      </c>
      <c r="X289">
        <v>0.99988200000000005</v>
      </c>
      <c r="Y289">
        <v>6182567826</v>
      </c>
      <c r="Z289">
        <v>0.50316799999999995</v>
      </c>
      <c r="AA289">
        <v>0.50533899999999998</v>
      </c>
      <c r="AB289">
        <v>0.48388500000000001</v>
      </c>
      <c r="AC289">
        <v>0.49912099999999998</v>
      </c>
      <c r="AD289">
        <v>0.49912099999999998</v>
      </c>
      <c r="AE289">
        <v>646475147</v>
      </c>
    </row>
    <row r="290" spans="1:31" x14ac:dyDescent="0.25">
      <c r="A290" s="1">
        <v>44810</v>
      </c>
      <c r="B290">
        <v>1617.2402340000001</v>
      </c>
      <c r="C290">
        <v>1680.595337</v>
      </c>
      <c r="D290">
        <v>1561.7485349999999</v>
      </c>
      <c r="E290">
        <v>1561.7485349999999</v>
      </c>
      <c r="F290">
        <v>1561.7485349999999</v>
      </c>
      <c r="G290">
        <v>22946059125</v>
      </c>
      <c r="H290">
        <v>19817.724609000001</v>
      </c>
      <c r="I290">
        <v>20155.269531000002</v>
      </c>
      <c r="J290">
        <v>18800.171875</v>
      </c>
      <c r="K290">
        <v>18837.667968999998</v>
      </c>
      <c r="L290">
        <v>18837.667968999998</v>
      </c>
      <c r="M290">
        <v>43403978910</v>
      </c>
      <c r="N290">
        <v>1.000027</v>
      </c>
      <c r="O290">
        <v>1.0000929999999999</v>
      </c>
      <c r="P290">
        <v>0.99996700000000005</v>
      </c>
      <c r="Q290">
        <v>1.000049</v>
      </c>
      <c r="R290">
        <v>1.000049</v>
      </c>
      <c r="S290">
        <v>64015343588</v>
      </c>
      <c r="T290">
        <v>0.99990000000000001</v>
      </c>
      <c r="U290">
        <v>1.000318</v>
      </c>
      <c r="V290">
        <v>0.99945700000000004</v>
      </c>
      <c r="W290">
        <v>0.99987800000000004</v>
      </c>
      <c r="X290">
        <v>0.99987800000000004</v>
      </c>
      <c r="Y290">
        <v>7323352432</v>
      </c>
      <c r="Z290">
        <v>0.49909100000000001</v>
      </c>
      <c r="AA290">
        <v>0.51115600000000005</v>
      </c>
      <c r="AB290">
        <v>0.46299099999999999</v>
      </c>
      <c r="AC290">
        <v>0.46306599999999998</v>
      </c>
      <c r="AD290">
        <v>0.46306599999999998</v>
      </c>
      <c r="AE290">
        <v>982012136</v>
      </c>
    </row>
    <row r="291" spans="1:31" x14ac:dyDescent="0.25">
      <c r="A291" s="1">
        <v>44811</v>
      </c>
      <c r="B291">
        <v>1560.9067379999999</v>
      </c>
      <c r="C291">
        <v>1651.0511469999999</v>
      </c>
      <c r="D291">
        <v>1500.013672</v>
      </c>
      <c r="E291">
        <v>1629.9063719999999</v>
      </c>
      <c r="F291">
        <v>1629.9063719999999</v>
      </c>
      <c r="G291">
        <v>19560363854</v>
      </c>
      <c r="H291">
        <v>18837.683593999998</v>
      </c>
      <c r="I291">
        <v>19427.171875</v>
      </c>
      <c r="J291">
        <v>18644.466797000001</v>
      </c>
      <c r="K291">
        <v>19290.324218999998</v>
      </c>
      <c r="L291">
        <v>19290.324218999998</v>
      </c>
      <c r="M291">
        <v>35239757134</v>
      </c>
      <c r="N291">
        <v>1.000011</v>
      </c>
      <c r="O291">
        <v>1.000178</v>
      </c>
      <c r="P291">
        <v>0.99998699999999996</v>
      </c>
      <c r="Q291">
        <v>1.0001089999999999</v>
      </c>
      <c r="R291">
        <v>1.0001089999999999</v>
      </c>
      <c r="S291">
        <v>52755357561</v>
      </c>
      <c r="T291">
        <v>0.99980500000000005</v>
      </c>
      <c r="U291">
        <v>1.000316</v>
      </c>
      <c r="V291">
        <v>0.99970999999999999</v>
      </c>
      <c r="W291">
        <v>0.99999300000000002</v>
      </c>
      <c r="X291">
        <v>0.99999300000000002</v>
      </c>
      <c r="Y291">
        <v>5925798240</v>
      </c>
      <c r="Z291">
        <v>0.46301100000000001</v>
      </c>
      <c r="AA291">
        <v>0.48161900000000002</v>
      </c>
      <c r="AB291">
        <v>0.45547700000000002</v>
      </c>
      <c r="AC291">
        <v>0.47928199999999999</v>
      </c>
      <c r="AD291">
        <v>0.47928199999999999</v>
      </c>
      <c r="AE291">
        <v>693147052</v>
      </c>
    </row>
    <row r="292" spans="1:31" x14ac:dyDescent="0.25">
      <c r="A292" s="1">
        <v>44812</v>
      </c>
      <c r="B292">
        <v>1629.8051760000001</v>
      </c>
      <c r="C292">
        <v>1655.064087</v>
      </c>
      <c r="D292">
        <v>1603.0638429999999</v>
      </c>
      <c r="E292">
        <v>1635.3476559999999</v>
      </c>
      <c r="F292">
        <v>1635.3476559999999</v>
      </c>
      <c r="G292">
        <v>17621046717</v>
      </c>
      <c r="H292">
        <v>19289.941406000002</v>
      </c>
      <c r="I292">
        <v>19417.351563</v>
      </c>
      <c r="J292">
        <v>19076.714843999998</v>
      </c>
      <c r="K292">
        <v>19329.833984000001</v>
      </c>
      <c r="L292">
        <v>19329.833984000001</v>
      </c>
      <c r="M292">
        <v>32194477850</v>
      </c>
      <c r="N292">
        <v>1.000097</v>
      </c>
      <c r="O292">
        <v>1.000173</v>
      </c>
      <c r="P292">
        <v>1.000014</v>
      </c>
      <c r="Q292">
        <v>1.000102</v>
      </c>
      <c r="R292">
        <v>1.000102</v>
      </c>
      <c r="S292">
        <v>49640976411</v>
      </c>
      <c r="T292">
        <v>0.99996700000000005</v>
      </c>
      <c r="U292">
        <v>1.000259</v>
      </c>
      <c r="V292">
        <v>0.99970000000000003</v>
      </c>
      <c r="W292">
        <v>0.99991399999999997</v>
      </c>
      <c r="X292">
        <v>0.99991399999999997</v>
      </c>
      <c r="Y292">
        <v>5599051311</v>
      </c>
      <c r="Z292">
        <v>0.47927399999999998</v>
      </c>
      <c r="AA292">
        <v>0.481431</v>
      </c>
      <c r="AB292">
        <v>0.46456900000000001</v>
      </c>
      <c r="AC292">
        <v>0.47927399999999998</v>
      </c>
      <c r="AD292">
        <v>0.47927399999999998</v>
      </c>
      <c r="AE292">
        <v>647768733</v>
      </c>
    </row>
    <row r="293" spans="1:31" x14ac:dyDescent="0.25">
      <c r="A293" s="1">
        <v>44813</v>
      </c>
      <c r="B293">
        <v>1635.1877440000001</v>
      </c>
      <c r="C293">
        <v>1735.809814</v>
      </c>
      <c r="D293">
        <v>1632.836548</v>
      </c>
      <c r="E293">
        <v>1719.0854489999999</v>
      </c>
      <c r="F293">
        <v>1719.0854489999999</v>
      </c>
      <c r="G293">
        <v>20242323690</v>
      </c>
      <c r="H293">
        <v>19328.140625</v>
      </c>
      <c r="I293">
        <v>21439.410156000002</v>
      </c>
      <c r="J293">
        <v>19310.962890999999</v>
      </c>
      <c r="K293">
        <v>21381.152343999998</v>
      </c>
      <c r="L293">
        <v>21381.152343999998</v>
      </c>
      <c r="M293">
        <v>48469528171</v>
      </c>
      <c r="N293">
        <v>1.0000960000000001</v>
      </c>
      <c r="O293">
        <v>1.0003029999999999</v>
      </c>
      <c r="P293">
        <v>1.0000549999999999</v>
      </c>
      <c r="Q293">
        <v>1.000235</v>
      </c>
      <c r="R293">
        <v>1.000235</v>
      </c>
      <c r="S293">
        <v>70683518131</v>
      </c>
      <c r="T293">
        <v>0.99990699999999999</v>
      </c>
      <c r="U293">
        <v>1.0002200000000001</v>
      </c>
      <c r="V293">
        <v>0.99963299999999999</v>
      </c>
      <c r="W293">
        <v>0.99994499999999997</v>
      </c>
      <c r="X293">
        <v>0.99994499999999997</v>
      </c>
      <c r="Y293">
        <v>7486756055</v>
      </c>
      <c r="Z293">
        <v>0.47925299999999998</v>
      </c>
      <c r="AA293">
        <v>0.502938</v>
      </c>
      <c r="AB293">
        <v>0.47867700000000002</v>
      </c>
      <c r="AC293">
        <v>0.50292000000000003</v>
      </c>
      <c r="AD293">
        <v>0.50292000000000003</v>
      </c>
      <c r="AE293">
        <v>858927416</v>
      </c>
    </row>
    <row r="294" spans="1:31" x14ac:dyDescent="0.25">
      <c r="A294" s="1">
        <v>44814</v>
      </c>
      <c r="B294">
        <v>1718.9613039999999</v>
      </c>
      <c r="C294">
        <v>1784.497803</v>
      </c>
      <c r="D294">
        <v>1710.2969969999999</v>
      </c>
      <c r="E294">
        <v>1776.2037350000001</v>
      </c>
      <c r="F294">
        <v>1776.2037350000001</v>
      </c>
      <c r="G294">
        <v>13130928217</v>
      </c>
      <c r="H294">
        <v>21376.912109000001</v>
      </c>
      <c r="I294">
        <v>21760.275390999999</v>
      </c>
      <c r="J294">
        <v>21168.722656000002</v>
      </c>
      <c r="K294">
        <v>21680.539063</v>
      </c>
      <c r="L294">
        <v>21680.539063</v>
      </c>
      <c r="M294">
        <v>36913738894</v>
      </c>
      <c r="N294">
        <v>1.000235</v>
      </c>
      <c r="O294">
        <v>1.0004200000000001</v>
      </c>
      <c r="P294">
        <v>1.000167</v>
      </c>
      <c r="Q294">
        <v>1.000281</v>
      </c>
      <c r="R294">
        <v>1.000281</v>
      </c>
      <c r="S294">
        <v>53524443076</v>
      </c>
      <c r="T294">
        <v>0.99994499999999997</v>
      </c>
      <c r="U294">
        <v>1.000224</v>
      </c>
      <c r="V294">
        <v>0.99968599999999996</v>
      </c>
      <c r="W294">
        <v>0.99986299999999995</v>
      </c>
      <c r="X294">
        <v>0.99986299999999995</v>
      </c>
      <c r="Y294">
        <v>6034410916</v>
      </c>
      <c r="Z294">
        <v>0.50284200000000001</v>
      </c>
      <c r="AA294">
        <v>0.52349299999999999</v>
      </c>
      <c r="AB294">
        <v>0.49636200000000003</v>
      </c>
      <c r="AC294">
        <v>0.51242200000000004</v>
      </c>
      <c r="AD294">
        <v>0.51242200000000004</v>
      </c>
      <c r="AE294">
        <v>995666468</v>
      </c>
    </row>
    <row r="295" spans="1:31" x14ac:dyDescent="0.25">
      <c r="A295" s="1">
        <v>44815</v>
      </c>
      <c r="B295">
        <v>1775.9760739999999</v>
      </c>
      <c r="C295">
        <v>1782.7298579999999</v>
      </c>
      <c r="D295">
        <v>1730.1647949999999</v>
      </c>
      <c r="E295">
        <v>1761.8000489999999</v>
      </c>
      <c r="F295">
        <v>1761.8000489999999</v>
      </c>
      <c r="G295">
        <v>12464301922</v>
      </c>
      <c r="H295">
        <v>21678.542968999998</v>
      </c>
      <c r="I295">
        <v>21770.552734000001</v>
      </c>
      <c r="J295">
        <v>21406.945313</v>
      </c>
      <c r="K295">
        <v>21769.255859000001</v>
      </c>
      <c r="L295">
        <v>21769.255859000001</v>
      </c>
      <c r="M295">
        <v>34493951963</v>
      </c>
      <c r="N295">
        <v>1.0002789999999999</v>
      </c>
      <c r="O295">
        <v>1.000343</v>
      </c>
      <c r="P295">
        <v>1.0002219999999999</v>
      </c>
      <c r="Q295">
        <v>1.0002759999999999</v>
      </c>
      <c r="R295">
        <v>1.0002759999999999</v>
      </c>
      <c r="S295">
        <v>47160062304</v>
      </c>
      <c r="T295">
        <v>0.999861</v>
      </c>
      <c r="U295">
        <v>1.0002530000000001</v>
      </c>
      <c r="V295">
        <v>0.99963000000000002</v>
      </c>
      <c r="W295">
        <v>0.99995100000000003</v>
      </c>
      <c r="X295">
        <v>0.99995100000000003</v>
      </c>
      <c r="Y295">
        <v>5285353049</v>
      </c>
      <c r="Z295">
        <v>0.51237999999999995</v>
      </c>
      <c r="AA295">
        <v>0.51915</v>
      </c>
      <c r="AB295">
        <v>0.50330799999999998</v>
      </c>
      <c r="AC295">
        <v>0.50975199999999998</v>
      </c>
      <c r="AD295">
        <v>0.50975199999999998</v>
      </c>
      <c r="AE295">
        <v>705305295</v>
      </c>
    </row>
    <row r="296" spans="1:31" x14ac:dyDescent="0.25">
      <c r="A296" s="1">
        <v>44816</v>
      </c>
      <c r="B296">
        <v>1762.0848390000001</v>
      </c>
      <c r="C296">
        <v>1778.163452</v>
      </c>
      <c r="D296">
        <v>1698.293457</v>
      </c>
      <c r="E296">
        <v>1713.765259</v>
      </c>
      <c r="F296">
        <v>1713.765259</v>
      </c>
      <c r="G296">
        <v>17688391310</v>
      </c>
      <c r="H296">
        <v>21770.148438</v>
      </c>
      <c r="I296">
        <v>22439.181640999999</v>
      </c>
      <c r="J296">
        <v>21603.896484000001</v>
      </c>
      <c r="K296">
        <v>22370.449218999998</v>
      </c>
      <c r="L296">
        <v>22370.449218999998</v>
      </c>
      <c r="M296">
        <v>50212088965</v>
      </c>
      <c r="N296">
        <v>1.000281</v>
      </c>
      <c r="O296">
        <v>1.0003230000000001</v>
      </c>
      <c r="P296">
        <v>1.0000979999999999</v>
      </c>
      <c r="Q296">
        <v>1.0002040000000001</v>
      </c>
      <c r="R296">
        <v>1.0002040000000001</v>
      </c>
      <c r="S296">
        <v>66834639114</v>
      </c>
      <c r="T296">
        <v>0.99995999999999996</v>
      </c>
      <c r="U296">
        <v>1.0002</v>
      </c>
      <c r="V296">
        <v>0.99951599999999996</v>
      </c>
      <c r="W296">
        <v>1.000011</v>
      </c>
      <c r="X296">
        <v>1.000011</v>
      </c>
      <c r="Y296">
        <v>6603561164</v>
      </c>
      <c r="Z296">
        <v>0.50975099999999995</v>
      </c>
      <c r="AA296">
        <v>0.51886200000000005</v>
      </c>
      <c r="AB296">
        <v>0.49781999999999998</v>
      </c>
      <c r="AC296">
        <v>0.50154600000000005</v>
      </c>
      <c r="AD296">
        <v>0.50154600000000005</v>
      </c>
      <c r="AE296">
        <v>856809100</v>
      </c>
    </row>
    <row r="297" spans="1:31" x14ac:dyDescent="0.25">
      <c r="A297" s="1">
        <v>44817</v>
      </c>
      <c r="B297">
        <v>1713.962524</v>
      </c>
      <c r="C297">
        <v>1745.779053</v>
      </c>
      <c r="D297">
        <v>1564.0318600000001</v>
      </c>
      <c r="E297">
        <v>1580.7879640000001</v>
      </c>
      <c r="F297">
        <v>1580.7879640000001</v>
      </c>
      <c r="G297">
        <v>23066821734</v>
      </c>
      <c r="H297">
        <v>22371.480468999998</v>
      </c>
      <c r="I297">
        <v>22673.820313</v>
      </c>
      <c r="J297">
        <v>20062.669922000001</v>
      </c>
      <c r="K297">
        <v>20296.707031000002</v>
      </c>
      <c r="L297">
        <v>20296.707031000002</v>
      </c>
      <c r="M297">
        <v>51091116622</v>
      </c>
      <c r="N297">
        <v>1.0001610000000001</v>
      </c>
      <c r="O297">
        <v>1.00034</v>
      </c>
      <c r="P297">
        <v>0.99999199999999999</v>
      </c>
      <c r="Q297">
        <v>1.0000249999999999</v>
      </c>
      <c r="R297">
        <v>1.0000249999999999</v>
      </c>
      <c r="S297">
        <v>71413926112</v>
      </c>
      <c r="T297">
        <v>1.000022</v>
      </c>
      <c r="U297">
        <v>1.0002249999999999</v>
      </c>
      <c r="V297">
        <v>0.99936400000000003</v>
      </c>
      <c r="W297">
        <v>1.0001139999999999</v>
      </c>
      <c r="X297">
        <v>1.0001139999999999</v>
      </c>
      <c r="Y297">
        <v>7447771857</v>
      </c>
      <c r="Z297">
        <v>0.50149500000000002</v>
      </c>
      <c r="AA297">
        <v>0.50752399999999998</v>
      </c>
      <c r="AB297">
        <v>0.46291399999999999</v>
      </c>
      <c r="AC297">
        <v>0.46888099999999999</v>
      </c>
      <c r="AD297">
        <v>0.46888099999999999</v>
      </c>
      <c r="AE297">
        <v>1004511415</v>
      </c>
    </row>
    <row r="298" spans="1:31" x14ac:dyDescent="0.25">
      <c r="A298" s="1">
        <v>44818</v>
      </c>
      <c r="B298">
        <v>1574.858154</v>
      </c>
      <c r="C298">
        <v>1642.1572269999999</v>
      </c>
      <c r="D298">
        <v>1564.0318600000001</v>
      </c>
      <c r="E298">
        <v>1634.755005</v>
      </c>
      <c r="F298">
        <v>1634.755005</v>
      </c>
      <c r="G298">
        <v>17897150206</v>
      </c>
      <c r="H298">
        <v>20184.554688</v>
      </c>
      <c r="I298">
        <v>20467.201172000001</v>
      </c>
      <c r="J298">
        <v>19793.396484000001</v>
      </c>
      <c r="K298">
        <v>20241.089843999998</v>
      </c>
      <c r="L298">
        <v>20241.089843999998</v>
      </c>
      <c r="M298">
        <v>37872380889</v>
      </c>
      <c r="N298">
        <v>1.000038</v>
      </c>
      <c r="O298">
        <v>1.000213</v>
      </c>
      <c r="P298">
        <v>0.99997400000000003</v>
      </c>
      <c r="Q298">
        <v>1.0001420000000001</v>
      </c>
      <c r="R298">
        <v>1.0001420000000001</v>
      </c>
      <c r="S298">
        <v>55170613417</v>
      </c>
      <c r="T298">
        <v>0.99996499999999999</v>
      </c>
      <c r="U298">
        <v>1.0002679999999999</v>
      </c>
      <c r="V298">
        <v>0.99977000000000005</v>
      </c>
      <c r="W298">
        <v>1.00004</v>
      </c>
      <c r="X298">
        <v>1.00004</v>
      </c>
      <c r="Y298">
        <v>5785823308</v>
      </c>
      <c r="Z298">
        <v>0.46391199999999999</v>
      </c>
      <c r="AA298">
        <v>0.485709</v>
      </c>
      <c r="AB298">
        <v>0.46304899999999999</v>
      </c>
      <c r="AC298">
        <v>0.48137600000000003</v>
      </c>
      <c r="AD298">
        <v>0.48137600000000003</v>
      </c>
      <c r="AE298">
        <v>737527013</v>
      </c>
    </row>
    <row r="299" spans="1:31" x14ac:dyDescent="0.25">
      <c r="A299" s="1">
        <v>44819</v>
      </c>
      <c r="B299">
        <v>1635.0830080000001</v>
      </c>
      <c r="C299">
        <v>1648.9456789999999</v>
      </c>
      <c r="D299">
        <v>1466.139404</v>
      </c>
      <c r="E299">
        <v>1471.693481</v>
      </c>
      <c r="F299">
        <v>1471.693481</v>
      </c>
      <c r="G299">
        <v>26946275878</v>
      </c>
      <c r="H299">
        <v>20242.289063</v>
      </c>
      <c r="I299">
        <v>20318.166015999999</v>
      </c>
      <c r="J299">
        <v>19636.734375</v>
      </c>
      <c r="K299">
        <v>19701.210938</v>
      </c>
      <c r="L299">
        <v>19701.210938</v>
      </c>
      <c r="M299">
        <v>36389011503</v>
      </c>
      <c r="N299">
        <v>1.000138</v>
      </c>
      <c r="O299">
        <v>1.000275</v>
      </c>
      <c r="P299">
        <v>0.99993900000000002</v>
      </c>
      <c r="Q299">
        <v>1.000003</v>
      </c>
      <c r="R299">
        <v>1.000003</v>
      </c>
      <c r="S299">
        <v>60606622307</v>
      </c>
      <c r="T299">
        <v>1.000038</v>
      </c>
      <c r="U299">
        <v>1.0004299999999999</v>
      </c>
      <c r="V299">
        <v>0.99974399999999997</v>
      </c>
      <c r="W299">
        <v>1.000162</v>
      </c>
      <c r="X299">
        <v>1.000162</v>
      </c>
      <c r="Y299">
        <v>7140693834</v>
      </c>
      <c r="Z299">
        <v>0.48137400000000002</v>
      </c>
      <c r="AA299">
        <v>0.481406</v>
      </c>
      <c r="AB299">
        <v>0.46386899999999998</v>
      </c>
      <c r="AC299">
        <v>0.465644</v>
      </c>
      <c r="AD299">
        <v>0.465644</v>
      </c>
      <c r="AE299">
        <v>685227625</v>
      </c>
    </row>
    <row r="300" spans="1:31" x14ac:dyDescent="0.25">
      <c r="A300" s="1">
        <v>44820</v>
      </c>
      <c r="B300">
        <v>1471.928345</v>
      </c>
      <c r="C300">
        <v>1480.5642089999999</v>
      </c>
      <c r="D300">
        <v>1415.5812989999999</v>
      </c>
      <c r="E300">
        <v>1432.447754</v>
      </c>
      <c r="F300">
        <v>1432.447754</v>
      </c>
      <c r="G300">
        <v>16764804299</v>
      </c>
      <c r="H300">
        <v>19704.005859000001</v>
      </c>
      <c r="I300">
        <v>19870.628906000002</v>
      </c>
      <c r="J300">
        <v>19400.076172000001</v>
      </c>
      <c r="K300">
        <v>19772.583984000001</v>
      </c>
      <c r="L300">
        <v>19772.583984000001</v>
      </c>
      <c r="M300">
        <v>30123362273</v>
      </c>
      <c r="N300">
        <v>1.0000020000000001</v>
      </c>
      <c r="O300">
        <v>1.000095</v>
      </c>
      <c r="P300">
        <v>0.99989099999999997</v>
      </c>
      <c r="Q300">
        <v>0.99998100000000001</v>
      </c>
      <c r="R300">
        <v>0.99998100000000001</v>
      </c>
      <c r="S300">
        <v>46290851147</v>
      </c>
      <c r="T300">
        <v>1.00017</v>
      </c>
      <c r="U300">
        <v>1.0003359999999999</v>
      </c>
      <c r="V300">
        <v>0.99974700000000005</v>
      </c>
      <c r="W300">
        <v>1.0001180000000001</v>
      </c>
      <c r="X300">
        <v>1.0001180000000001</v>
      </c>
      <c r="Y300">
        <v>5765020468</v>
      </c>
      <c r="Z300">
        <v>0.46570299999999998</v>
      </c>
      <c r="AA300">
        <v>0.47413</v>
      </c>
      <c r="AB300">
        <v>0.45601900000000001</v>
      </c>
      <c r="AC300">
        <v>0.47412599999999999</v>
      </c>
      <c r="AD300">
        <v>0.47412599999999999</v>
      </c>
      <c r="AE300">
        <v>558761609</v>
      </c>
    </row>
    <row r="301" spans="1:31" x14ac:dyDescent="0.25">
      <c r="A301" s="1">
        <v>44821</v>
      </c>
      <c r="B301">
        <v>1432.8764650000001</v>
      </c>
      <c r="C301">
        <v>1473.0604249999999</v>
      </c>
      <c r="D301">
        <v>1415.0423579999999</v>
      </c>
      <c r="E301">
        <v>1469.7416989999999</v>
      </c>
      <c r="F301">
        <v>1469.7416989999999</v>
      </c>
      <c r="G301">
        <v>10798098671</v>
      </c>
      <c r="H301">
        <v>19777.033202999999</v>
      </c>
      <c r="I301">
        <v>20162.53125</v>
      </c>
      <c r="J301">
        <v>19777.033202999999</v>
      </c>
      <c r="K301">
        <v>20127.576172000001</v>
      </c>
      <c r="L301">
        <v>20127.576172000001</v>
      </c>
      <c r="M301">
        <v>24957448100</v>
      </c>
      <c r="N301">
        <v>0.99998200000000004</v>
      </c>
      <c r="O301">
        <v>1.0001370000000001</v>
      </c>
      <c r="P301">
        <v>0.99994499999999997</v>
      </c>
      <c r="Q301">
        <v>1.0000979999999999</v>
      </c>
      <c r="R301">
        <v>1.0000979999999999</v>
      </c>
      <c r="S301">
        <v>34904822689</v>
      </c>
      <c r="T301">
        <v>1.0000770000000001</v>
      </c>
      <c r="U301">
        <v>1.000283</v>
      </c>
      <c r="V301">
        <v>0.99985599999999997</v>
      </c>
      <c r="W301">
        <v>1.000032</v>
      </c>
      <c r="X301">
        <v>1.000032</v>
      </c>
      <c r="Y301">
        <v>3630797018</v>
      </c>
      <c r="Z301">
        <v>0.474221</v>
      </c>
      <c r="AA301">
        <v>0.48772599999999999</v>
      </c>
      <c r="AB301">
        <v>0.47309899999999999</v>
      </c>
      <c r="AC301">
        <v>0.48715599999999998</v>
      </c>
      <c r="AD301">
        <v>0.48715599999999998</v>
      </c>
      <c r="AE301">
        <v>511814025</v>
      </c>
    </row>
    <row r="302" spans="1:31" x14ac:dyDescent="0.25">
      <c r="A302" s="1">
        <v>44822</v>
      </c>
      <c r="B302">
        <v>1469.7054439999999</v>
      </c>
      <c r="C302">
        <v>1469.7054439999999</v>
      </c>
      <c r="D302">
        <v>1331.494751</v>
      </c>
      <c r="E302">
        <v>1335.3291019999999</v>
      </c>
      <c r="F302">
        <v>1335.3291019999999</v>
      </c>
      <c r="G302">
        <v>15762284723</v>
      </c>
      <c r="H302">
        <v>20127.234375</v>
      </c>
      <c r="I302">
        <v>20127.234375</v>
      </c>
      <c r="J302">
        <v>19387.492188</v>
      </c>
      <c r="K302">
        <v>19419.505859000001</v>
      </c>
      <c r="L302">
        <v>19419.505859000001</v>
      </c>
      <c r="M302">
        <v>31254779144</v>
      </c>
      <c r="N302">
        <v>1.0000960000000001</v>
      </c>
      <c r="O302">
        <v>1.0001450000000001</v>
      </c>
      <c r="P302">
        <v>0.99994899999999998</v>
      </c>
      <c r="Q302">
        <v>1.0000230000000001</v>
      </c>
      <c r="R302">
        <v>1.0000230000000001</v>
      </c>
      <c r="S302">
        <v>46056427438</v>
      </c>
      <c r="T302">
        <v>1.000081</v>
      </c>
      <c r="U302">
        <v>1.0002390000000001</v>
      </c>
      <c r="V302">
        <v>0.99965099999999996</v>
      </c>
      <c r="W302">
        <v>1.0000770000000001</v>
      </c>
      <c r="X302">
        <v>1.0000770000000001</v>
      </c>
      <c r="Y302">
        <v>4028540366</v>
      </c>
      <c r="Z302">
        <v>0.487091</v>
      </c>
      <c r="AA302">
        <v>0.48962099999999997</v>
      </c>
      <c r="AB302">
        <v>0.44465500000000002</v>
      </c>
      <c r="AC302">
        <v>0.44718599999999997</v>
      </c>
      <c r="AD302">
        <v>0.44718599999999997</v>
      </c>
      <c r="AE302">
        <v>677522389</v>
      </c>
    </row>
    <row r="303" spans="1:31" x14ac:dyDescent="0.25">
      <c r="A303" s="1">
        <v>44823</v>
      </c>
      <c r="B303">
        <v>1335.2707519999999</v>
      </c>
      <c r="C303">
        <v>1388.272217</v>
      </c>
      <c r="D303">
        <v>1287.4208980000001</v>
      </c>
      <c r="E303">
        <v>1377.5413820000001</v>
      </c>
      <c r="F303">
        <v>1377.5413820000001</v>
      </c>
      <c r="G303">
        <v>18712714223</v>
      </c>
      <c r="H303">
        <v>19418.572265999999</v>
      </c>
      <c r="I303">
        <v>19639.480468999998</v>
      </c>
      <c r="J303">
        <v>18390.318359000001</v>
      </c>
      <c r="K303">
        <v>19544.128906000002</v>
      </c>
      <c r="L303">
        <v>19544.128906000002</v>
      </c>
      <c r="M303">
        <v>40177002624</v>
      </c>
      <c r="N303">
        <v>1.000008</v>
      </c>
      <c r="O303">
        <v>1.000175</v>
      </c>
      <c r="P303">
        <v>0.99994499999999997</v>
      </c>
      <c r="Q303">
        <v>1.0001059999999999</v>
      </c>
      <c r="R303">
        <v>1.0001059999999999</v>
      </c>
      <c r="S303">
        <v>56769197831</v>
      </c>
      <c r="T303">
        <v>0.99999400000000005</v>
      </c>
      <c r="U303">
        <v>1.0004500000000001</v>
      </c>
      <c r="V303">
        <v>0.999668</v>
      </c>
      <c r="W303">
        <v>0.99987300000000001</v>
      </c>
      <c r="X303">
        <v>0.99987300000000001</v>
      </c>
      <c r="Y303">
        <v>5448220572</v>
      </c>
      <c r="Z303">
        <v>0.44728299999999999</v>
      </c>
      <c r="AA303">
        <v>0.45568500000000001</v>
      </c>
      <c r="AB303">
        <v>0.434388</v>
      </c>
      <c r="AC303">
        <v>0.45350400000000002</v>
      </c>
      <c r="AD303">
        <v>0.45350400000000002</v>
      </c>
      <c r="AE303">
        <v>776470650</v>
      </c>
    </row>
    <row r="304" spans="1:31" x14ac:dyDescent="0.25">
      <c r="A304" s="1">
        <v>44824</v>
      </c>
      <c r="B304">
        <v>1377.619019</v>
      </c>
      <c r="C304">
        <v>1381.965698</v>
      </c>
      <c r="D304">
        <v>1319.2014160000001</v>
      </c>
      <c r="E304">
        <v>1324.3881839999999</v>
      </c>
      <c r="F304">
        <v>1324.3881839999999</v>
      </c>
      <c r="G304">
        <v>14722317220</v>
      </c>
      <c r="H304">
        <v>19545.591797000001</v>
      </c>
      <c r="I304">
        <v>19602.457031000002</v>
      </c>
      <c r="J304">
        <v>18813.455077999999</v>
      </c>
      <c r="K304">
        <v>18890.789063</v>
      </c>
      <c r="L304">
        <v>18890.789063</v>
      </c>
      <c r="M304">
        <v>36791346508</v>
      </c>
      <c r="N304">
        <v>1.0001040000000001</v>
      </c>
      <c r="O304">
        <v>1.000194</v>
      </c>
      <c r="P304">
        <v>1.0000370000000001</v>
      </c>
      <c r="Q304">
        <v>1.0000599999999999</v>
      </c>
      <c r="R304">
        <v>1.0000599999999999</v>
      </c>
      <c r="S304">
        <v>50515394641</v>
      </c>
      <c r="T304">
        <v>0.99990199999999996</v>
      </c>
      <c r="U304">
        <v>1.000308</v>
      </c>
      <c r="V304">
        <v>0.99960000000000004</v>
      </c>
      <c r="W304">
        <v>0.99994799999999995</v>
      </c>
      <c r="X304">
        <v>0.99994799999999995</v>
      </c>
      <c r="Y304">
        <v>4922676526</v>
      </c>
      <c r="Z304">
        <v>0.45354299999999997</v>
      </c>
      <c r="AA304">
        <v>0.454071</v>
      </c>
      <c r="AB304">
        <v>0.43881399999999998</v>
      </c>
      <c r="AC304">
        <v>0.44189899999999999</v>
      </c>
      <c r="AD304">
        <v>0.44189899999999999</v>
      </c>
      <c r="AE304">
        <v>544680283</v>
      </c>
    </row>
    <row r="305" spans="1:31" x14ac:dyDescent="0.25">
      <c r="A305" s="1">
        <v>44825</v>
      </c>
      <c r="B305">
        <v>1324.2155760000001</v>
      </c>
      <c r="C305">
        <v>1384.4769289999999</v>
      </c>
      <c r="D305">
        <v>1229.4267580000001</v>
      </c>
      <c r="E305">
        <v>1252.607788</v>
      </c>
      <c r="F305">
        <v>1252.607788</v>
      </c>
      <c r="G305">
        <v>20643507800</v>
      </c>
      <c r="H305">
        <v>18891.283202999999</v>
      </c>
      <c r="I305">
        <v>19674.630859000001</v>
      </c>
      <c r="J305">
        <v>18290.314452999999</v>
      </c>
      <c r="K305">
        <v>18547.400390999999</v>
      </c>
      <c r="L305">
        <v>18547.400390999999</v>
      </c>
      <c r="M305">
        <v>46363793975</v>
      </c>
      <c r="N305">
        <v>1.0000549999999999</v>
      </c>
      <c r="O305">
        <v>1.000194</v>
      </c>
      <c r="P305">
        <v>1.0000329999999999</v>
      </c>
      <c r="Q305">
        <v>1.000086</v>
      </c>
      <c r="R305">
        <v>1.000086</v>
      </c>
      <c r="S305">
        <v>63560607050</v>
      </c>
      <c r="T305">
        <v>0.999915</v>
      </c>
      <c r="U305">
        <v>1.0006930000000001</v>
      </c>
      <c r="V305">
        <v>0.99934900000000004</v>
      </c>
      <c r="W305">
        <v>1.000113</v>
      </c>
      <c r="X305">
        <v>1.000113</v>
      </c>
      <c r="Y305">
        <v>5956755763</v>
      </c>
      <c r="Z305">
        <v>0.44195099999999998</v>
      </c>
      <c r="AA305">
        <v>0.46184199999999997</v>
      </c>
      <c r="AB305">
        <v>0.43254599999999999</v>
      </c>
      <c r="AC305">
        <v>0.44115900000000002</v>
      </c>
      <c r="AD305">
        <v>0.44115900000000002</v>
      </c>
      <c r="AE305">
        <v>1223771049</v>
      </c>
    </row>
    <row r="306" spans="1:31" x14ac:dyDescent="0.25">
      <c r="A306" s="1">
        <v>44826</v>
      </c>
      <c r="B306">
        <v>1251.5673830000001</v>
      </c>
      <c r="C306">
        <v>1336.157837</v>
      </c>
      <c r="D306">
        <v>1240.9682620000001</v>
      </c>
      <c r="E306">
        <v>1327.6801760000001</v>
      </c>
      <c r="F306">
        <v>1327.6801760000001</v>
      </c>
      <c r="G306">
        <v>18461527259</v>
      </c>
      <c r="H306">
        <v>18534.650390999999</v>
      </c>
      <c r="I306">
        <v>19456.910156000002</v>
      </c>
      <c r="J306">
        <v>18415.591797000001</v>
      </c>
      <c r="K306">
        <v>19413.550781000002</v>
      </c>
      <c r="L306">
        <v>19413.550781000002</v>
      </c>
      <c r="M306">
        <v>41135767926</v>
      </c>
      <c r="N306">
        <v>1.0001059999999999</v>
      </c>
      <c r="O306">
        <v>1.0001720000000001</v>
      </c>
      <c r="P306">
        <v>0.99997100000000005</v>
      </c>
      <c r="Q306">
        <v>0.99998399999999998</v>
      </c>
      <c r="R306">
        <v>0.99998399999999998</v>
      </c>
      <c r="S306">
        <v>54330130153</v>
      </c>
      <c r="T306">
        <v>1.0001340000000001</v>
      </c>
      <c r="U306">
        <v>1.000488</v>
      </c>
      <c r="V306">
        <v>0.99961299999999997</v>
      </c>
      <c r="W306">
        <v>0.99992000000000003</v>
      </c>
      <c r="X306">
        <v>0.99992000000000003</v>
      </c>
      <c r="Y306">
        <v>5233558179</v>
      </c>
      <c r="Z306">
        <v>0.44087599999999999</v>
      </c>
      <c r="AA306">
        <v>0.465499</v>
      </c>
      <c r="AB306">
        <v>0.43570999999999999</v>
      </c>
      <c r="AC306">
        <v>0.45896599999999999</v>
      </c>
      <c r="AD306">
        <v>0.45896599999999999</v>
      </c>
      <c r="AE306">
        <v>762487961</v>
      </c>
    </row>
    <row r="307" spans="1:31" x14ac:dyDescent="0.25">
      <c r="A307" s="1">
        <v>44827</v>
      </c>
      <c r="B307">
        <v>1327.4812010000001</v>
      </c>
      <c r="C307">
        <v>1353.2883300000001</v>
      </c>
      <c r="D307">
        <v>1270.1983640000001</v>
      </c>
      <c r="E307">
        <v>1328.2595209999999</v>
      </c>
      <c r="F307">
        <v>1328.2595209999999</v>
      </c>
      <c r="G307">
        <v>18771106339</v>
      </c>
      <c r="H307">
        <v>19412.400390999999</v>
      </c>
      <c r="I307">
        <v>19464.671875</v>
      </c>
      <c r="J307">
        <v>18617.552734000001</v>
      </c>
      <c r="K307">
        <v>19297.638672000001</v>
      </c>
      <c r="L307">
        <v>19297.638672000001</v>
      </c>
      <c r="M307">
        <v>38896078052</v>
      </c>
      <c r="N307">
        <v>0.99999400000000005</v>
      </c>
      <c r="O307">
        <v>1.000048</v>
      </c>
      <c r="P307">
        <v>0.999946</v>
      </c>
      <c r="Q307">
        <v>0.99998100000000001</v>
      </c>
      <c r="R307">
        <v>0.99998100000000001</v>
      </c>
      <c r="S307">
        <v>58265731392</v>
      </c>
      <c r="T307">
        <v>0.999946</v>
      </c>
      <c r="U307">
        <v>1.000386</v>
      </c>
      <c r="V307">
        <v>0.99972000000000005</v>
      </c>
      <c r="W307">
        <v>0.99999300000000002</v>
      </c>
      <c r="X307">
        <v>0.99999300000000002</v>
      </c>
      <c r="Y307">
        <v>5282910708</v>
      </c>
      <c r="Z307">
        <v>0.458951</v>
      </c>
      <c r="AA307">
        <v>0.47910799999999998</v>
      </c>
      <c r="AB307">
        <v>0.44835199999999997</v>
      </c>
      <c r="AC307">
        <v>0.46182099999999998</v>
      </c>
      <c r="AD307">
        <v>0.46182099999999998</v>
      </c>
      <c r="AE307">
        <v>1025328778</v>
      </c>
    </row>
    <row r="308" spans="1:31" x14ac:dyDescent="0.25">
      <c r="A308" s="1">
        <v>44828</v>
      </c>
      <c r="B308">
        <v>1328.244629</v>
      </c>
      <c r="C308">
        <v>1346.255249</v>
      </c>
      <c r="D308">
        <v>1312.640259</v>
      </c>
      <c r="E308">
        <v>1317.9932859999999</v>
      </c>
      <c r="F308">
        <v>1317.9932859999999</v>
      </c>
      <c r="G308">
        <v>12098209717</v>
      </c>
      <c r="H308">
        <v>19296.990234000001</v>
      </c>
      <c r="I308">
        <v>19310.197265999999</v>
      </c>
      <c r="J308">
        <v>18861.974609000001</v>
      </c>
      <c r="K308">
        <v>18937.011718999998</v>
      </c>
      <c r="L308">
        <v>18937.011718999998</v>
      </c>
      <c r="M308">
        <v>26149643168</v>
      </c>
      <c r="N308">
        <v>0.99998200000000004</v>
      </c>
      <c r="O308">
        <v>1.000102</v>
      </c>
      <c r="P308">
        <v>0.99995500000000004</v>
      </c>
      <c r="Q308">
        <v>1.0000500000000001</v>
      </c>
      <c r="R308">
        <v>1.0000500000000001</v>
      </c>
      <c r="S308">
        <v>39015165939</v>
      </c>
      <c r="T308">
        <v>1.0000100000000001</v>
      </c>
      <c r="U308">
        <v>1.000243</v>
      </c>
      <c r="V308">
        <v>0.99964699999999995</v>
      </c>
      <c r="W308">
        <v>0.999973</v>
      </c>
      <c r="X308">
        <v>0.999973</v>
      </c>
      <c r="Y308">
        <v>3875334932</v>
      </c>
      <c r="Z308">
        <v>0.46183000000000002</v>
      </c>
      <c r="AA308">
        <v>0.46709600000000001</v>
      </c>
      <c r="AB308">
        <v>0.45129399999999997</v>
      </c>
      <c r="AC308">
        <v>0.4516</v>
      </c>
      <c r="AD308">
        <v>0.4516</v>
      </c>
      <c r="AE308">
        <v>582129449</v>
      </c>
    </row>
    <row r="309" spans="1:31" x14ac:dyDescent="0.25">
      <c r="A309" s="1">
        <v>44829</v>
      </c>
      <c r="B309">
        <v>1317.9384769999999</v>
      </c>
      <c r="C309">
        <v>1333.3713379999999</v>
      </c>
      <c r="D309">
        <v>1275.627686</v>
      </c>
      <c r="E309">
        <v>1294.216797</v>
      </c>
      <c r="F309">
        <v>1294.216797</v>
      </c>
      <c r="G309">
        <v>11802651633</v>
      </c>
      <c r="H309">
        <v>18936.310547000001</v>
      </c>
      <c r="I309">
        <v>19134.732422000001</v>
      </c>
      <c r="J309">
        <v>18696.46875</v>
      </c>
      <c r="K309">
        <v>18802.097656000002</v>
      </c>
      <c r="L309">
        <v>18802.097656000002</v>
      </c>
      <c r="M309">
        <v>23359966112</v>
      </c>
      <c r="N309">
        <v>1.0000530000000001</v>
      </c>
      <c r="O309">
        <v>1.0001370000000001</v>
      </c>
      <c r="P309">
        <v>1.000024</v>
      </c>
      <c r="Q309">
        <v>1.0000549999999999</v>
      </c>
      <c r="R309">
        <v>1.0000549999999999</v>
      </c>
      <c r="S309">
        <v>35041309688</v>
      </c>
      <c r="T309">
        <v>0.99996799999999997</v>
      </c>
      <c r="U309">
        <v>1.0003010000000001</v>
      </c>
      <c r="V309">
        <v>0.99981699999999996</v>
      </c>
      <c r="W309">
        <v>0.99996799999999997</v>
      </c>
      <c r="X309">
        <v>0.99996799999999997</v>
      </c>
      <c r="Y309">
        <v>3878358168</v>
      </c>
      <c r="Z309">
        <v>0.45159899999999997</v>
      </c>
      <c r="AA309">
        <v>0.46177299999999999</v>
      </c>
      <c r="AB309">
        <v>0.440216</v>
      </c>
      <c r="AC309">
        <v>0.44618799999999997</v>
      </c>
      <c r="AD309">
        <v>0.44618799999999997</v>
      </c>
      <c r="AE309">
        <v>528836100</v>
      </c>
    </row>
    <row r="310" spans="1:31" x14ac:dyDescent="0.25">
      <c r="A310" s="1">
        <v>44830</v>
      </c>
      <c r="B310">
        <v>1294.3861079999999</v>
      </c>
      <c r="C310">
        <v>1335.5263669999999</v>
      </c>
      <c r="D310">
        <v>1282.0493160000001</v>
      </c>
      <c r="E310">
        <v>1335.3201899999999</v>
      </c>
      <c r="F310">
        <v>1335.3201899999999</v>
      </c>
      <c r="G310">
        <v>16034549271</v>
      </c>
      <c r="H310">
        <v>18803.900390999999</v>
      </c>
      <c r="I310">
        <v>19274.873047000001</v>
      </c>
      <c r="J310">
        <v>18721.285156000002</v>
      </c>
      <c r="K310">
        <v>19222.671875</v>
      </c>
      <c r="L310">
        <v>19222.671875</v>
      </c>
      <c r="M310">
        <v>44148798321</v>
      </c>
      <c r="N310">
        <v>1.0000469999999999</v>
      </c>
      <c r="O310">
        <v>1.000157</v>
      </c>
      <c r="P310">
        <v>0.99995000000000001</v>
      </c>
      <c r="Q310">
        <v>0.99999000000000005</v>
      </c>
      <c r="R310">
        <v>0.99999000000000005</v>
      </c>
      <c r="S310">
        <v>57810071895</v>
      </c>
      <c r="T310">
        <v>1.000049</v>
      </c>
      <c r="U310">
        <v>1.000421</v>
      </c>
      <c r="V310">
        <v>0.99974099999999999</v>
      </c>
      <c r="W310">
        <v>1.000165</v>
      </c>
      <c r="X310">
        <v>1.000165</v>
      </c>
      <c r="Y310">
        <v>3999499289</v>
      </c>
      <c r="Z310">
        <v>0.446299</v>
      </c>
      <c r="AA310">
        <v>0.45027</v>
      </c>
      <c r="AB310">
        <v>0.43823400000000001</v>
      </c>
      <c r="AC310">
        <v>0.44675700000000002</v>
      </c>
      <c r="AD310">
        <v>0.44675700000000002</v>
      </c>
      <c r="AE310">
        <v>630690579</v>
      </c>
    </row>
    <row r="311" spans="1:31" x14ac:dyDescent="0.25">
      <c r="A311" s="1">
        <v>44831</v>
      </c>
      <c r="B311">
        <v>1335.3370359999999</v>
      </c>
      <c r="C311">
        <v>1396.8914789999999</v>
      </c>
      <c r="D311">
        <v>1308.9914550000001</v>
      </c>
      <c r="E311">
        <v>1330.127686</v>
      </c>
      <c r="F311">
        <v>1330.127686</v>
      </c>
      <c r="G311">
        <v>17870598937</v>
      </c>
      <c r="H311">
        <v>19221.839843999998</v>
      </c>
      <c r="I311">
        <v>20338.455077999999</v>
      </c>
      <c r="J311">
        <v>18915.667968999998</v>
      </c>
      <c r="K311">
        <v>19110.546875</v>
      </c>
      <c r="L311">
        <v>19110.546875</v>
      </c>
      <c r="M311">
        <v>58571439619</v>
      </c>
      <c r="N311">
        <v>0.99998399999999998</v>
      </c>
      <c r="O311">
        <v>1.0000960000000001</v>
      </c>
      <c r="P311">
        <v>0.99995100000000003</v>
      </c>
      <c r="Q311">
        <v>0.99997999999999998</v>
      </c>
      <c r="R311">
        <v>0.99997999999999998</v>
      </c>
      <c r="S311">
        <v>71681603882</v>
      </c>
      <c r="T311">
        <v>1.0002139999999999</v>
      </c>
      <c r="U311">
        <v>1.0004120000000001</v>
      </c>
      <c r="V311">
        <v>0.99970499999999995</v>
      </c>
      <c r="W311">
        <v>1.0001230000000001</v>
      </c>
      <c r="X311">
        <v>1.0001230000000001</v>
      </c>
      <c r="Y311">
        <v>4795683665</v>
      </c>
      <c r="Z311">
        <v>0.44681900000000002</v>
      </c>
      <c r="AA311">
        <v>0.46249400000000002</v>
      </c>
      <c r="AB311">
        <v>0.43817200000000001</v>
      </c>
      <c r="AC311">
        <v>0.44189000000000001</v>
      </c>
      <c r="AD311">
        <v>0.44189000000000001</v>
      </c>
      <c r="AE311">
        <v>683067297</v>
      </c>
    </row>
    <row r="312" spans="1:31" x14ac:dyDescent="0.25">
      <c r="A312" s="1">
        <v>44832</v>
      </c>
      <c r="B312">
        <v>1329.5413820000001</v>
      </c>
      <c r="C312">
        <v>1351.9644780000001</v>
      </c>
      <c r="D312">
        <v>1267.869263</v>
      </c>
      <c r="E312">
        <v>1337.410889</v>
      </c>
      <c r="F312">
        <v>1337.410889</v>
      </c>
      <c r="G312">
        <v>18994979566</v>
      </c>
      <c r="H312">
        <v>19104.621093999998</v>
      </c>
      <c r="I312">
        <v>19688.34375</v>
      </c>
      <c r="J312">
        <v>18553.296875</v>
      </c>
      <c r="K312">
        <v>19426.720702999999</v>
      </c>
      <c r="L312">
        <v>19426.720702999999</v>
      </c>
      <c r="M312">
        <v>53071298734</v>
      </c>
      <c r="N312">
        <v>0.99997800000000003</v>
      </c>
      <c r="O312">
        <v>1.0000519999999999</v>
      </c>
      <c r="P312">
        <v>0.99991099999999999</v>
      </c>
      <c r="Q312">
        <v>0.99997599999999998</v>
      </c>
      <c r="R312">
        <v>0.99997599999999998</v>
      </c>
      <c r="S312">
        <v>65738293663</v>
      </c>
      <c r="T312">
        <v>1.000054</v>
      </c>
      <c r="U312">
        <v>1.0003439999999999</v>
      </c>
      <c r="V312">
        <v>0.99976699999999996</v>
      </c>
      <c r="W312">
        <v>1.000011</v>
      </c>
      <c r="X312">
        <v>1.000011</v>
      </c>
      <c r="Y312">
        <v>4650658918</v>
      </c>
      <c r="Z312">
        <v>0.44178200000000001</v>
      </c>
      <c r="AA312">
        <v>0.44251400000000002</v>
      </c>
      <c r="AB312">
        <v>0.42641400000000002</v>
      </c>
      <c r="AC312">
        <v>0.43729000000000001</v>
      </c>
      <c r="AD312">
        <v>0.43729000000000001</v>
      </c>
      <c r="AE312">
        <v>618645006</v>
      </c>
    </row>
    <row r="313" spans="1:31" x14ac:dyDescent="0.25">
      <c r="A313" s="1">
        <v>44833</v>
      </c>
      <c r="B313">
        <v>1337.554443</v>
      </c>
      <c r="C313">
        <v>1348.1076660000001</v>
      </c>
      <c r="D313">
        <v>1293.1933590000001</v>
      </c>
      <c r="E313">
        <v>1335.6523440000001</v>
      </c>
      <c r="F313">
        <v>1335.6523440000001</v>
      </c>
      <c r="G313">
        <v>13796915736</v>
      </c>
      <c r="H313">
        <v>19427.779297000001</v>
      </c>
      <c r="I313">
        <v>19589.265625</v>
      </c>
      <c r="J313">
        <v>18924.353515999999</v>
      </c>
      <c r="K313">
        <v>19573.050781000002</v>
      </c>
      <c r="L313">
        <v>19573.050781000002</v>
      </c>
      <c r="M313">
        <v>41037843771</v>
      </c>
      <c r="N313">
        <v>0.99999700000000002</v>
      </c>
      <c r="O313">
        <v>1.000097</v>
      </c>
      <c r="P313">
        <v>0.99992800000000004</v>
      </c>
      <c r="Q313">
        <v>1.0000789999999999</v>
      </c>
      <c r="R313">
        <v>1.0000789999999999</v>
      </c>
      <c r="S313">
        <v>52649004466</v>
      </c>
      <c r="T313">
        <v>1.000054</v>
      </c>
      <c r="U313">
        <v>1.000319</v>
      </c>
      <c r="V313">
        <v>0.99965199999999999</v>
      </c>
      <c r="W313">
        <v>1.000124</v>
      </c>
      <c r="X313">
        <v>1.000124</v>
      </c>
      <c r="Y313">
        <v>4102135594</v>
      </c>
      <c r="Z313">
        <v>0.43730799999999997</v>
      </c>
      <c r="AA313">
        <v>0.43836799999999998</v>
      </c>
      <c r="AB313">
        <v>0.42846400000000001</v>
      </c>
      <c r="AC313">
        <v>0.43817</v>
      </c>
      <c r="AD313">
        <v>0.43817</v>
      </c>
      <c r="AE313">
        <v>533583651</v>
      </c>
    </row>
    <row r="314" spans="1:31" x14ac:dyDescent="0.25">
      <c r="A314" s="1">
        <v>44834</v>
      </c>
      <c r="B314">
        <v>1335.6464840000001</v>
      </c>
      <c r="C314">
        <v>1368.743408</v>
      </c>
      <c r="D314">
        <v>1320.3831789999999</v>
      </c>
      <c r="E314">
        <v>1327.978638</v>
      </c>
      <c r="F314">
        <v>1327.978638</v>
      </c>
      <c r="G314">
        <v>14250100093</v>
      </c>
      <c r="H314">
        <v>19573.431640999999</v>
      </c>
      <c r="I314">
        <v>20109.849609000001</v>
      </c>
      <c r="J314">
        <v>19265.662109000001</v>
      </c>
      <c r="K314">
        <v>19431.789063</v>
      </c>
      <c r="L314">
        <v>19431.789063</v>
      </c>
      <c r="M314">
        <v>43975248085</v>
      </c>
      <c r="N314">
        <v>1.000076</v>
      </c>
      <c r="O314">
        <v>1.000165</v>
      </c>
      <c r="P314">
        <v>1.0000089999999999</v>
      </c>
      <c r="Q314">
        <v>1.000049</v>
      </c>
      <c r="R314">
        <v>1.000049</v>
      </c>
      <c r="S314">
        <v>55223655589</v>
      </c>
      <c r="T314">
        <v>0.99997199999999997</v>
      </c>
      <c r="U314">
        <v>1.0003949999999999</v>
      </c>
      <c r="V314">
        <v>0.99980100000000005</v>
      </c>
      <c r="W314">
        <v>1.0000659999999999</v>
      </c>
      <c r="X314">
        <v>1.0000659999999999</v>
      </c>
      <c r="Y314">
        <v>4870470845</v>
      </c>
      <c r="Z314">
        <v>0.43818299999999999</v>
      </c>
      <c r="AA314">
        <v>0.44054399999999999</v>
      </c>
      <c r="AB314">
        <v>0.43024899999999999</v>
      </c>
      <c r="AC314">
        <v>0.43441400000000002</v>
      </c>
      <c r="AD314">
        <v>0.43441400000000002</v>
      </c>
      <c r="AE314">
        <v>562475136</v>
      </c>
    </row>
    <row r="315" spans="1:31" x14ac:dyDescent="0.25">
      <c r="A315" s="1">
        <v>44835</v>
      </c>
      <c r="B315">
        <v>1328.193726</v>
      </c>
      <c r="C315">
        <v>1332.5164789999999</v>
      </c>
      <c r="D315">
        <v>1306.102539</v>
      </c>
      <c r="E315">
        <v>1311.644409</v>
      </c>
      <c r="F315">
        <v>1311.644409</v>
      </c>
      <c r="G315">
        <v>6227961237</v>
      </c>
      <c r="H315">
        <v>19431.105468999998</v>
      </c>
      <c r="I315">
        <v>19471.154297000001</v>
      </c>
      <c r="J315">
        <v>19231.082031000002</v>
      </c>
      <c r="K315">
        <v>19312.095702999999</v>
      </c>
      <c r="L315">
        <v>19312.095702999999</v>
      </c>
      <c r="M315">
        <v>18719537670</v>
      </c>
      <c r="N315">
        <v>1.000062</v>
      </c>
      <c r="O315">
        <v>1.0001070000000001</v>
      </c>
      <c r="P315">
        <v>0.99995599999999996</v>
      </c>
      <c r="Q315">
        <v>1.000043</v>
      </c>
      <c r="R315">
        <v>1.000043</v>
      </c>
      <c r="S315">
        <v>27312920843</v>
      </c>
      <c r="T315">
        <v>1.0000420000000001</v>
      </c>
      <c r="U315">
        <v>1.0001709999999999</v>
      </c>
      <c r="V315">
        <v>0.99979799999999996</v>
      </c>
      <c r="W315">
        <v>0.99998399999999998</v>
      </c>
      <c r="X315">
        <v>0.99998399999999998</v>
      </c>
      <c r="Y315">
        <v>3108134491</v>
      </c>
      <c r="Z315">
        <v>0.43442900000000001</v>
      </c>
      <c r="AA315">
        <v>0.43623099999999998</v>
      </c>
      <c r="AB315">
        <v>0.42895699999999998</v>
      </c>
      <c r="AC315">
        <v>0.43029299999999998</v>
      </c>
      <c r="AD315">
        <v>0.43029299999999998</v>
      </c>
      <c r="AE315">
        <v>317805815</v>
      </c>
    </row>
    <row r="316" spans="1:31" x14ac:dyDescent="0.25">
      <c r="A316" s="1">
        <v>44836</v>
      </c>
      <c r="B316">
        <v>1311.753418</v>
      </c>
      <c r="C316">
        <v>1316.330078</v>
      </c>
      <c r="D316">
        <v>1275.3360600000001</v>
      </c>
      <c r="E316">
        <v>1276.0935059999999</v>
      </c>
      <c r="F316">
        <v>1276.0935059999999</v>
      </c>
      <c r="G316">
        <v>7578351650</v>
      </c>
      <c r="H316">
        <v>19311.849609000001</v>
      </c>
      <c r="I316">
        <v>19370.308593999998</v>
      </c>
      <c r="J316">
        <v>18970.621093999998</v>
      </c>
      <c r="K316">
        <v>19044.107422000001</v>
      </c>
      <c r="L316">
        <v>19044.107422000001</v>
      </c>
      <c r="M316">
        <v>20765955327</v>
      </c>
      <c r="N316">
        <v>1.0000450000000001</v>
      </c>
      <c r="O316">
        <v>1.0001059999999999</v>
      </c>
      <c r="P316">
        <v>0.99994799999999995</v>
      </c>
      <c r="Q316">
        <v>1.0000599999999999</v>
      </c>
      <c r="R316">
        <v>1.0000599999999999</v>
      </c>
      <c r="S316">
        <v>30109417396</v>
      </c>
      <c r="T316">
        <v>1.000013</v>
      </c>
      <c r="U316">
        <v>1.000311</v>
      </c>
      <c r="V316">
        <v>0.99944200000000005</v>
      </c>
      <c r="W316">
        <v>0.99999099999999996</v>
      </c>
      <c r="X316">
        <v>0.99999099999999996</v>
      </c>
      <c r="Y316">
        <v>2933405193</v>
      </c>
      <c r="Z316">
        <v>0.430284</v>
      </c>
      <c r="AA316">
        <v>0.43229400000000001</v>
      </c>
      <c r="AB316">
        <v>0.41896600000000001</v>
      </c>
      <c r="AC316">
        <v>0.41963299999999998</v>
      </c>
      <c r="AD316">
        <v>0.41963299999999998</v>
      </c>
      <c r="AE316">
        <v>404886268</v>
      </c>
    </row>
    <row r="317" spans="1:31" x14ac:dyDescent="0.25">
      <c r="A317" s="1">
        <v>44837</v>
      </c>
      <c r="B317">
        <v>1276.163452</v>
      </c>
      <c r="C317">
        <v>1326.554443</v>
      </c>
      <c r="D317">
        <v>1271.150879</v>
      </c>
      <c r="E317">
        <v>1323.4392089999999</v>
      </c>
      <c r="F317">
        <v>1323.4392089999999</v>
      </c>
      <c r="G317">
        <v>10153070907</v>
      </c>
      <c r="H317">
        <v>19044.068359000001</v>
      </c>
      <c r="I317">
        <v>19653.542968999998</v>
      </c>
      <c r="J317">
        <v>19025.226563</v>
      </c>
      <c r="K317">
        <v>19623.580077999999</v>
      </c>
      <c r="L317">
        <v>19623.580077999999</v>
      </c>
      <c r="M317">
        <v>30484729489</v>
      </c>
      <c r="N317">
        <v>1.0000560000000001</v>
      </c>
      <c r="O317">
        <v>1.0001580000000001</v>
      </c>
      <c r="P317">
        <v>0.99998399999999998</v>
      </c>
      <c r="Q317">
        <v>1.000089</v>
      </c>
      <c r="R317">
        <v>1.000089</v>
      </c>
      <c r="S317">
        <v>40191505534</v>
      </c>
      <c r="T317">
        <v>1.000032</v>
      </c>
      <c r="U317">
        <v>1.0002150000000001</v>
      </c>
      <c r="V317">
        <v>0.99981600000000004</v>
      </c>
      <c r="W317">
        <v>0.99992700000000001</v>
      </c>
      <c r="X317">
        <v>0.99992700000000001</v>
      </c>
      <c r="Y317">
        <v>4449830981</v>
      </c>
      <c r="Z317">
        <v>0.41964400000000002</v>
      </c>
      <c r="AA317">
        <v>0.42860100000000001</v>
      </c>
      <c r="AB317">
        <v>0.418097</v>
      </c>
      <c r="AC317">
        <v>0.42799799999999999</v>
      </c>
      <c r="AD317">
        <v>0.42799799999999999</v>
      </c>
      <c r="AE317">
        <v>454947649</v>
      </c>
    </row>
    <row r="318" spans="1:31" x14ac:dyDescent="0.25">
      <c r="A318" s="1">
        <v>44838</v>
      </c>
      <c r="B318">
        <v>1323.2783199999999</v>
      </c>
      <c r="C318">
        <v>1364.970947</v>
      </c>
      <c r="D318">
        <v>1320.0766599999999</v>
      </c>
      <c r="E318">
        <v>1362.126587</v>
      </c>
      <c r="F318">
        <v>1362.126587</v>
      </c>
      <c r="G318">
        <v>10139774963</v>
      </c>
      <c r="H318">
        <v>19623.583984000001</v>
      </c>
      <c r="I318">
        <v>20380.34375</v>
      </c>
      <c r="J318">
        <v>19523.839843999998</v>
      </c>
      <c r="K318">
        <v>20336.84375</v>
      </c>
      <c r="L318">
        <v>20336.84375</v>
      </c>
      <c r="M318">
        <v>35887278685</v>
      </c>
      <c r="N318">
        <v>1.0000910000000001</v>
      </c>
      <c r="O318">
        <v>1.000256</v>
      </c>
      <c r="P318">
        <v>1.000065</v>
      </c>
      <c r="Q318">
        <v>1.000251</v>
      </c>
      <c r="R318">
        <v>1.000251</v>
      </c>
      <c r="S318">
        <v>44505643606</v>
      </c>
      <c r="T318">
        <v>0.99991600000000003</v>
      </c>
      <c r="U318">
        <v>1.0002</v>
      </c>
      <c r="V318">
        <v>0.99978800000000001</v>
      </c>
      <c r="W318">
        <v>0.99993200000000004</v>
      </c>
      <c r="X318">
        <v>0.99993200000000004</v>
      </c>
      <c r="Y318">
        <v>3702781171</v>
      </c>
      <c r="Z318">
        <v>0.42800300000000002</v>
      </c>
      <c r="AA318">
        <v>0.43722</v>
      </c>
      <c r="AB318">
        <v>0.42592000000000002</v>
      </c>
      <c r="AC318">
        <v>0.43576500000000001</v>
      </c>
      <c r="AD318">
        <v>0.43576500000000001</v>
      </c>
      <c r="AE318">
        <v>443212603</v>
      </c>
    </row>
    <row r="319" spans="1:31" x14ac:dyDescent="0.25">
      <c r="A319" s="1">
        <v>44839</v>
      </c>
      <c r="B319">
        <v>1361.9729</v>
      </c>
      <c r="C319">
        <v>1362.4517820000001</v>
      </c>
      <c r="D319">
        <v>1320.8551030000001</v>
      </c>
      <c r="E319">
        <v>1352.837158</v>
      </c>
      <c r="F319">
        <v>1352.837158</v>
      </c>
      <c r="G319">
        <v>9774451820</v>
      </c>
      <c r="H319">
        <v>20335.900390999999</v>
      </c>
      <c r="I319">
        <v>20343.748047000001</v>
      </c>
      <c r="J319">
        <v>19801.800781000002</v>
      </c>
      <c r="K319">
        <v>20160.716797000001</v>
      </c>
      <c r="L319">
        <v>20160.716797000001</v>
      </c>
      <c r="M319">
        <v>33223790572</v>
      </c>
      <c r="N319">
        <v>1.0002500000000001</v>
      </c>
      <c r="O319">
        <v>1.000305</v>
      </c>
      <c r="P319">
        <v>1.0000519999999999</v>
      </c>
      <c r="Q319">
        <v>1.0001089999999999</v>
      </c>
      <c r="R319">
        <v>1.0001089999999999</v>
      </c>
      <c r="S319">
        <v>41883470473</v>
      </c>
      <c r="T319">
        <v>0.99994300000000003</v>
      </c>
      <c r="U319">
        <v>1.0002530000000001</v>
      </c>
      <c r="V319">
        <v>0.99970999999999999</v>
      </c>
      <c r="W319">
        <v>0.99993799999999999</v>
      </c>
      <c r="X319">
        <v>0.99993799999999999</v>
      </c>
      <c r="Y319">
        <v>3648372214</v>
      </c>
      <c r="Z319">
        <v>0.43577700000000003</v>
      </c>
      <c r="AA319">
        <v>0.43622100000000003</v>
      </c>
      <c r="AB319">
        <v>0.42471199999999998</v>
      </c>
      <c r="AC319">
        <v>0.43127300000000002</v>
      </c>
      <c r="AD319">
        <v>0.43127300000000002</v>
      </c>
      <c r="AE319">
        <v>442089311</v>
      </c>
    </row>
    <row r="320" spans="1:31" x14ac:dyDescent="0.25">
      <c r="A320" s="1">
        <v>44840</v>
      </c>
      <c r="B320">
        <v>1352.8066409999999</v>
      </c>
      <c r="C320">
        <v>1380.4049070000001</v>
      </c>
      <c r="D320">
        <v>1349.4499510000001</v>
      </c>
      <c r="E320">
        <v>1351.7094729999999</v>
      </c>
      <c r="F320">
        <v>1351.7094729999999</v>
      </c>
      <c r="G320">
        <v>12033514861</v>
      </c>
      <c r="H320">
        <v>20161.039063</v>
      </c>
      <c r="I320">
        <v>20408.392577999999</v>
      </c>
      <c r="J320">
        <v>19900.087890999999</v>
      </c>
      <c r="K320">
        <v>19955.443359000001</v>
      </c>
      <c r="L320">
        <v>19955.443359000001</v>
      </c>
      <c r="M320">
        <v>34711412966</v>
      </c>
      <c r="N320">
        <v>1.000105</v>
      </c>
      <c r="O320">
        <v>1.000224</v>
      </c>
      <c r="P320">
        <v>1.0000880000000001</v>
      </c>
      <c r="Q320">
        <v>1.000143</v>
      </c>
      <c r="R320">
        <v>1.000143</v>
      </c>
      <c r="S320">
        <v>43958843047</v>
      </c>
      <c r="T320">
        <v>1.000006</v>
      </c>
      <c r="U320">
        <v>1.000272</v>
      </c>
      <c r="V320">
        <v>0.99971299999999996</v>
      </c>
      <c r="W320">
        <v>0.999969</v>
      </c>
      <c r="X320">
        <v>0.999969</v>
      </c>
      <c r="Y320">
        <v>4064924187</v>
      </c>
      <c r="Z320">
        <v>0.43126500000000001</v>
      </c>
      <c r="AA320">
        <v>0.43668400000000002</v>
      </c>
      <c r="AB320">
        <v>0.42678899999999997</v>
      </c>
      <c r="AC320">
        <v>0.42868699999999998</v>
      </c>
      <c r="AD320">
        <v>0.42868699999999998</v>
      </c>
      <c r="AE320">
        <v>429115801</v>
      </c>
    </row>
    <row r="321" spans="1:31" x14ac:dyDescent="0.25">
      <c r="A321" s="1">
        <v>44841</v>
      </c>
      <c r="B321">
        <v>1351.8364260000001</v>
      </c>
      <c r="C321">
        <v>1359.328125</v>
      </c>
      <c r="D321">
        <v>1321.7460940000001</v>
      </c>
      <c r="E321">
        <v>1332.5169679999999</v>
      </c>
      <c r="F321">
        <v>1332.5169679999999</v>
      </c>
      <c r="G321">
        <v>10061619355</v>
      </c>
      <c r="H321">
        <v>19957.558593999998</v>
      </c>
      <c r="I321">
        <v>20041.085938</v>
      </c>
      <c r="J321">
        <v>19395.792968999998</v>
      </c>
      <c r="K321">
        <v>19546.849609000001</v>
      </c>
      <c r="L321">
        <v>19546.849609000001</v>
      </c>
      <c r="M321">
        <v>29227315390</v>
      </c>
      <c r="N321">
        <v>1.000127</v>
      </c>
      <c r="O321">
        <v>1.0002120000000001</v>
      </c>
      <c r="P321">
        <v>1.0000579999999999</v>
      </c>
      <c r="Q321">
        <v>1.000122</v>
      </c>
      <c r="R321">
        <v>1.000122</v>
      </c>
      <c r="S321">
        <v>38019451874</v>
      </c>
      <c r="T321">
        <v>0.99998799999999999</v>
      </c>
      <c r="U321">
        <v>1.0002500000000001</v>
      </c>
      <c r="V321">
        <v>0.99973100000000004</v>
      </c>
      <c r="W321">
        <v>1.000022</v>
      </c>
      <c r="X321">
        <v>1.000022</v>
      </c>
      <c r="Y321">
        <v>3663387742</v>
      </c>
      <c r="Z321">
        <v>0.42869299999999999</v>
      </c>
      <c r="AA321">
        <v>0.43031900000000001</v>
      </c>
      <c r="AB321">
        <v>0.42239100000000002</v>
      </c>
      <c r="AC321">
        <v>0.42431999999999997</v>
      </c>
      <c r="AD321">
        <v>0.42431999999999997</v>
      </c>
      <c r="AE321">
        <v>412845097</v>
      </c>
    </row>
    <row r="322" spans="1:31" x14ac:dyDescent="0.25">
      <c r="A322" s="1">
        <v>44842</v>
      </c>
      <c r="B322">
        <v>1332.3713379999999</v>
      </c>
      <c r="C322">
        <v>1335.9548339999999</v>
      </c>
      <c r="D322">
        <v>1307.0729980000001</v>
      </c>
      <c r="E322">
        <v>1315.5004879999999</v>
      </c>
      <c r="F322">
        <v>1315.5004879999999</v>
      </c>
      <c r="G322">
        <v>5804676208</v>
      </c>
      <c r="H322">
        <v>19546.328125</v>
      </c>
      <c r="I322">
        <v>19601.695313</v>
      </c>
      <c r="J322">
        <v>19299.414063</v>
      </c>
      <c r="K322">
        <v>19416.568359000001</v>
      </c>
      <c r="L322">
        <v>19416.568359000001</v>
      </c>
      <c r="M322">
        <v>16437423167</v>
      </c>
      <c r="N322">
        <v>1.0001249999999999</v>
      </c>
      <c r="O322">
        <v>1.0001899999999999</v>
      </c>
      <c r="P322">
        <v>1.0000439999999999</v>
      </c>
      <c r="Q322">
        <v>1.0000830000000001</v>
      </c>
      <c r="R322">
        <v>1.0000830000000001</v>
      </c>
      <c r="S322">
        <v>23441883205</v>
      </c>
      <c r="T322">
        <v>0.99999300000000002</v>
      </c>
      <c r="U322">
        <v>1.000189</v>
      </c>
      <c r="V322">
        <v>0.99976600000000004</v>
      </c>
      <c r="W322">
        <v>1.0001469999999999</v>
      </c>
      <c r="X322">
        <v>1.0001469999999999</v>
      </c>
      <c r="Y322">
        <v>2735745388</v>
      </c>
      <c r="Z322">
        <v>0.42425299999999999</v>
      </c>
      <c r="AA322">
        <v>0.42676199999999997</v>
      </c>
      <c r="AB322">
        <v>0.42011199999999999</v>
      </c>
      <c r="AC322">
        <v>0.421736</v>
      </c>
      <c r="AD322">
        <v>0.421736</v>
      </c>
      <c r="AE322">
        <v>295762328</v>
      </c>
    </row>
    <row r="323" spans="1:31" x14ac:dyDescent="0.25">
      <c r="A323" s="1">
        <v>44843</v>
      </c>
      <c r="B323">
        <v>1315.4602050000001</v>
      </c>
      <c r="C323">
        <v>1327.668823</v>
      </c>
      <c r="D323">
        <v>1309.3446039999999</v>
      </c>
      <c r="E323">
        <v>1322.6042480000001</v>
      </c>
      <c r="F323">
        <v>1322.6042480000001</v>
      </c>
      <c r="G323">
        <v>5486230123</v>
      </c>
      <c r="H323">
        <v>19417.478515999999</v>
      </c>
      <c r="I323">
        <v>19542.539063</v>
      </c>
      <c r="J323">
        <v>19349.259765999999</v>
      </c>
      <c r="K323">
        <v>19446.425781000002</v>
      </c>
      <c r="L323">
        <v>19446.425781000002</v>
      </c>
      <c r="M323">
        <v>16837262532</v>
      </c>
      <c r="N323">
        <v>1.000078</v>
      </c>
      <c r="O323">
        <v>1.0001819999999999</v>
      </c>
      <c r="P323">
        <v>1.0000640000000001</v>
      </c>
      <c r="Q323">
        <v>1.0001580000000001</v>
      </c>
      <c r="R323">
        <v>1.0001580000000001</v>
      </c>
      <c r="S323">
        <v>22977760897</v>
      </c>
      <c r="T323">
        <v>1.000151</v>
      </c>
      <c r="U323">
        <v>1.0002169999999999</v>
      </c>
      <c r="V323">
        <v>0.99985400000000002</v>
      </c>
      <c r="W323">
        <v>0.99999300000000002</v>
      </c>
      <c r="X323">
        <v>0.99999300000000002</v>
      </c>
      <c r="Y323">
        <v>2260430910</v>
      </c>
      <c r="Z323">
        <v>0.42179100000000003</v>
      </c>
      <c r="AA323">
        <v>0.42400100000000002</v>
      </c>
      <c r="AB323">
        <v>0.41997499999999999</v>
      </c>
      <c r="AC323">
        <v>0.423072</v>
      </c>
      <c r="AD323">
        <v>0.423072</v>
      </c>
      <c r="AE323">
        <v>280279986</v>
      </c>
    </row>
    <row r="324" spans="1:31" x14ac:dyDescent="0.25">
      <c r="A324" s="1">
        <v>44844</v>
      </c>
      <c r="B324">
        <v>1322.6186520000001</v>
      </c>
      <c r="C324">
        <v>1335.66272</v>
      </c>
      <c r="D324">
        <v>1291.3376459999999</v>
      </c>
      <c r="E324">
        <v>1291.3376459999999</v>
      </c>
      <c r="F324">
        <v>1291.3376459999999</v>
      </c>
      <c r="G324">
        <v>8794491050</v>
      </c>
      <c r="H324">
        <v>19446.416015999999</v>
      </c>
      <c r="I324">
        <v>19515.466797000001</v>
      </c>
      <c r="J324">
        <v>19102.978515999999</v>
      </c>
      <c r="K324">
        <v>19141.484375</v>
      </c>
      <c r="L324">
        <v>19141.484375</v>
      </c>
      <c r="M324">
        <v>27425022774</v>
      </c>
      <c r="N324">
        <v>1.000159</v>
      </c>
      <c r="O324">
        <v>1.000189</v>
      </c>
      <c r="P324">
        <v>0.99994000000000005</v>
      </c>
      <c r="Q324">
        <v>1.0000180000000001</v>
      </c>
      <c r="R324">
        <v>1.0000180000000001</v>
      </c>
      <c r="S324">
        <v>37843287016</v>
      </c>
      <c r="T324">
        <v>0.99998100000000001</v>
      </c>
      <c r="U324">
        <v>1.000243</v>
      </c>
      <c r="V324">
        <v>0.99973800000000002</v>
      </c>
      <c r="W324">
        <v>0.99994099999999997</v>
      </c>
      <c r="X324">
        <v>0.99994099999999997</v>
      </c>
      <c r="Y324">
        <v>3234465931</v>
      </c>
      <c r="Z324">
        <v>0.42305399999999999</v>
      </c>
      <c r="AA324">
        <v>0.42626500000000001</v>
      </c>
      <c r="AB324">
        <v>0.40178799999999998</v>
      </c>
      <c r="AC324">
        <v>0.40180100000000002</v>
      </c>
      <c r="AD324">
        <v>0.40180100000000002</v>
      </c>
      <c r="AE324">
        <v>522186013</v>
      </c>
    </row>
    <row r="325" spans="1:31" x14ac:dyDescent="0.25">
      <c r="A325" s="1">
        <v>44845</v>
      </c>
      <c r="B325">
        <v>1291.1096190000001</v>
      </c>
      <c r="C325">
        <v>1296.2739260000001</v>
      </c>
      <c r="D325">
        <v>1272.7376710000001</v>
      </c>
      <c r="E325">
        <v>1279.5756839999999</v>
      </c>
      <c r="F325">
        <v>1279.5756839999999</v>
      </c>
      <c r="G325">
        <v>9274845260</v>
      </c>
      <c r="H325">
        <v>19139</v>
      </c>
      <c r="I325">
        <v>19241.960938</v>
      </c>
      <c r="J325">
        <v>18925.603515999999</v>
      </c>
      <c r="K325">
        <v>19051.417968999998</v>
      </c>
      <c r="L325">
        <v>19051.417968999998</v>
      </c>
      <c r="M325">
        <v>28711532910</v>
      </c>
      <c r="N325">
        <v>1.0000089999999999</v>
      </c>
      <c r="O325">
        <v>1.000065</v>
      </c>
      <c r="P325">
        <v>0.99988900000000003</v>
      </c>
      <c r="Q325">
        <v>0.99990100000000004</v>
      </c>
      <c r="R325">
        <v>0.99990100000000004</v>
      </c>
      <c r="S325">
        <v>38468219592</v>
      </c>
      <c r="T325">
        <v>0.99993399999999999</v>
      </c>
      <c r="U325">
        <v>1.000273</v>
      </c>
      <c r="V325">
        <v>0.99970999999999999</v>
      </c>
      <c r="W325">
        <v>1.0000249999999999</v>
      </c>
      <c r="X325">
        <v>1.0000249999999999</v>
      </c>
      <c r="Y325">
        <v>3635935332</v>
      </c>
      <c r="Z325">
        <v>0.40173500000000001</v>
      </c>
      <c r="AA325">
        <v>0.40173500000000001</v>
      </c>
      <c r="AB325">
        <v>0.38847300000000001</v>
      </c>
      <c r="AC325">
        <v>0.39054</v>
      </c>
      <c r="AD325">
        <v>0.39054</v>
      </c>
      <c r="AE325">
        <v>647675205</v>
      </c>
    </row>
    <row r="326" spans="1:31" x14ac:dyDescent="0.25">
      <c r="A326" s="1">
        <v>44846</v>
      </c>
      <c r="B326">
        <v>1279.7322999999999</v>
      </c>
      <c r="C326">
        <v>1303.0751949999999</v>
      </c>
      <c r="D326">
        <v>1277.527466</v>
      </c>
      <c r="E326">
        <v>1294.9063719999999</v>
      </c>
      <c r="F326">
        <v>1294.9063719999999</v>
      </c>
      <c r="G326">
        <v>8355638578</v>
      </c>
      <c r="H326">
        <v>19052.646484000001</v>
      </c>
      <c r="I326">
        <v>19203.199218999998</v>
      </c>
      <c r="J326">
        <v>19029.757813</v>
      </c>
      <c r="K326">
        <v>19157.445313</v>
      </c>
      <c r="L326">
        <v>19157.445313</v>
      </c>
      <c r="M326">
        <v>24950173846</v>
      </c>
      <c r="N326">
        <v>0.99992099999999995</v>
      </c>
      <c r="O326">
        <v>1.0000439999999999</v>
      </c>
      <c r="P326">
        <v>0.99986200000000003</v>
      </c>
      <c r="Q326">
        <v>0.99999199999999999</v>
      </c>
      <c r="R326">
        <v>0.99999199999999999</v>
      </c>
      <c r="S326">
        <v>33048616462</v>
      </c>
      <c r="T326">
        <v>1.000024</v>
      </c>
      <c r="U326">
        <v>1.0002549999999999</v>
      </c>
      <c r="V326">
        <v>0.99985999999999997</v>
      </c>
      <c r="W326">
        <v>0.99996200000000002</v>
      </c>
      <c r="X326">
        <v>0.99996200000000002</v>
      </c>
      <c r="Y326">
        <v>2920458912</v>
      </c>
      <c r="Z326">
        <v>0.39058300000000001</v>
      </c>
      <c r="AA326">
        <v>0.39501900000000001</v>
      </c>
      <c r="AB326">
        <v>0.37863999999999998</v>
      </c>
      <c r="AC326">
        <v>0.38129999999999997</v>
      </c>
      <c r="AD326">
        <v>0.38129999999999997</v>
      </c>
      <c r="AE326">
        <v>470666876</v>
      </c>
    </row>
    <row r="327" spans="1:31" x14ac:dyDescent="0.25">
      <c r="A327" s="1">
        <v>44847</v>
      </c>
      <c r="B327">
        <v>1294.9173579999999</v>
      </c>
      <c r="C327">
        <v>1297.5642089999999</v>
      </c>
      <c r="D327">
        <v>1209.278198</v>
      </c>
      <c r="E327">
        <v>1288.1239009999999</v>
      </c>
      <c r="F327">
        <v>1288.1239009999999</v>
      </c>
      <c r="G327">
        <v>17499038202</v>
      </c>
      <c r="H327">
        <v>19156.966797000001</v>
      </c>
      <c r="I327">
        <v>19453.328125</v>
      </c>
      <c r="J327">
        <v>18319.822265999999</v>
      </c>
      <c r="K327">
        <v>19382.904297000001</v>
      </c>
      <c r="L327">
        <v>19382.904297000001</v>
      </c>
      <c r="M327">
        <v>44219840004</v>
      </c>
      <c r="N327">
        <v>0.99998299999999996</v>
      </c>
      <c r="O327">
        <v>1.0001359999999999</v>
      </c>
      <c r="P327">
        <v>0.99993200000000004</v>
      </c>
      <c r="Q327">
        <v>1.0000789999999999</v>
      </c>
      <c r="R327">
        <v>1.0000789999999999</v>
      </c>
      <c r="S327">
        <v>60450860335</v>
      </c>
      <c r="T327">
        <v>0.99997000000000003</v>
      </c>
      <c r="U327">
        <v>1.000351</v>
      </c>
      <c r="V327">
        <v>0.99954600000000005</v>
      </c>
      <c r="W327">
        <v>1.000016</v>
      </c>
      <c r="X327">
        <v>1.000016</v>
      </c>
      <c r="Y327">
        <v>4863475901</v>
      </c>
      <c r="Z327">
        <v>0.38132300000000002</v>
      </c>
      <c r="AA327">
        <v>0.38200899999999999</v>
      </c>
      <c r="AB327">
        <v>0.35116900000000001</v>
      </c>
      <c r="AC327">
        <v>0.37763799999999997</v>
      </c>
      <c r="AD327">
        <v>0.37763799999999997</v>
      </c>
      <c r="AE327">
        <v>1059234268</v>
      </c>
    </row>
    <row r="328" spans="1:31" x14ac:dyDescent="0.25">
      <c r="A328" s="1">
        <v>44848</v>
      </c>
      <c r="B328">
        <v>1288.048706</v>
      </c>
      <c r="C328">
        <v>1339.744751</v>
      </c>
      <c r="D328">
        <v>1285.3782960000001</v>
      </c>
      <c r="E328">
        <v>1297.4221190000001</v>
      </c>
      <c r="F328">
        <v>1297.4221190000001</v>
      </c>
      <c r="G328">
        <v>13113767755</v>
      </c>
      <c r="H328">
        <v>19382.533202999999</v>
      </c>
      <c r="I328">
        <v>19889.146484000001</v>
      </c>
      <c r="J328">
        <v>19115.408202999999</v>
      </c>
      <c r="K328">
        <v>19185.65625</v>
      </c>
      <c r="L328">
        <v>19185.65625</v>
      </c>
      <c r="M328">
        <v>38452356727</v>
      </c>
      <c r="N328">
        <v>1.0000830000000001</v>
      </c>
      <c r="O328">
        <v>1.0001530000000001</v>
      </c>
      <c r="P328">
        <v>1.000016</v>
      </c>
      <c r="Q328">
        <v>1.0000739999999999</v>
      </c>
      <c r="R328">
        <v>1.0000739999999999</v>
      </c>
      <c r="S328">
        <v>48926387475</v>
      </c>
      <c r="T328">
        <v>1.0000089999999999</v>
      </c>
      <c r="U328">
        <v>1.000324</v>
      </c>
      <c r="V328">
        <v>0.99970099999999995</v>
      </c>
      <c r="W328">
        <v>0.99999499999999997</v>
      </c>
      <c r="X328">
        <v>0.99999499999999997</v>
      </c>
      <c r="Y328">
        <v>4058420604</v>
      </c>
      <c r="Z328">
        <v>0.37762899999999999</v>
      </c>
      <c r="AA328">
        <v>0.38853399999999999</v>
      </c>
      <c r="AB328">
        <v>0.36204700000000001</v>
      </c>
      <c r="AC328">
        <v>0.36685099999999998</v>
      </c>
      <c r="AD328">
        <v>0.36685099999999998</v>
      </c>
      <c r="AE328">
        <v>563104935</v>
      </c>
    </row>
    <row r="329" spans="1:31" x14ac:dyDescent="0.25">
      <c r="A329" s="1">
        <v>44849</v>
      </c>
      <c r="B329">
        <v>1297.305908</v>
      </c>
      <c r="C329">
        <v>1300.7459719999999</v>
      </c>
      <c r="D329">
        <v>1268.4685059999999</v>
      </c>
      <c r="E329">
        <v>1274.8717039999999</v>
      </c>
      <c r="F329">
        <v>1274.8717039999999</v>
      </c>
      <c r="G329">
        <v>6798512624</v>
      </c>
      <c r="H329">
        <v>19185.4375</v>
      </c>
      <c r="I329">
        <v>19212.541015999999</v>
      </c>
      <c r="J329">
        <v>19019.25</v>
      </c>
      <c r="K329">
        <v>19067.634765999999</v>
      </c>
      <c r="L329">
        <v>19067.634765999999</v>
      </c>
      <c r="M329">
        <v>16192235532</v>
      </c>
      <c r="N329">
        <v>1.000073</v>
      </c>
      <c r="O329">
        <v>1.000159</v>
      </c>
      <c r="P329">
        <v>1.0000169999999999</v>
      </c>
      <c r="Q329">
        <v>1.0000869999999999</v>
      </c>
      <c r="R329">
        <v>1.0000869999999999</v>
      </c>
      <c r="S329">
        <v>25527432092</v>
      </c>
      <c r="T329">
        <v>0.999996</v>
      </c>
      <c r="U329">
        <v>1.000235</v>
      </c>
      <c r="V329">
        <v>0.999838</v>
      </c>
      <c r="W329">
        <v>0.99992999999999999</v>
      </c>
      <c r="X329">
        <v>0.99992999999999999</v>
      </c>
      <c r="Y329">
        <v>2551998130</v>
      </c>
      <c r="Z329">
        <v>0.36684899999999998</v>
      </c>
      <c r="AA329">
        <v>0.369367</v>
      </c>
      <c r="AB329">
        <v>0.36208299999999999</v>
      </c>
      <c r="AC329">
        <v>0.36374400000000001</v>
      </c>
      <c r="AD329">
        <v>0.36374400000000001</v>
      </c>
      <c r="AE329">
        <v>349542728</v>
      </c>
    </row>
    <row r="330" spans="1:31" x14ac:dyDescent="0.25">
      <c r="A330" s="1">
        <v>44850</v>
      </c>
      <c r="B330">
        <v>1275.0054929999999</v>
      </c>
      <c r="C330">
        <v>1312.6345209999999</v>
      </c>
      <c r="D330">
        <v>1275.0054929999999</v>
      </c>
      <c r="E330">
        <v>1306.2966309999999</v>
      </c>
      <c r="F330">
        <v>1306.2966309999999</v>
      </c>
      <c r="G330">
        <v>7491625206</v>
      </c>
      <c r="H330">
        <v>19068.914063</v>
      </c>
      <c r="I330">
        <v>19389.603515999999</v>
      </c>
      <c r="J330">
        <v>19068.914063</v>
      </c>
      <c r="K330">
        <v>19268.09375</v>
      </c>
      <c r="L330">
        <v>19268.09375</v>
      </c>
      <c r="M330">
        <v>17988916650</v>
      </c>
      <c r="N330">
        <v>1.000084</v>
      </c>
      <c r="O330">
        <v>1.000149</v>
      </c>
      <c r="P330">
        <v>1.0000290000000001</v>
      </c>
      <c r="Q330">
        <v>1.000057</v>
      </c>
      <c r="R330">
        <v>1.000057</v>
      </c>
      <c r="S330">
        <v>27428821905</v>
      </c>
      <c r="T330">
        <v>0.99990599999999996</v>
      </c>
      <c r="U330">
        <v>1.000286</v>
      </c>
      <c r="V330">
        <v>0.99983200000000005</v>
      </c>
      <c r="W330">
        <v>0.99995299999999998</v>
      </c>
      <c r="X330">
        <v>0.99995299999999998</v>
      </c>
      <c r="Y330">
        <v>2511992440</v>
      </c>
      <c r="Z330">
        <v>0.363813</v>
      </c>
      <c r="AA330">
        <v>0.37441799999999997</v>
      </c>
      <c r="AB330">
        <v>0.363813</v>
      </c>
      <c r="AC330">
        <v>0.37028100000000003</v>
      </c>
      <c r="AD330">
        <v>0.37028100000000003</v>
      </c>
      <c r="AE330">
        <v>337167739</v>
      </c>
    </row>
    <row r="331" spans="1:31" x14ac:dyDescent="0.25">
      <c r="A331" s="1">
        <v>44851</v>
      </c>
      <c r="B331">
        <v>1306.3095699999999</v>
      </c>
      <c r="C331">
        <v>1335.647827</v>
      </c>
      <c r="D331">
        <v>1297.4472659999999</v>
      </c>
      <c r="E331">
        <v>1331.7136230000001</v>
      </c>
      <c r="F331">
        <v>1331.7136230000001</v>
      </c>
      <c r="G331">
        <v>9401189650</v>
      </c>
      <c r="H331">
        <v>19268.5625</v>
      </c>
      <c r="I331">
        <v>19635.802734000001</v>
      </c>
      <c r="J331">
        <v>19173.333984000001</v>
      </c>
      <c r="K331">
        <v>19550.757813</v>
      </c>
      <c r="L331">
        <v>19550.757813</v>
      </c>
      <c r="M331">
        <v>27472552998</v>
      </c>
      <c r="N331">
        <v>1.0000599999999999</v>
      </c>
      <c r="O331">
        <v>1.000148</v>
      </c>
      <c r="P331">
        <v>1.0000119999999999</v>
      </c>
      <c r="Q331">
        <v>1.0000690000000001</v>
      </c>
      <c r="R331">
        <v>1.0000690000000001</v>
      </c>
      <c r="S331">
        <v>36706571573</v>
      </c>
      <c r="T331">
        <v>0.99996099999999999</v>
      </c>
      <c r="U331">
        <v>1.0002180000000001</v>
      </c>
      <c r="V331">
        <v>0.99985400000000002</v>
      </c>
      <c r="W331">
        <v>0.99998500000000001</v>
      </c>
      <c r="X331">
        <v>0.99998500000000001</v>
      </c>
      <c r="Y331">
        <v>2980936199</v>
      </c>
      <c r="Z331">
        <v>0.37027100000000002</v>
      </c>
      <c r="AA331">
        <v>0.37532799999999999</v>
      </c>
      <c r="AB331">
        <v>0.36659900000000001</v>
      </c>
      <c r="AC331">
        <v>0.37234499999999998</v>
      </c>
      <c r="AD331">
        <v>0.37234499999999998</v>
      </c>
      <c r="AE331">
        <v>360241999</v>
      </c>
    </row>
    <row r="332" spans="1:31" x14ac:dyDescent="0.25">
      <c r="A332" s="1">
        <v>44852</v>
      </c>
      <c r="B332">
        <v>1331.669922</v>
      </c>
      <c r="C332">
        <v>1339.0859379999999</v>
      </c>
      <c r="D332">
        <v>1291.6606449999999</v>
      </c>
      <c r="E332">
        <v>1310.4470209999999</v>
      </c>
      <c r="F332">
        <v>1310.4470209999999</v>
      </c>
      <c r="G332">
        <v>10416747806</v>
      </c>
      <c r="H332">
        <v>19550.466797000001</v>
      </c>
      <c r="I332">
        <v>19666.994140999999</v>
      </c>
      <c r="J332">
        <v>19144.769531000002</v>
      </c>
      <c r="K332">
        <v>19334.416015999999</v>
      </c>
      <c r="L332">
        <v>19334.416015999999</v>
      </c>
      <c r="M332">
        <v>30580012344</v>
      </c>
      <c r="N332">
        <v>1.000068</v>
      </c>
      <c r="O332">
        <v>1.0001979999999999</v>
      </c>
      <c r="P332">
        <v>1.0000370000000001</v>
      </c>
      <c r="Q332">
        <v>1.0001059999999999</v>
      </c>
      <c r="R332">
        <v>1.0001059999999999</v>
      </c>
      <c r="S332">
        <v>39012357142</v>
      </c>
      <c r="T332">
        <v>0.99999099999999996</v>
      </c>
      <c r="U332">
        <v>1.000302</v>
      </c>
      <c r="V332">
        <v>0.99984799999999996</v>
      </c>
      <c r="W332">
        <v>0.99999800000000005</v>
      </c>
      <c r="X332">
        <v>0.99999800000000005</v>
      </c>
      <c r="Y332">
        <v>2885568216</v>
      </c>
      <c r="Z332">
        <v>0.37234299999999998</v>
      </c>
      <c r="AA332">
        <v>0.37390299999999999</v>
      </c>
      <c r="AB332">
        <v>0.35931800000000003</v>
      </c>
      <c r="AC332">
        <v>0.36181999999999997</v>
      </c>
      <c r="AD332">
        <v>0.36181999999999997</v>
      </c>
      <c r="AE332">
        <v>435708572</v>
      </c>
    </row>
    <row r="333" spans="1:31" x14ac:dyDescent="0.25">
      <c r="A333" s="1">
        <v>44853</v>
      </c>
      <c r="B333">
        <v>1310.5631100000001</v>
      </c>
      <c r="C333">
        <v>1312.4423830000001</v>
      </c>
      <c r="D333">
        <v>1283.965332</v>
      </c>
      <c r="E333">
        <v>1285.744263</v>
      </c>
      <c r="F333">
        <v>1285.744263</v>
      </c>
      <c r="G333">
        <v>8350692785</v>
      </c>
      <c r="H333">
        <v>19335.027343999998</v>
      </c>
      <c r="I333">
        <v>19348.416015999999</v>
      </c>
      <c r="J333">
        <v>19127.6875</v>
      </c>
      <c r="K333">
        <v>19139.535156000002</v>
      </c>
      <c r="L333">
        <v>19139.535156000002</v>
      </c>
      <c r="M333">
        <v>22425387184</v>
      </c>
      <c r="N333">
        <v>1.000105</v>
      </c>
      <c r="O333">
        <v>1.00021</v>
      </c>
      <c r="P333">
        <v>1.0000359999999999</v>
      </c>
      <c r="Q333">
        <v>1.0000599999999999</v>
      </c>
      <c r="R333">
        <v>1.0000599999999999</v>
      </c>
      <c r="S333">
        <v>32767030077</v>
      </c>
      <c r="T333">
        <v>0.99998200000000004</v>
      </c>
      <c r="U333">
        <v>1.0004029999999999</v>
      </c>
      <c r="V333">
        <v>0.99976100000000001</v>
      </c>
      <c r="W333">
        <v>1.0000549999999999</v>
      </c>
      <c r="X333">
        <v>1.0000549999999999</v>
      </c>
      <c r="Y333">
        <v>2645576295</v>
      </c>
      <c r="Z333">
        <v>0.36189199999999999</v>
      </c>
      <c r="AA333">
        <v>0.36219899999999999</v>
      </c>
      <c r="AB333">
        <v>0.34957700000000003</v>
      </c>
      <c r="AC333">
        <v>0.35003200000000001</v>
      </c>
      <c r="AD333">
        <v>0.35003200000000001</v>
      </c>
      <c r="AE333">
        <v>430500856</v>
      </c>
    </row>
    <row r="334" spans="1:31" x14ac:dyDescent="0.25">
      <c r="A334" s="1">
        <v>44854</v>
      </c>
      <c r="B334">
        <v>1285.6602780000001</v>
      </c>
      <c r="C334">
        <v>1307.8551030000001</v>
      </c>
      <c r="D334">
        <v>1275.323975</v>
      </c>
      <c r="E334">
        <v>1283.200928</v>
      </c>
      <c r="F334">
        <v>1283.200928</v>
      </c>
      <c r="G334">
        <v>9009111996</v>
      </c>
      <c r="H334">
        <v>19138.085938</v>
      </c>
      <c r="I334">
        <v>19315.199218999998</v>
      </c>
      <c r="J334">
        <v>18971.458984000001</v>
      </c>
      <c r="K334">
        <v>19053.740234000001</v>
      </c>
      <c r="L334">
        <v>19053.740234000001</v>
      </c>
      <c r="M334">
        <v>24493974420</v>
      </c>
      <c r="N334">
        <v>1.000068</v>
      </c>
      <c r="O334">
        <v>1.000159</v>
      </c>
      <c r="P334">
        <v>0.99996399999999996</v>
      </c>
      <c r="Q334">
        <v>0.99999400000000005</v>
      </c>
      <c r="R334">
        <v>0.99999400000000005</v>
      </c>
      <c r="S334">
        <v>32981854458</v>
      </c>
      <c r="T334">
        <v>1.0000389999999999</v>
      </c>
      <c r="U334">
        <v>1.000402</v>
      </c>
      <c r="V334">
        <v>0.99975099999999995</v>
      </c>
      <c r="W334">
        <v>1</v>
      </c>
      <c r="X334">
        <v>1</v>
      </c>
      <c r="Y334">
        <v>2679829482</v>
      </c>
      <c r="Z334">
        <v>0.35004400000000002</v>
      </c>
      <c r="AA334">
        <v>0.35550399999999999</v>
      </c>
      <c r="AB334">
        <v>0.33772400000000002</v>
      </c>
      <c r="AC334">
        <v>0.340254</v>
      </c>
      <c r="AD334">
        <v>0.340254</v>
      </c>
      <c r="AE334">
        <v>497190070</v>
      </c>
    </row>
    <row r="335" spans="1:31" x14ac:dyDescent="0.25">
      <c r="A335" s="1">
        <v>44855</v>
      </c>
      <c r="B335">
        <v>1283.1881100000001</v>
      </c>
      <c r="C335">
        <v>1305.0812989999999</v>
      </c>
      <c r="D335">
        <v>1260.6667480000001</v>
      </c>
      <c r="E335">
        <v>1299.9464109999999</v>
      </c>
      <c r="F335">
        <v>1299.9464109999999</v>
      </c>
      <c r="G335">
        <v>10412565245</v>
      </c>
      <c r="H335">
        <v>19053.203125</v>
      </c>
      <c r="I335">
        <v>19237.384765999999</v>
      </c>
      <c r="J335">
        <v>18770.970702999999</v>
      </c>
      <c r="K335">
        <v>19172.46875</v>
      </c>
      <c r="L335">
        <v>19172.46875</v>
      </c>
      <c r="M335">
        <v>32459287866</v>
      </c>
      <c r="N335">
        <v>1</v>
      </c>
      <c r="O335">
        <v>1.0001409999999999</v>
      </c>
      <c r="P335">
        <v>0.99992800000000004</v>
      </c>
      <c r="Q335">
        <v>1.0001230000000001</v>
      </c>
      <c r="R335">
        <v>1.0001230000000001</v>
      </c>
      <c r="S335">
        <v>41430999058</v>
      </c>
      <c r="T335">
        <v>0.99998600000000004</v>
      </c>
      <c r="U335">
        <v>1.000402</v>
      </c>
      <c r="V335">
        <v>0.99983900000000003</v>
      </c>
      <c r="W335">
        <v>1.000014</v>
      </c>
      <c r="X335">
        <v>1.000014</v>
      </c>
      <c r="Y335">
        <v>3250082894</v>
      </c>
      <c r="Z335">
        <v>0.34025100000000003</v>
      </c>
      <c r="AA335">
        <v>0.34957700000000003</v>
      </c>
      <c r="AB335">
        <v>0.33099400000000001</v>
      </c>
      <c r="AC335">
        <v>0.34907700000000003</v>
      </c>
      <c r="AD335">
        <v>0.34907700000000003</v>
      </c>
      <c r="AE335">
        <v>513576018</v>
      </c>
    </row>
    <row r="336" spans="1:31" x14ac:dyDescent="0.25">
      <c r="A336" s="1">
        <v>44856</v>
      </c>
      <c r="B336">
        <v>1299.9023440000001</v>
      </c>
      <c r="C336">
        <v>1317.1010739999999</v>
      </c>
      <c r="D336">
        <v>1295.946899</v>
      </c>
      <c r="E336">
        <v>1314.2991939999999</v>
      </c>
      <c r="F336">
        <v>1314.2991939999999</v>
      </c>
      <c r="G336">
        <v>7175324564</v>
      </c>
      <c r="H336">
        <v>19172.380859000001</v>
      </c>
      <c r="I336">
        <v>19248.068359000001</v>
      </c>
      <c r="J336">
        <v>19132.244140999999</v>
      </c>
      <c r="K336">
        <v>19208.189452999999</v>
      </c>
      <c r="L336">
        <v>19208.189452999999</v>
      </c>
      <c r="M336">
        <v>16104440957</v>
      </c>
      <c r="N336">
        <v>1.000124</v>
      </c>
      <c r="O336">
        <v>1.0001960000000001</v>
      </c>
      <c r="P336">
        <v>1.0000169999999999</v>
      </c>
      <c r="Q336">
        <v>1.0000849999999999</v>
      </c>
      <c r="R336">
        <v>1.0000849999999999</v>
      </c>
      <c r="S336">
        <v>24133042918</v>
      </c>
      <c r="T336">
        <v>1.000019</v>
      </c>
      <c r="U336">
        <v>1.0001910000000001</v>
      </c>
      <c r="V336">
        <v>0.99980999999999998</v>
      </c>
      <c r="W336">
        <v>1.0000290000000001</v>
      </c>
      <c r="X336">
        <v>1.0000290000000001</v>
      </c>
      <c r="Y336">
        <v>1929650726</v>
      </c>
      <c r="Z336">
        <v>0.34909800000000002</v>
      </c>
      <c r="AA336">
        <v>0.353987</v>
      </c>
      <c r="AB336">
        <v>0.34396100000000002</v>
      </c>
      <c r="AC336">
        <v>0.35140900000000003</v>
      </c>
      <c r="AD336">
        <v>0.35140900000000003</v>
      </c>
      <c r="AE336">
        <v>345854400</v>
      </c>
    </row>
    <row r="337" spans="1:31" x14ac:dyDescent="0.25">
      <c r="A337" s="1">
        <v>44857</v>
      </c>
      <c r="B337">
        <v>1314.2495120000001</v>
      </c>
      <c r="C337">
        <v>1367.7607419999999</v>
      </c>
      <c r="D337">
        <v>1302.908813</v>
      </c>
      <c r="E337">
        <v>1363.4470209999999</v>
      </c>
      <c r="F337">
        <v>1363.4470209999999</v>
      </c>
      <c r="G337">
        <v>9909510925</v>
      </c>
      <c r="H337">
        <v>19207.734375</v>
      </c>
      <c r="I337">
        <v>19646.652343999998</v>
      </c>
      <c r="J337">
        <v>19124.197265999999</v>
      </c>
      <c r="K337">
        <v>19567.007813</v>
      </c>
      <c r="L337">
        <v>19567.007813</v>
      </c>
      <c r="M337">
        <v>22128794335</v>
      </c>
      <c r="N337">
        <v>1.0000610000000001</v>
      </c>
      <c r="O337">
        <v>1.000203</v>
      </c>
      <c r="P337">
        <v>1.000024</v>
      </c>
      <c r="Q337">
        <v>1.0000770000000001</v>
      </c>
      <c r="R337">
        <v>1.0000770000000001</v>
      </c>
      <c r="S337">
        <v>31629519444</v>
      </c>
      <c r="T337">
        <v>1.0000230000000001</v>
      </c>
      <c r="U337">
        <v>1.000316</v>
      </c>
      <c r="V337">
        <v>0.99978199999999995</v>
      </c>
      <c r="W337">
        <v>1.00003</v>
      </c>
      <c r="X337">
        <v>1.00003</v>
      </c>
      <c r="Y337">
        <v>2276952462</v>
      </c>
      <c r="Z337">
        <v>0.35139799999999999</v>
      </c>
      <c r="AA337">
        <v>0.36330000000000001</v>
      </c>
      <c r="AB337">
        <v>0.34660200000000002</v>
      </c>
      <c r="AC337">
        <v>0.362099</v>
      </c>
      <c r="AD337">
        <v>0.362099</v>
      </c>
      <c r="AE337">
        <v>394201921</v>
      </c>
    </row>
    <row r="338" spans="1:31" x14ac:dyDescent="0.25">
      <c r="A338" s="1">
        <v>44858</v>
      </c>
      <c r="B338">
        <v>1363.4918210000001</v>
      </c>
      <c r="C338">
        <v>1368.4255370000001</v>
      </c>
      <c r="D338">
        <v>1327.854004</v>
      </c>
      <c r="E338">
        <v>1344.9985349999999</v>
      </c>
      <c r="F338">
        <v>1344.9985349999999</v>
      </c>
      <c r="G338">
        <v>13092820173</v>
      </c>
      <c r="H338">
        <v>19567.769531000002</v>
      </c>
      <c r="I338">
        <v>19589.125</v>
      </c>
      <c r="J338">
        <v>19206.324218999998</v>
      </c>
      <c r="K338">
        <v>19345.572265999999</v>
      </c>
      <c r="L338">
        <v>19345.572265999999</v>
      </c>
      <c r="M338">
        <v>30202235805</v>
      </c>
      <c r="N338">
        <v>1.00007</v>
      </c>
      <c r="O338">
        <v>1.000175</v>
      </c>
      <c r="P338">
        <v>1.000041</v>
      </c>
      <c r="Q338">
        <v>1.000057</v>
      </c>
      <c r="R338">
        <v>1.000057</v>
      </c>
      <c r="S338">
        <v>40494105063</v>
      </c>
      <c r="T338">
        <v>1.0000800000000001</v>
      </c>
      <c r="U338">
        <v>1.0002599999999999</v>
      </c>
      <c r="V338">
        <v>0.99976699999999996</v>
      </c>
      <c r="W338">
        <v>0.99997999999999998</v>
      </c>
      <c r="X338">
        <v>0.99997999999999998</v>
      </c>
      <c r="Y338">
        <v>3031244247</v>
      </c>
      <c r="Z338">
        <v>0.36209599999999997</v>
      </c>
      <c r="AA338">
        <v>0.36459000000000003</v>
      </c>
      <c r="AB338">
        <v>0.35438399999999998</v>
      </c>
      <c r="AC338">
        <v>0.35785699999999998</v>
      </c>
      <c r="AD338">
        <v>0.35785699999999998</v>
      </c>
      <c r="AE338">
        <v>389895509</v>
      </c>
    </row>
    <row r="339" spans="1:31" x14ac:dyDescent="0.25">
      <c r="A339" s="1">
        <v>44859</v>
      </c>
      <c r="B339">
        <v>1344.7113039999999</v>
      </c>
      <c r="C339">
        <v>1509.9854740000001</v>
      </c>
      <c r="D339">
        <v>1336.9788820000001</v>
      </c>
      <c r="E339">
        <v>1461.665405</v>
      </c>
      <c r="F339">
        <v>1461.665405</v>
      </c>
      <c r="G339">
        <v>25367291294</v>
      </c>
      <c r="H339">
        <v>19344.964843999998</v>
      </c>
      <c r="I339">
        <v>20348.412109000001</v>
      </c>
      <c r="J339">
        <v>19261.447265999999</v>
      </c>
      <c r="K339">
        <v>20095.857422000001</v>
      </c>
      <c r="L339">
        <v>20095.857422000001</v>
      </c>
      <c r="M339">
        <v>47761524910</v>
      </c>
      <c r="N339">
        <v>1.000046</v>
      </c>
      <c r="O339">
        <v>1.0002549999999999</v>
      </c>
      <c r="P339">
        <v>1.0000150000000001</v>
      </c>
      <c r="Q339">
        <v>1.000208</v>
      </c>
      <c r="R339">
        <v>1.000208</v>
      </c>
      <c r="S339">
        <v>64740988487</v>
      </c>
      <c r="T339">
        <v>0.999942</v>
      </c>
      <c r="U339">
        <v>1.000732</v>
      </c>
      <c r="V339">
        <v>0.99970599999999998</v>
      </c>
      <c r="W339">
        <v>0.99996600000000002</v>
      </c>
      <c r="X339">
        <v>0.99996600000000002</v>
      </c>
      <c r="Y339">
        <v>4523233356</v>
      </c>
      <c r="Z339">
        <v>0.35783799999999999</v>
      </c>
      <c r="AA339">
        <v>0.41418899999999997</v>
      </c>
      <c r="AB339">
        <v>0.35770999999999997</v>
      </c>
      <c r="AC339">
        <v>0.40198800000000001</v>
      </c>
      <c r="AD339">
        <v>0.40198800000000001</v>
      </c>
      <c r="AE339">
        <v>1215554912</v>
      </c>
    </row>
    <row r="340" spans="1:31" x14ac:dyDescent="0.25">
      <c r="A340" s="1">
        <v>44860</v>
      </c>
      <c r="B340">
        <v>1461.1331789999999</v>
      </c>
      <c r="C340">
        <v>1584.6367190000001</v>
      </c>
      <c r="D340">
        <v>1460.428711</v>
      </c>
      <c r="E340">
        <v>1566.56665</v>
      </c>
      <c r="F340">
        <v>1566.56665</v>
      </c>
      <c r="G340">
        <v>32705548427</v>
      </c>
      <c r="H340">
        <v>20092.236327999999</v>
      </c>
      <c r="I340">
        <v>20938.134765999999</v>
      </c>
      <c r="J340">
        <v>20076.117188</v>
      </c>
      <c r="K340">
        <v>20770.441406000002</v>
      </c>
      <c r="L340">
        <v>20770.441406000002</v>
      </c>
      <c r="M340">
        <v>58895950537</v>
      </c>
      <c r="N340">
        <v>1.0002</v>
      </c>
      <c r="O340">
        <v>1.0002770000000001</v>
      </c>
      <c r="P340">
        <v>1.000119</v>
      </c>
      <c r="Q340">
        <v>1.0001990000000001</v>
      </c>
      <c r="R340">
        <v>1.0001990000000001</v>
      </c>
      <c r="S340">
        <v>78294376043</v>
      </c>
      <c r="T340">
        <v>0.99992599999999998</v>
      </c>
      <c r="U340">
        <v>1.0004249999999999</v>
      </c>
      <c r="V340">
        <v>0.99971200000000005</v>
      </c>
      <c r="W340">
        <v>1.000027</v>
      </c>
      <c r="X340">
        <v>1.000027</v>
      </c>
      <c r="Y340">
        <v>4575654708</v>
      </c>
      <c r="Z340">
        <v>0.40167199999999997</v>
      </c>
      <c r="AA340">
        <v>0.41021200000000002</v>
      </c>
      <c r="AB340">
        <v>0.39635700000000001</v>
      </c>
      <c r="AC340">
        <v>0.40349200000000002</v>
      </c>
      <c r="AD340">
        <v>0.40349200000000002</v>
      </c>
      <c r="AE340">
        <v>761857225</v>
      </c>
    </row>
    <row r="341" spans="1:31" x14ac:dyDescent="0.25">
      <c r="A341" s="1">
        <v>44861</v>
      </c>
      <c r="B341">
        <v>1566.8414310000001</v>
      </c>
      <c r="C341">
        <v>1574.403442</v>
      </c>
      <c r="D341">
        <v>1510.8167719999999</v>
      </c>
      <c r="E341">
        <v>1514.3748780000001</v>
      </c>
      <c r="F341">
        <v>1514.3748780000001</v>
      </c>
      <c r="G341">
        <v>22813499245</v>
      </c>
      <c r="H341">
        <v>20772.802734000001</v>
      </c>
      <c r="I341">
        <v>20854.044922000001</v>
      </c>
      <c r="J341">
        <v>20255.373047000001</v>
      </c>
      <c r="K341">
        <v>20285.835938</v>
      </c>
      <c r="L341">
        <v>20285.835938</v>
      </c>
      <c r="M341">
        <v>49625110402</v>
      </c>
      <c r="N341">
        <v>1.0002040000000001</v>
      </c>
      <c r="O341">
        <v>1.0002629999999999</v>
      </c>
      <c r="P341">
        <v>1.0000560000000001</v>
      </c>
      <c r="Q341">
        <v>1.000092</v>
      </c>
      <c r="R341">
        <v>1.000092</v>
      </c>
      <c r="S341">
        <v>68447928073</v>
      </c>
      <c r="T341">
        <v>1.000022</v>
      </c>
      <c r="U341">
        <v>1.0002610000000001</v>
      </c>
      <c r="V341">
        <v>0.99973100000000004</v>
      </c>
      <c r="W341">
        <v>0.999969</v>
      </c>
      <c r="X341">
        <v>0.999969</v>
      </c>
      <c r="Y341">
        <v>4234666654</v>
      </c>
      <c r="Z341">
        <v>0.40351100000000001</v>
      </c>
      <c r="AA341">
        <v>0.41426800000000003</v>
      </c>
      <c r="AB341">
        <v>0.38850400000000002</v>
      </c>
      <c r="AC341">
        <v>0.38869700000000001</v>
      </c>
      <c r="AD341">
        <v>0.38869700000000001</v>
      </c>
      <c r="AE341">
        <v>719088729</v>
      </c>
    </row>
    <row r="342" spans="1:31" x14ac:dyDescent="0.25">
      <c r="A342" s="1">
        <v>44862</v>
      </c>
      <c r="B342">
        <v>1514.32312</v>
      </c>
      <c r="C342">
        <v>1568.6339109999999</v>
      </c>
      <c r="D342">
        <v>1493.8710940000001</v>
      </c>
      <c r="E342">
        <v>1555.477905</v>
      </c>
      <c r="F342">
        <v>1555.477905</v>
      </c>
      <c r="G342">
        <v>19974623205</v>
      </c>
      <c r="H342">
        <v>20287.957031000002</v>
      </c>
      <c r="I342">
        <v>20724.980468999998</v>
      </c>
      <c r="J342">
        <v>20086.068359000001</v>
      </c>
      <c r="K342">
        <v>20595.351563</v>
      </c>
      <c r="L342">
        <v>20595.351563</v>
      </c>
      <c r="M342">
        <v>43994715910</v>
      </c>
      <c r="N342">
        <v>1.000097</v>
      </c>
      <c r="O342">
        <v>1.0002249999999999</v>
      </c>
      <c r="P342">
        <v>1.0000530000000001</v>
      </c>
      <c r="Q342">
        <v>1.000146</v>
      </c>
      <c r="R342">
        <v>1.000146</v>
      </c>
      <c r="S342">
        <v>61718295435</v>
      </c>
      <c r="T342">
        <v>0.99995299999999998</v>
      </c>
      <c r="U342">
        <v>1.0002880000000001</v>
      </c>
      <c r="V342">
        <v>0.99968599999999996</v>
      </c>
      <c r="W342">
        <v>0.99992300000000001</v>
      </c>
      <c r="X342">
        <v>0.99992300000000001</v>
      </c>
      <c r="Y342">
        <v>4000469292</v>
      </c>
      <c r="Z342">
        <v>0.38867099999999999</v>
      </c>
      <c r="AA342">
        <v>0.41074500000000003</v>
      </c>
      <c r="AB342">
        <v>0.38010699999999997</v>
      </c>
      <c r="AC342">
        <v>0.40450700000000001</v>
      </c>
      <c r="AD342">
        <v>0.40450700000000001</v>
      </c>
      <c r="AE342">
        <v>618236710</v>
      </c>
    </row>
    <row r="343" spans="1:31" x14ac:dyDescent="0.25">
      <c r="A343" s="1">
        <v>44863</v>
      </c>
      <c r="B343">
        <v>1555.274658</v>
      </c>
      <c r="C343">
        <v>1652.382202</v>
      </c>
      <c r="D343">
        <v>1549.983643</v>
      </c>
      <c r="E343">
        <v>1619.698486</v>
      </c>
      <c r="F343">
        <v>1619.698486</v>
      </c>
      <c r="G343">
        <v>21618154775</v>
      </c>
      <c r="H343">
        <v>20595.103515999999</v>
      </c>
      <c r="I343">
        <v>20988.394531000002</v>
      </c>
      <c r="J343">
        <v>20566.484375</v>
      </c>
      <c r="K343">
        <v>20818.476563</v>
      </c>
      <c r="L343">
        <v>20818.476563</v>
      </c>
      <c r="M343">
        <v>40369840645</v>
      </c>
      <c r="N343">
        <v>1.0001409999999999</v>
      </c>
      <c r="O343">
        <v>1.000346</v>
      </c>
      <c r="P343">
        <v>1.000122</v>
      </c>
      <c r="Q343">
        <v>1.0002260000000001</v>
      </c>
      <c r="R343">
        <v>1.0002260000000001</v>
      </c>
      <c r="S343">
        <v>67603092351</v>
      </c>
      <c r="T343">
        <v>0.99991799999999997</v>
      </c>
      <c r="U343">
        <v>1.000426</v>
      </c>
      <c r="V343">
        <v>0.999699</v>
      </c>
      <c r="W343">
        <v>1.0000789999999999</v>
      </c>
      <c r="X343">
        <v>1.0000789999999999</v>
      </c>
      <c r="Y343">
        <v>4594883158</v>
      </c>
      <c r="Z343">
        <v>0.40450799999999998</v>
      </c>
      <c r="AA343">
        <v>0.43572899999999998</v>
      </c>
      <c r="AB343">
        <v>0.40226099999999998</v>
      </c>
      <c r="AC343">
        <v>0.41977799999999998</v>
      </c>
      <c r="AD343">
        <v>0.41977799999999998</v>
      </c>
      <c r="AE343">
        <v>855151911</v>
      </c>
    </row>
    <row r="344" spans="1:31" x14ac:dyDescent="0.25">
      <c r="A344" s="1">
        <v>44864</v>
      </c>
      <c r="B344">
        <v>1619.697876</v>
      </c>
      <c r="C344">
        <v>1637.037842</v>
      </c>
      <c r="D344">
        <v>1579.4852289999999</v>
      </c>
      <c r="E344">
        <v>1590.7833250000001</v>
      </c>
      <c r="F344">
        <v>1590.7833250000001</v>
      </c>
      <c r="G344">
        <v>13930073427</v>
      </c>
      <c r="H344">
        <v>20817.982422000001</v>
      </c>
      <c r="I344">
        <v>20917.005859000001</v>
      </c>
      <c r="J344">
        <v>20547.462890999999</v>
      </c>
      <c r="K344">
        <v>20635.603515999999</v>
      </c>
      <c r="L344">
        <v>20635.603515999999</v>
      </c>
      <c r="M344">
        <v>31486345556</v>
      </c>
      <c r="N344">
        <v>1.0002260000000001</v>
      </c>
      <c r="O344">
        <v>1.000346</v>
      </c>
      <c r="P344">
        <v>1.00017</v>
      </c>
      <c r="Q344">
        <v>1.0001789999999999</v>
      </c>
      <c r="R344">
        <v>1.0001789999999999</v>
      </c>
      <c r="S344">
        <v>52873524542</v>
      </c>
      <c r="T344">
        <v>1.0000519999999999</v>
      </c>
      <c r="U344">
        <v>1.0002610000000001</v>
      </c>
      <c r="V344">
        <v>0.999776</v>
      </c>
      <c r="W344">
        <v>1.0001150000000001</v>
      </c>
      <c r="X344">
        <v>1.0001150000000001</v>
      </c>
      <c r="Y344">
        <v>3672657264</v>
      </c>
      <c r="Z344">
        <v>0.41986400000000001</v>
      </c>
      <c r="AA344">
        <v>0.42115900000000001</v>
      </c>
      <c r="AB344">
        <v>0.40037499999999998</v>
      </c>
      <c r="AC344">
        <v>0.40604699999999999</v>
      </c>
      <c r="AD344">
        <v>0.40604699999999999</v>
      </c>
      <c r="AE344">
        <v>577564479</v>
      </c>
    </row>
    <row r="345" spans="1:31" x14ac:dyDescent="0.25">
      <c r="A345" s="1">
        <v>44865</v>
      </c>
      <c r="B345">
        <v>1590.481323</v>
      </c>
      <c r="C345">
        <v>1630.4528809999999</v>
      </c>
      <c r="D345">
        <v>1555.9189449999999</v>
      </c>
      <c r="E345">
        <v>1572.7144780000001</v>
      </c>
      <c r="F345">
        <v>1572.7144780000001</v>
      </c>
      <c r="G345">
        <v>19306919714</v>
      </c>
      <c r="H345">
        <v>20633.695313</v>
      </c>
      <c r="I345">
        <v>20795.320313</v>
      </c>
      <c r="J345">
        <v>20287.458984000001</v>
      </c>
      <c r="K345">
        <v>20495.773438</v>
      </c>
      <c r="L345">
        <v>20495.773438</v>
      </c>
      <c r="M345">
        <v>45668466815</v>
      </c>
      <c r="N345">
        <v>1.0001850000000001</v>
      </c>
      <c r="O345">
        <v>1.0002519999999999</v>
      </c>
      <c r="P345">
        <v>0.999919</v>
      </c>
      <c r="Q345">
        <v>0.99994700000000003</v>
      </c>
      <c r="R345">
        <v>0.99994700000000003</v>
      </c>
      <c r="S345">
        <v>67168423338</v>
      </c>
      <c r="T345">
        <v>1.000086</v>
      </c>
      <c r="U345">
        <v>1.0003789999999999</v>
      </c>
      <c r="V345">
        <v>0.99945200000000001</v>
      </c>
      <c r="W345">
        <v>0.999996</v>
      </c>
      <c r="X345">
        <v>0.999996</v>
      </c>
      <c r="Y345">
        <v>5307443271</v>
      </c>
      <c r="Z345">
        <v>0.40603</v>
      </c>
      <c r="AA345">
        <v>0.41517399999999999</v>
      </c>
      <c r="AB345">
        <v>0.39871299999999998</v>
      </c>
      <c r="AC345">
        <v>0.40633599999999997</v>
      </c>
      <c r="AD345">
        <v>0.40633599999999997</v>
      </c>
      <c r="AE345">
        <v>569992895</v>
      </c>
    </row>
    <row r="346" spans="1:31" x14ac:dyDescent="0.25">
      <c r="A346" s="1">
        <v>44866</v>
      </c>
      <c r="B346">
        <v>1572.6453859999999</v>
      </c>
      <c r="C346">
        <v>1606.6057129999999</v>
      </c>
      <c r="D346">
        <v>1568.0985109999999</v>
      </c>
      <c r="E346">
        <v>1579.7045900000001</v>
      </c>
      <c r="F346">
        <v>1579.7045900000001</v>
      </c>
      <c r="G346">
        <v>14507311208</v>
      </c>
      <c r="H346">
        <v>20494.898438</v>
      </c>
      <c r="I346">
        <v>20647.289063</v>
      </c>
      <c r="J346">
        <v>20359.845702999999</v>
      </c>
      <c r="K346">
        <v>20485.273438</v>
      </c>
      <c r="L346">
        <v>20485.273438</v>
      </c>
      <c r="M346">
        <v>39819303159</v>
      </c>
      <c r="N346">
        <v>0.99995599999999996</v>
      </c>
      <c r="O346">
        <v>0.99998500000000001</v>
      </c>
      <c r="P346">
        <v>0.99977400000000005</v>
      </c>
      <c r="Q346">
        <v>0.99992400000000004</v>
      </c>
      <c r="R346">
        <v>0.99992400000000004</v>
      </c>
      <c r="S346">
        <v>56795449219</v>
      </c>
      <c r="T346">
        <v>1.0000119999999999</v>
      </c>
      <c r="U346">
        <v>1.000254</v>
      </c>
      <c r="V346">
        <v>0.99972899999999998</v>
      </c>
      <c r="W346">
        <v>1.0000439999999999</v>
      </c>
      <c r="X346">
        <v>1.0000439999999999</v>
      </c>
      <c r="Y346">
        <v>3559235451</v>
      </c>
      <c r="Z346">
        <v>0.40628900000000001</v>
      </c>
      <c r="AA346">
        <v>0.414435</v>
      </c>
      <c r="AB346">
        <v>0.39992499999999997</v>
      </c>
      <c r="AC346">
        <v>0.40140199999999998</v>
      </c>
      <c r="AD346">
        <v>0.40140199999999998</v>
      </c>
      <c r="AE346">
        <v>452398724</v>
      </c>
    </row>
    <row r="347" spans="1:31" x14ac:dyDescent="0.25">
      <c r="A347" s="1">
        <v>44867</v>
      </c>
      <c r="B347">
        <v>1579.4979249999999</v>
      </c>
      <c r="C347">
        <v>1613.4106449999999</v>
      </c>
      <c r="D347">
        <v>1507.244751</v>
      </c>
      <c r="E347">
        <v>1519.7117920000001</v>
      </c>
      <c r="F347">
        <v>1519.7117920000001</v>
      </c>
      <c r="G347">
        <v>23254218281</v>
      </c>
      <c r="H347">
        <v>20482.958984000001</v>
      </c>
      <c r="I347">
        <v>20742.810547000001</v>
      </c>
      <c r="J347">
        <v>20087.134765999999</v>
      </c>
      <c r="K347">
        <v>20159.503906000002</v>
      </c>
      <c r="L347">
        <v>20159.503906000002</v>
      </c>
      <c r="M347">
        <v>55552169483</v>
      </c>
      <c r="N347">
        <v>0.99991799999999997</v>
      </c>
      <c r="O347">
        <v>1.0000789999999999</v>
      </c>
      <c r="P347">
        <v>0.999865</v>
      </c>
      <c r="Q347">
        <v>0.999996</v>
      </c>
      <c r="R347">
        <v>0.999996</v>
      </c>
      <c r="S347">
        <v>76399032768</v>
      </c>
      <c r="T347">
        <v>1.000035</v>
      </c>
      <c r="U347">
        <v>1.000381</v>
      </c>
      <c r="V347">
        <v>0.99957200000000002</v>
      </c>
      <c r="W347">
        <v>1.000097</v>
      </c>
      <c r="X347">
        <v>1.000097</v>
      </c>
      <c r="Y347">
        <v>6343248164</v>
      </c>
      <c r="Z347">
        <v>0.40138499999999999</v>
      </c>
      <c r="AA347">
        <v>0.407748</v>
      </c>
      <c r="AB347">
        <v>0.38229600000000002</v>
      </c>
      <c r="AC347">
        <v>0.38607599999999997</v>
      </c>
      <c r="AD347">
        <v>0.38607599999999997</v>
      </c>
      <c r="AE347">
        <v>741360035</v>
      </c>
    </row>
    <row r="348" spans="1:31" x14ac:dyDescent="0.25">
      <c r="A348" s="1">
        <v>44868</v>
      </c>
      <c r="B348">
        <v>1519.7248540000001</v>
      </c>
      <c r="C348">
        <v>1556.759644</v>
      </c>
      <c r="D348">
        <v>1517.1016850000001</v>
      </c>
      <c r="E348">
        <v>1531.5417480000001</v>
      </c>
      <c r="F348">
        <v>1531.5417480000001</v>
      </c>
      <c r="G348">
        <v>14248351007</v>
      </c>
      <c r="H348">
        <v>20162.689452999999</v>
      </c>
      <c r="I348">
        <v>20382.095702999999</v>
      </c>
      <c r="J348">
        <v>20086.240234000001</v>
      </c>
      <c r="K348">
        <v>20209.988281000002</v>
      </c>
      <c r="L348">
        <v>20209.988281000002</v>
      </c>
      <c r="M348">
        <v>43228750179</v>
      </c>
      <c r="N348">
        <v>0.99997899999999995</v>
      </c>
      <c r="O348">
        <v>1.000048</v>
      </c>
      <c r="P348">
        <v>0.99994400000000006</v>
      </c>
      <c r="Q348">
        <v>1.0000070000000001</v>
      </c>
      <c r="R348">
        <v>1.0000070000000001</v>
      </c>
      <c r="S348">
        <v>61590549857</v>
      </c>
      <c r="T348">
        <v>1.0001340000000001</v>
      </c>
      <c r="U348">
        <v>1.0006539999999999</v>
      </c>
      <c r="V348">
        <v>0.99979399999999996</v>
      </c>
      <c r="W348">
        <v>1.000065</v>
      </c>
      <c r="X348">
        <v>1.000065</v>
      </c>
      <c r="Y348">
        <v>3480226568</v>
      </c>
      <c r="Z348">
        <v>0.38606000000000001</v>
      </c>
      <c r="AA348">
        <v>0.398447</v>
      </c>
      <c r="AB348">
        <v>0.38513599999999998</v>
      </c>
      <c r="AC348">
        <v>0.38941999999999999</v>
      </c>
      <c r="AD348">
        <v>0.38941999999999999</v>
      </c>
      <c r="AE348">
        <v>445099982</v>
      </c>
    </row>
    <row r="349" spans="1:31" x14ac:dyDescent="0.25">
      <c r="A349" s="1">
        <v>44869</v>
      </c>
      <c r="B349">
        <v>1531.3975829999999</v>
      </c>
      <c r="C349">
        <v>1661.334717</v>
      </c>
      <c r="D349">
        <v>1529.268433</v>
      </c>
      <c r="E349">
        <v>1645.093384</v>
      </c>
      <c r="F349">
        <v>1645.093384</v>
      </c>
      <c r="G349">
        <v>20806964347</v>
      </c>
      <c r="H349">
        <v>20208.769531000002</v>
      </c>
      <c r="I349">
        <v>21209.560547000001</v>
      </c>
      <c r="J349">
        <v>20188.019531000002</v>
      </c>
      <c r="K349">
        <v>21147.230468999998</v>
      </c>
      <c r="L349">
        <v>21147.230468999998</v>
      </c>
      <c r="M349">
        <v>64072727950</v>
      </c>
      <c r="N349">
        <v>1.0000070000000001</v>
      </c>
      <c r="O349">
        <v>1.000119</v>
      </c>
      <c r="P349">
        <v>0.99995900000000004</v>
      </c>
      <c r="Q349">
        <v>1.000076</v>
      </c>
      <c r="R349">
        <v>1.000076</v>
      </c>
      <c r="S349">
        <v>88078834184</v>
      </c>
      <c r="T349">
        <v>1.000041</v>
      </c>
      <c r="U349">
        <v>1.0004960000000001</v>
      </c>
      <c r="V349">
        <v>0.99966900000000003</v>
      </c>
      <c r="W349">
        <v>1.0000359999999999</v>
      </c>
      <c r="X349">
        <v>1.0000359999999999</v>
      </c>
      <c r="Y349">
        <v>4189794922</v>
      </c>
      <c r="Z349">
        <v>0.38939699999999999</v>
      </c>
      <c r="AA349">
        <v>0.42530699999999999</v>
      </c>
      <c r="AB349">
        <v>0.38881199999999999</v>
      </c>
      <c r="AC349">
        <v>0.42152499999999998</v>
      </c>
      <c r="AD349">
        <v>0.42152499999999998</v>
      </c>
      <c r="AE349">
        <v>909794346</v>
      </c>
    </row>
    <row r="350" spans="1:31" x14ac:dyDescent="0.25">
      <c r="A350" s="1">
        <v>44870</v>
      </c>
      <c r="B350">
        <v>1645.1564940000001</v>
      </c>
      <c r="C350">
        <v>1660.4864500000001</v>
      </c>
      <c r="D350">
        <v>1625.9642329999999</v>
      </c>
      <c r="E350">
        <v>1627.968018</v>
      </c>
      <c r="F350">
        <v>1627.968018</v>
      </c>
      <c r="G350">
        <v>11006973190</v>
      </c>
      <c r="H350">
        <v>21144.832031000002</v>
      </c>
      <c r="I350">
        <v>21446.886718999998</v>
      </c>
      <c r="J350">
        <v>21097.634765999999</v>
      </c>
      <c r="K350">
        <v>21282.691406000002</v>
      </c>
      <c r="L350">
        <v>21282.691406000002</v>
      </c>
      <c r="M350">
        <v>37846047609</v>
      </c>
      <c r="N350">
        <v>1.000075</v>
      </c>
      <c r="O350">
        <v>1.0001800000000001</v>
      </c>
      <c r="P350">
        <v>1.00004</v>
      </c>
      <c r="Q350">
        <v>1.000119</v>
      </c>
      <c r="R350">
        <v>1.000119</v>
      </c>
      <c r="S350">
        <v>57121137337</v>
      </c>
      <c r="T350">
        <v>1.0000180000000001</v>
      </c>
      <c r="U350">
        <v>1.0003150000000001</v>
      </c>
      <c r="V350">
        <v>0.99976200000000004</v>
      </c>
      <c r="W350">
        <v>0.99990400000000002</v>
      </c>
      <c r="X350">
        <v>0.99990400000000002</v>
      </c>
      <c r="Y350">
        <v>2820629269</v>
      </c>
      <c r="Z350">
        <v>0.42152499999999998</v>
      </c>
      <c r="AA350">
        <v>0.43621399999999999</v>
      </c>
      <c r="AB350">
        <v>0.42077500000000001</v>
      </c>
      <c r="AC350">
        <v>0.42673499999999998</v>
      </c>
      <c r="AD350">
        <v>0.42673499999999998</v>
      </c>
      <c r="AE350">
        <v>701622249</v>
      </c>
    </row>
    <row r="351" spans="1:31" x14ac:dyDescent="0.25">
      <c r="A351" s="1">
        <v>44871</v>
      </c>
      <c r="B351">
        <v>1627.9011230000001</v>
      </c>
      <c r="C351">
        <v>1634.1324460000001</v>
      </c>
      <c r="D351">
        <v>1572.234741</v>
      </c>
      <c r="E351">
        <v>1572.234741</v>
      </c>
      <c r="F351">
        <v>1572.234741</v>
      </c>
      <c r="G351">
        <v>11632744705</v>
      </c>
      <c r="H351">
        <v>21285.056640999999</v>
      </c>
      <c r="I351">
        <v>21345.376952999999</v>
      </c>
      <c r="J351">
        <v>20920.191406000002</v>
      </c>
      <c r="K351">
        <v>20926.486327999999</v>
      </c>
      <c r="L351">
        <v>20926.486327999999</v>
      </c>
      <c r="M351">
        <v>35082693210</v>
      </c>
      <c r="N351">
        <v>1.000121</v>
      </c>
      <c r="O351">
        <v>1.0001640000000001</v>
      </c>
      <c r="P351">
        <v>0.99999400000000005</v>
      </c>
      <c r="Q351">
        <v>1.0000899999999999</v>
      </c>
      <c r="R351">
        <v>1.0000899999999999</v>
      </c>
      <c r="S351">
        <v>51095877870</v>
      </c>
      <c r="T351">
        <v>0.99990800000000002</v>
      </c>
      <c r="U351">
        <v>1.000311</v>
      </c>
      <c r="V351">
        <v>0.99959399999999998</v>
      </c>
      <c r="W351">
        <v>0.99986900000000001</v>
      </c>
      <c r="X351">
        <v>0.99986900000000001</v>
      </c>
      <c r="Y351">
        <v>2414704424</v>
      </c>
      <c r="Z351">
        <v>0.42674899999999999</v>
      </c>
      <c r="AA351">
        <v>0.43027599999999999</v>
      </c>
      <c r="AB351">
        <v>0.403005</v>
      </c>
      <c r="AC351">
        <v>0.403005</v>
      </c>
      <c r="AD351">
        <v>0.403005</v>
      </c>
      <c r="AE351">
        <v>495843423</v>
      </c>
    </row>
    <row r="352" spans="1:31" x14ac:dyDescent="0.25">
      <c r="A352" s="1">
        <v>44872</v>
      </c>
      <c r="B352">
        <v>1572.0169679999999</v>
      </c>
      <c r="C352">
        <v>1604.475342</v>
      </c>
      <c r="D352">
        <v>1550.4155270000001</v>
      </c>
      <c r="E352">
        <v>1568.5913089999999</v>
      </c>
      <c r="F352">
        <v>1568.5913089999999</v>
      </c>
      <c r="G352">
        <v>15279963349</v>
      </c>
      <c r="H352">
        <v>20924.621093999998</v>
      </c>
      <c r="I352">
        <v>21053.246093999998</v>
      </c>
      <c r="J352">
        <v>20489.972656000002</v>
      </c>
      <c r="K352">
        <v>20602.816406000002</v>
      </c>
      <c r="L352">
        <v>20602.816406000002</v>
      </c>
      <c r="M352">
        <v>53510852236</v>
      </c>
      <c r="N352">
        <v>1.0001009999999999</v>
      </c>
      <c r="O352">
        <v>1.000165</v>
      </c>
      <c r="P352">
        <v>1.0000389999999999</v>
      </c>
      <c r="Q352">
        <v>1.000094</v>
      </c>
      <c r="R352">
        <v>1.000094</v>
      </c>
      <c r="S352">
        <v>72598608064</v>
      </c>
      <c r="T352">
        <v>0.99985100000000005</v>
      </c>
      <c r="U352">
        <v>1.0003880000000001</v>
      </c>
      <c r="V352">
        <v>0.99965800000000005</v>
      </c>
      <c r="W352">
        <v>1.0003230000000001</v>
      </c>
      <c r="X352">
        <v>1.0003230000000001</v>
      </c>
      <c r="Y352">
        <v>3478168774</v>
      </c>
      <c r="Z352">
        <v>0.40296599999999999</v>
      </c>
      <c r="AA352">
        <v>0.41574299999999997</v>
      </c>
      <c r="AB352">
        <v>0.39902900000000002</v>
      </c>
      <c r="AC352">
        <v>0.40425899999999998</v>
      </c>
      <c r="AD352">
        <v>0.40425899999999998</v>
      </c>
      <c r="AE352">
        <v>554735710</v>
      </c>
    </row>
    <row r="353" spans="1:31" x14ac:dyDescent="0.25">
      <c r="A353" s="1">
        <v>44873</v>
      </c>
      <c r="B353">
        <v>1568.3295900000001</v>
      </c>
      <c r="C353">
        <v>1574.7998050000001</v>
      </c>
      <c r="D353">
        <v>1259.443115</v>
      </c>
      <c r="E353">
        <v>1332.8355710000001</v>
      </c>
      <c r="F353">
        <v>1332.8355710000001</v>
      </c>
      <c r="G353">
        <v>42048003440</v>
      </c>
      <c r="H353">
        <v>20600.671875</v>
      </c>
      <c r="I353">
        <v>20664.607422000001</v>
      </c>
      <c r="J353">
        <v>17603.544922000001</v>
      </c>
      <c r="K353">
        <v>18541.271484000001</v>
      </c>
      <c r="L353">
        <v>18541.271484000001</v>
      </c>
      <c r="M353">
        <v>118992465607</v>
      </c>
      <c r="N353">
        <v>1.000094</v>
      </c>
      <c r="O353">
        <v>1.000515</v>
      </c>
      <c r="P353">
        <v>1.000014</v>
      </c>
      <c r="Q353">
        <v>1.000032</v>
      </c>
      <c r="R353">
        <v>1.000032</v>
      </c>
      <c r="S353">
        <v>162734866334</v>
      </c>
      <c r="T353">
        <v>1.000297</v>
      </c>
      <c r="U353">
        <v>1.001323</v>
      </c>
      <c r="V353">
        <v>0.99870999999999999</v>
      </c>
      <c r="W353">
        <v>0.99998200000000004</v>
      </c>
      <c r="X353">
        <v>0.99998200000000004</v>
      </c>
      <c r="Y353">
        <v>9481272661</v>
      </c>
      <c r="Z353">
        <v>0.40423399999999998</v>
      </c>
      <c r="AA353">
        <v>0.41348600000000002</v>
      </c>
      <c r="AB353">
        <v>0.35325800000000002</v>
      </c>
      <c r="AC353">
        <v>0.371834</v>
      </c>
      <c r="AD353">
        <v>0.371834</v>
      </c>
      <c r="AE353">
        <v>1420168187</v>
      </c>
    </row>
    <row r="354" spans="1:31" x14ac:dyDescent="0.25">
      <c r="A354" s="1">
        <v>44874</v>
      </c>
      <c r="B354">
        <v>1333.122437</v>
      </c>
      <c r="C354">
        <v>1335.74353</v>
      </c>
      <c r="D354">
        <v>1083.2856449999999</v>
      </c>
      <c r="E354">
        <v>1100.1697999999999</v>
      </c>
      <c r="F354">
        <v>1100.1697999999999</v>
      </c>
      <c r="G354">
        <v>38864492427</v>
      </c>
      <c r="H354">
        <v>18543.761718999998</v>
      </c>
      <c r="I354">
        <v>18590.458984000001</v>
      </c>
      <c r="J354">
        <v>15682.692383</v>
      </c>
      <c r="K354">
        <v>15880.780273</v>
      </c>
      <c r="L354">
        <v>15880.780273</v>
      </c>
      <c r="M354">
        <v>102905151606</v>
      </c>
      <c r="N354">
        <v>1.000043</v>
      </c>
      <c r="O354">
        <v>1.000043</v>
      </c>
      <c r="P354">
        <v>0.99852600000000002</v>
      </c>
      <c r="Q354">
        <v>0.99860000000000004</v>
      </c>
      <c r="R354">
        <v>0.99860000000000004</v>
      </c>
      <c r="S354">
        <v>143975136007</v>
      </c>
      <c r="T354">
        <v>1.000132</v>
      </c>
      <c r="U354">
        <v>1.001207</v>
      </c>
      <c r="V354">
        <v>0.99915600000000004</v>
      </c>
      <c r="W354">
        <v>1.0003420000000001</v>
      </c>
      <c r="X354">
        <v>1.0003420000000001</v>
      </c>
      <c r="Y354">
        <v>10733960295</v>
      </c>
      <c r="Z354">
        <v>0.37196099999999999</v>
      </c>
      <c r="AA354">
        <v>0.37524999999999997</v>
      </c>
      <c r="AB354">
        <v>0.31237799999999999</v>
      </c>
      <c r="AC354">
        <v>0.31783699999999998</v>
      </c>
      <c r="AD354">
        <v>0.31783699999999998</v>
      </c>
      <c r="AE354">
        <v>1446651845</v>
      </c>
    </row>
    <row r="355" spans="1:31" x14ac:dyDescent="0.25">
      <c r="A355" s="1">
        <v>44875</v>
      </c>
      <c r="B355">
        <v>1100.107178</v>
      </c>
      <c r="C355">
        <v>1341.791138</v>
      </c>
      <c r="D355">
        <v>1093.1225589999999</v>
      </c>
      <c r="E355">
        <v>1299.4646</v>
      </c>
      <c r="F355">
        <v>1299.4646</v>
      </c>
      <c r="G355">
        <v>28581002122</v>
      </c>
      <c r="H355">
        <v>15883.158203000001</v>
      </c>
      <c r="I355">
        <v>18054.3125</v>
      </c>
      <c r="J355">
        <v>15834.018555000001</v>
      </c>
      <c r="K355">
        <v>17586.771484000001</v>
      </c>
      <c r="L355">
        <v>17586.771484000001</v>
      </c>
      <c r="M355">
        <v>83202283721</v>
      </c>
      <c r="N355">
        <v>0.99863400000000002</v>
      </c>
      <c r="O355">
        <v>0.99897499999999995</v>
      </c>
      <c r="P355">
        <v>0.98152499999999998</v>
      </c>
      <c r="Q355">
        <v>0.99783500000000003</v>
      </c>
      <c r="R355">
        <v>0.99783500000000003</v>
      </c>
      <c r="S355">
        <v>114807119109</v>
      </c>
      <c r="T355">
        <v>1.000359</v>
      </c>
      <c r="U355">
        <v>1.0073300000000001</v>
      </c>
      <c r="V355">
        <v>0.999857</v>
      </c>
      <c r="W355">
        <v>1.0006919999999999</v>
      </c>
      <c r="X355">
        <v>1.0006919999999999</v>
      </c>
      <c r="Y355">
        <v>9392844548</v>
      </c>
      <c r="Z355">
        <v>0.31789200000000001</v>
      </c>
      <c r="AA355">
        <v>0.37656299999999998</v>
      </c>
      <c r="AB355">
        <v>0.314274</v>
      </c>
      <c r="AC355">
        <v>0.368977</v>
      </c>
      <c r="AD355">
        <v>0.368977</v>
      </c>
      <c r="AE355">
        <v>1353707790</v>
      </c>
    </row>
    <row r="356" spans="1:31" x14ac:dyDescent="0.25">
      <c r="A356" s="1">
        <v>44876</v>
      </c>
      <c r="B356">
        <v>1298.8824460000001</v>
      </c>
      <c r="C356">
        <v>1302.295288</v>
      </c>
      <c r="D356">
        <v>1211.3295900000001</v>
      </c>
      <c r="E356">
        <v>1287.2210689999999</v>
      </c>
      <c r="F356">
        <v>1287.2210689999999</v>
      </c>
      <c r="G356">
        <v>20920539099</v>
      </c>
      <c r="H356">
        <v>17583.251952999999</v>
      </c>
      <c r="I356">
        <v>17650.943359000001</v>
      </c>
      <c r="J356">
        <v>16543.482422000001</v>
      </c>
      <c r="K356">
        <v>17034.292968999998</v>
      </c>
      <c r="L356">
        <v>17034.292968999998</v>
      </c>
      <c r="M356">
        <v>55871616488</v>
      </c>
      <c r="N356">
        <v>0.99781399999999998</v>
      </c>
      <c r="O356">
        <v>0.99856900000000004</v>
      </c>
      <c r="P356">
        <v>0.99688500000000002</v>
      </c>
      <c r="Q356">
        <v>0.99821800000000005</v>
      </c>
      <c r="R356">
        <v>0.99821800000000005</v>
      </c>
      <c r="S356">
        <v>74933538836</v>
      </c>
      <c r="T356">
        <v>1.0006600000000001</v>
      </c>
      <c r="U356">
        <v>1.001328</v>
      </c>
      <c r="V356">
        <v>0.99964600000000003</v>
      </c>
      <c r="W356">
        <v>1.000734</v>
      </c>
      <c r="X356">
        <v>1.000734</v>
      </c>
      <c r="Y356">
        <v>4591678573</v>
      </c>
      <c r="Z356">
        <v>0.36896699999999999</v>
      </c>
      <c r="AA356">
        <v>0.37303199999999997</v>
      </c>
      <c r="AB356">
        <v>0.343391</v>
      </c>
      <c r="AC356">
        <v>0.35466700000000001</v>
      </c>
      <c r="AD356">
        <v>0.35466700000000001</v>
      </c>
      <c r="AE356">
        <v>595121832</v>
      </c>
    </row>
    <row r="357" spans="1:31" x14ac:dyDescent="0.25">
      <c r="A357" s="1">
        <v>44877</v>
      </c>
      <c r="B357">
        <v>1287.4383539999999</v>
      </c>
      <c r="C357">
        <v>1288.150879</v>
      </c>
      <c r="D357">
        <v>1242.1522219999999</v>
      </c>
      <c r="E357">
        <v>1255.268311</v>
      </c>
      <c r="F357">
        <v>1255.268311</v>
      </c>
      <c r="G357">
        <v>10964962767</v>
      </c>
      <c r="H357">
        <v>17036.875</v>
      </c>
      <c r="I357">
        <v>17066.675781000002</v>
      </c>
      <c r="J357">
        <v>16651.775390999999</v>
      </c>
      <c r="K357">
        <v>16799.185547000001</v>
      </c>
      <c r="L357">
        <v>16799.185547000001</v>
      </c>
      <c r="M357">
        <v>29717699419</v>
      </c>
      <c r="N357">
        <v>0.99819800000000003</v>
      </c>
      <c r="O357">
        <v>0.99882300000000002</v>
      </c>
      <c r="P357">
        <v>0.99777300000000002</v>
      </c>
      <c r="Q357">
        <v>0.99861599999999995</v>
      </c>
      <c r="R357">
        <v>0.99861599999999995</v>
      </c>
      <c r="S357">
        <v>40298138489</v>
      </c>
      <c r="T357">
        <v>1.000758</v>
      </c>
      <c r="U357">
        <v>1.0009349999999999</v>
      </c>
      <c r="V357">
        <v>0.99999899999999997</v>
      </c>
      <c r="W357">
        <v>1.000224</v>
      </c>
      <c r="X357">
        <v>1.000224</v>
      </c>
      <c r="Y357">
        <v>2456430569</v>
      </c>
      <c r="Z357">
        <v>0.35489900000000002</v>
      </c>
      <c r="AA357">
        <v>0.35583399999999998</v>
      </c>
      <c r="AB357">
        <v>0.33852900000000002</v>
      </c>
      <c r="AC357">
        <v>0.339144</v>
      </c>
      <c r="AD357">
        <v>0.339144</v>
      </c>
      <c r="AE357">
        <v>389700815</v>
      </c>
    </row>
    <row r="358" spans="1:31" x14ac:dyDescent="0.25">
      <c r="A358" s="1">
        <v>44878</v>
      </c>
      <c r="B358">
        <v>1255.441284</v>
      </c>
      <c r="C358">
        <v>1271.712524</v>
      </c>
      <c r="D358">
        <v>1208.520996</v>
      </c>
      <c r="E358">
        <v>1221.8192140000001</v>
      </c>
      <c r="F358">
        <v>1221.8192140000001</v>
      </c>
      <c r="G358">
        <v>10717455214</v>
      </c>
      <c r="H358">
        <v>16799.722656000002</v>
      </c>
      <c r="I358">
        <v>16920.765625</v>
      </c>
      <c r="J358">
        <v>16320.634765999999</v>
      </c>
      <c r="K358">
        <v>16353.365234000001</v>
      </c>
      <c r="L358">
        <v>16353.365234000001</v>
      </c>
      <c r="M358">
        <v>27209183682</v>
      </c>
      <c r="N358">
        <v>0.99861699999999998</v>
      </c>
      <c r="O358">
        <v>0.99906600000000001</v>
      </c>
      <c r="P358">
        <v>0.99846299999999999</v>
      </c>
      <c r="Q358">
        <v>0.99875499999999995</v>
      </c>
      <c r="R358">
        <v>0.99875499999999995</v>
      </c>
      <c r="S358">
        <v>40189889540</v>
      </c>
      <c r="T358">
        <v>1.000178</v>
      </c>
      <c r="U358">
        <v>1.0006200000000001</v>
      </c>
      <c r="V358">
        <v>0.99994799999999995</v>
      </c>
      <c r="W358">
        <v>1.0001359999999999</v>
      </c>
      <c r="X358">
        <v>1.0001359999999999</v>
      </c>
      <c r="Y358">
        <v>2374782585</v>
      </c>
      <c r="Z358">
        <v>0.33918199999999998</v>
      </c>
      <c r="AA358">
        <v>0.34486899999999998</v>
      </c>
      <c r="AB358">
        <v>0.32735700000000001</v>
      </c>
      <c r="AC358">
        <v>0.330127</v>
      </c>
      <c r="AD358">
        <v>0.330127</v>
      </c>
      <c r="AE358">
        <v>405636157</v>
      </c>
    </row>
    <row r="359" spans="1:31" x14ac:dyDescent="0.25">
      <c r="A359" s="1">
        <v>44879</v>
      </c>
      <c r="B359">
        <v>1221.8955080000001</v>
      </c>
      <c r="C359">
        <v>1284.2176509999999</v>
      </c>
      <c r="D359">
        <v>1178.429077</v>
      </c>
      <c r="E359">
        <v>1241.6042480000001</v>
      </c>
      <c r="F359">
        <v>1241.6042480000001</v>
      </c>
      <c r="G359">
        <v>15028035663</v>
      </c>
      <c r="H359">
        <v>16352.028319999999</v>
      </c>
      <c r="I359">
        <v>17109.324218999998</v>
      </c>
      <c r="J359">
        <v>15872.941406</v>
      </c>
      <c r="K359">
        <v>16618.199218999998</v>
      </c>
      <c r="L359">
        <v>16618.199218999998</v>
      </c>
      <c r="M359">
        <v>49630243054</v>
      </c>
      <c r="N359">
        <v>0.99875000000000003</v>
      </c>
      <c r="O359">
        <v>0.99913399999999997</v>
      </c>
      <c r="P359">
        <v>0.99857600000000002</v>
      </c>
      <c r="Q359">
        <v>0.99901300000000004</v>
      </c>
      <c r="R359">
        <v>0.99901300000000004</v>
      </c>
      <c r="S359">
        <v>65634612428</v>
      </c>
      <c r="T359">
        <v>1.000135</v>
      </c>
      <c r="U359">
        <v>1.0009870000000001</v>
      </c>
      <c r="V359">
        <v>0.99977899999999997</v>
      </c>
      <c r="W359">
        <v>1.000586</v>
      </c>
      <c r="X359">
        <v>1.000586</v>
      </c>
      <c r="Y359">
        <v>4017714642</v>
      </c>
      <c r="Z359">
        <v>0.330123</v>
      </c>
      <c r="AA359">
        <v>0.34055600000000003</v>
      </c>
      <c r="AB359">
        <v>0.315946</v>
      </c>
      <c r="AC359">
        <v>0.33184900000000001</v>
      </c>
      <c r="AD359">
        <v>0.33184900000000001</v>
      </c>
      <c r="AE359">
        <v>484659345</v>
      </c>
    </row>
    <row r="360" spans="1:31" x14ac:dyDescent="0.25">
      <c r="A360" s="1">
        <v>44880</v>
      </c>
      <c r="B360">
        <v>1241.6777340000001</v>
      </c>
      <c r="C360">
        <v>1283.1987300000001</v>
      </c>
      <c r="D360">
        <v>1238.688232</v>
      </c>
      <c r="E360">
        <v>1251.736206</v>
      </c>
      <c r="F360">
        <v>1251.736206</v>
      </c>
      <c r="G360">
        <v>11798011594</v>
      </c>
      <c r="H360">
        <v>16617.484375</v>
      </c>
      <c r="I360">
        <v>17051.962890999999</v>
      </c>
      <c r="J360">
        <v>16542.550781000002</v>
      </c>
      <c r="K360">
        <v>16884.613281000002</v>
      </c>
      <c r="L360">
        <v>16884.613281000002</v>
      </c>
      <c r="M360">
        <v>36599436183</v>
      </c>
      <c r="N360">
        <v>0.99902100000000005</v>
      </c>
      <c r="O360">
        <v>0.99924299999999999</v>
      </c>
      <c r="P360">
        <v>0.99875599999999998</v>
      </c>
      <c r="Q360">
        <v>0.99912999999999996</v>
      </c>
      <c r="R360">
        <v>0.99912999999999996</v>
      </c>
      <c r="S360">
        <v>47859299075</v>
      </c>
      <c r="T360">
        <v>1.000618</v>
      </c>
      <c r="U360">
        <v>1.0008049999999999</v>
      </c>
      <c r="V360">
        <v>0.99988200000000005</v>
      </c>
      <c r="W360">
        <v>1.000345</v>
      </c>
      <c r="X360">
        <v>1.000345</v>
      </c>
      <c r="Y360">
        <v>3132740778</v>
      </c>
      <c r="Z360">
        <v>0.331874</v>
      </c>
      <c r="AA360">
        <v>0.34412900000000002</v>
      </c>
      <c r="AB360">
        <v>0.33033699999999999</v>
      </c>
      <c r="AC360">
        <v>0.337009</v>
      </c>
      <c r="AD360">
        <v>0.337009</v>
      </c>
      <c r="AE360">
        <v>312070544</v>
      </c>
    </row>
    <row r="361" spans="1:31" x14ac:dyDescent="0.25">
      <c r="A361" s="1">
        <v>44881</v>
      </c>
      <c r="B361">
        <v>1251.8088379999999</v>
      </c>
      <c r="C361">
        <v>1264.486328</v>
      </c>
      <c r="D361">
        <v>1192.987793</v>
      </c>
      <c r="E361">
        <v>1215.602539</v>
      </c>
      <c r="F361">
        <v>1215.602539</v>
      </c>
      <c r="G361">
        <v>11939561598</v>
      </c>
      <c r="H361">
        <v>16884.341797000001</v>
      </c>
      <c r="I361">
        <v>16960.294922000001</v>
      </c>
      <c r="J361">
        <v>16430.111327999999</v>
      </c>
      <c r="K361">
        <v>16669.439452999999</v>
      </c>
      <c r="L361">
        <v>16669.439452999999</v>
      </c>
      <c r="M361">
        <v>33925512989</v>
      </c>
      <c r="N361">
        <v>0.99913600000000002</v>
      </c>
      <c r="O361">
        <v>0.99940600000000002</v>
      </c>
      <c r="P361">
        <v>0.99898799999999999</v>
      </c>
      <c r="Q361">
        <v>0.99922900000000003</v>
      </c>
      <c r="R361">
        <v>0.99922900000000003</v>
      </c>
      <c r="S361">
        <v>45661177296</v>
      </c>
      <c r="T361">
        <v>1.000356</v>
      </c>
      <c r="U361">
        <v>1.000513</v>
      </c>
      <c r="V361">
        <v>0.99978900000000004</v>
      </c>
      <c r="W361">
        <v>1.000186</v>
      </c>
      <c r="X361">
        <v>1.000186</v>
      </c>
      <c r="Y361">
        <v>3988959847</v>
      </c>
      <c r="Z361">
        <v>0.33696399999999999</v>
      </c>
      <c r="AA361">
        <v>0.34393000000000001</v>
      </c>
      <c r="AB361">
        <v>0.325434</v>
      </c>
      <c r="AC361">
        <v>0.33238200000000001</v>
      </c>
      <c r="AD361">
        <v>0.33238200000000001</v>
      </c>
      <c r="AE361">
        <v>279986402</v>
      </c>
    </row>
    <row r="362" spans="1:31" x14ac:dyDescent="0.25">
      <c r="A362" s="1">
        <v>44882</v>
      </c>
      <c r="B362">
        <v>1215.8486330000001</v>
      </c>
      <c r="C362">
        <v>1224.965698</v>
      </c>
      <c r="D362">
        <v>1189.1527100000001</v>
      </c>
      <c r="E362">
        <v>1200.8085940000001</v>
      </c>
      <c r="F362">
        <v>1200.8085940000001</v>
      </c>
      <c r="G362">
        <v>9723646871</v>
      </c>
      <c r="H362">
        <v>16670.425781000002</v>
      </c>
      <c r="I362">
        <v>16726.439452999999</v>
      </c>
      <c r="J362">
        <v>16460.683593999998</v>
      </c>
      <c r="K362">
        <v>16687.517577999999</v>
      </c>
      <c r="L362">
        <v>16687.517577999999</v>
      </c>
      <c r="M362">
        <v>27868914022</v>
      </c>
      <c r="N362">
        <v>0.99923099999999998</v>
      </c>
      <c r="O362">
        <v>0.99964500000000001</v>
      </c>
      <c r="P362">
        <v>0.99920299999999995</v>
      </c>
      <c r="Q362">
        <v>0.99940200000000001</v>
      </c>
      <c r="R362">
        <v>0.99940200000000001</v>
      </c>
      <c r="S362">
        <v>37744442250</v>
      </c>
      <c r="T362">
        <v>1.0001990000000001</v>
      </c>
      <c r="U362">
        <v>1.000526</v>
      </c>
      <c r="V362">
        <v>0.99976900000000002</v>
      </c>
      <c r="W362">
        <v>1.000162</v>
      </c>
      <c r="X362">
        <v>1.000162</v>
      </c>
      <c r="Y362">
        <v>2882973153</v>
      </c>
      <c r="Z362">
        <v>0.33242100000000002</v>
      </c>
      <c r="AA362">
        <v>0.33402799999999999</v>
      </c>
      <c r="AB362">
        <v>0.319963</v>
      </c>
      <c r="AC362">
        <v>0.32485900000000001</v>
      </c>
      <c r="AD362">
        <v>0.32485900000000001</v>
      </c>
      <c r="AE362">
        <v>238288352</v>
      </c>
    </row>
    <row r="363" spans="1:31" x14ac:dyDescent="0.25">
      <c r="A363" s="1">
        <v>44883</v>
      </c>
      <c r="B363">
        <v>1200.802124</v>
      </c>
      <c r="C363">
        <v>1226.737427</v>
      </c>
      <c r="D363">
        <v>1200.802124</v>
      </c>
      <c r="E363">
        <v>1212.300293</v>
      </c>
      <c r="F363">
        <v>1212.300293</v>
      </c>
      <c r="G363">
        <v>7979913378</v>
      </c>
      <c r="H363">
        <v>16687.912109000001</v>
      </c>
      <c r="I363">
        <v>16947.058593999998</v>
      </c>
      <c r="J363">
        <v>16564.611327999999</v>
      </c>
      <c r="K363">
        <v>16697.777343999998</v>
      </c>
      <c r="L363">
        <v>16697.777343999998</v>
      </c>
      <c r="M363">
        <v>26862218609</v>
      </c>
      <c r="N363">
        <v>0.99939599999999995</v>
      </c>
      <c r="O363">
        <v>0.99946800000000002</v>
      </c>
      <c r="P363">
        <v>0.99907999999999997</v>
      </c>
      <c r="Q363">
        <v>0.99916300000000002</v>
      </c>
      <c r="R363">
        <v>0.99916300000000002</v>
      </c>
      <c r="S363">
        <v>34879098921</v>
      </c>
      <c r="T363">
        <v>1.0001599999999999</v>
      </c>
      <c r="U363">
        <v>1.000488</v>
      </c>
      <c r="V363">
        <v>1.0000389999999999</v>
      </c>
      <c r="W363">
        <v>1.000248</v>
      </c>
      <c r="X363">
        <v>1.000248</v>
      </c>
      <c r="Y363">
        <v>2638924708</v>
      </c>
      <c r="Z363">
        <v>0.32486900000000002</v>
      </c>
      <c r="AA363">
        <v>0.33215600000000001</v>
      </c>
      <c r="AB363">
        <v>0.32139699999999999</v>
      </c>
      <c r="AC363">
        <v>0.32622099999999998</v>
      </c>
      <c r="AD363">
        <v>0.32622099999999998</v>
      </c>
      <c r="AE363">
        <v>223268757</v>
      </c>
    </row>
    <row r="364" spans="1:31" x14ac:dyDescent="0.25">
      <c r="A364" s="1">
        <v>44884</v>
      </c>
      <c r="B364">
        <v>1212.2154539999999</v>
      </c>
      <c r="C364">
        <v>1227.83728</v>
      </c>
      <c r="D364">
        <v>1200.475586</v>
      </c>
      <c r="E364">
        <v>1218.4267580000001</v>
      </c>
      <c r="F364">
        <v>1218.4267580000001</v>
      </c>
      <c r="G364">
        <v>5978745776</v>
      </c>
      <c r="H364">
        <v>16696.220702999999</v>
      </c>
      <c r="I364">
        <v>16797.876952999999</v>
      </c>
      <c r="J364">
        <v>16570.410156000002</v>
      </c>
      <c r="K364">
        <v>16711.546875</v>
      </c>
      <c r="L364">
        <v>16711.546875</v>
      </c>
      <c r="M364">
        <v>16106223492</v>
      </c>
      <c r="N364">
        <v>0.99917500000000004</v>
      </c>
      <c r="O364">
        <v>0.99929199999999996</v>
      </c>
      <c r="P364">
        <v>0.99904599999999999</v>
      </c>
      <c r="Q364">
        <v>0.99910200000000005</v>
      </c>
      <c r="R364">
        <v>0.99910200000000005</v>
      </c>
      <c r="S364">
        <v>23288439137</v>
      </c>
      <c r="T364">
        <v>1.0002260000000001</v>
      </c>
      <c r="U364">
        <v>1.0004599999999999</v>
      </c>
      <c r="V364">
        <v>0.99999700000000002</v>
      </c>
      <c r="W364">
        <v>1.000156</v>
      </c>
      <c r="X364">
        <v>1.000156</v>
      </c>
      <c r="Y364">
        <v>2142545663</v>
      </c>
      <c r="Z364">
        <v>0.32621699999999998</v>
      </c>
      <c r="AA364">
        <v>0.33168799999999998</v>
      </c>
      <c r="AB364">
        <v>0.32307399999999997</v>
      </c>
      <c r="AC364">
        <v>0.32851200000000003</v>
      </c>
      <c r="AD364">
        <v>0.32851200000000003</v>
      </c>
      <c r="AE364">
        <v>160053174</v>
      </c>
    </row>
    <row r="365" spans="1:31" x14ac:dyDescent="0.25">
      <c r="A365" s="1">
        <v>44885</v>
      </c>
      <c r="B365">
        <v>1218.436279</v>
      </c>
      <c r="C365">
        <v>1224.077759</v>
      </c>
      <c r="D365">
        <v>1137.9332280000001</v>
      </c>
      <c r="E365">
        <v>1142.4666749999999</v>
      </c>
      <c r="F365">
        <v>1142.4666749999999</v>
      </c>
      <c r="G365">
        <v>9651002684</v>
      </c>
      <c r="H365">
        <v>16712.919922000001</v>
      </c>
      <c r="I365">
        <v>16746.779297000001</v>
      </c>
      <c r="J365">
        <v>16248.692383</v>
      </c>
      <c r="K365">
        <v>16291.832031</v>
      </c>
      <c r="L365">
        <v>16291.832031</v>
      </c>
      <c r="M365">
        <v>21313378652</v>
      </c>
      <c r="N365">
        <v>0.99908699999999995</v>
      </c>
      <c r="O365">
        <v>0.99920699999999996</v>
      </c>
      <c r="P365">
        <v>0.99877000000000005</v>
      </c>
      <c r="Q365">
        <v>0.99898200000000004</v>
      </c>
      <c r="R365">
        <v>0.99898200000000004</v>
      </c>
      <c r="S365">
        <v>33834889406</v>
      </c>
      <c r="T365">
        <v>1.000167</v>
      </c>
      <c r="U365">
        <v>1.000499</v>
      </c>
      <c r="V365">
        <v>0.99983200000000005</v>
      </c>
      <c r="W365">
        <v>1.0002139999999999</v>
      </c>
      <c r="X365">
        <v>1.0002139999999999</v>
      </c>
      <c r="Y365">
        <v>2631891750</v>
      </c>
      <c r="Z365">
        <v>0.328513</v>
      </c>
      <c r="AA365">
        <v>0.33073399999999997</v>
      </c>
      <c r="AB365">
        <v>0.31107899999999999</v>
      </c>
      <c r="AC365">
        <v>0.312307</v>
      </c>
      <c r="AD365">
        <v>0.312307</v>
      </c>
      <c r="AE365">
        <v>241625735</v>
      </c>
    </row>
    <row r="366" spans="1:31" x14ac:dyDescent="0.25">
      <c r="A366" s="1">
        <v>44886</v>
      </c>
      <c r="B366">
        <v>1142.3957519999999</v>
      </c>
      <c r="C366">
        <v>1142.3957519999999</v>
      </c>
      <c r="D366">
        <v>1084.8572999999999</v>
      </c>
      <c r="E366">
        <v>1108.3530270000001</v>
      </c>
      <c r="F366">
        <v>1108.3530270000001</v>
      </c>
      <c r="G366">
        <v>14080099208</v>
      </c>
      <c r="H366">
        <v>16291.223633</v>
      </c>
      <c r="I366">
        <v>16291.223633</v>
      </c>
      <c r="J366">
        <v>15599.046875</v>
      </c>
      <c r="K366">
        <v>15787.284180000001</v>
      </c>
      <c r="L366">
        <v>15787.284180000001</v>
      </c>
      <c r="M366">
        <v>37429485518</v>
      </c>
      <c r="N366">
        <v>0.99899499999999997</v>
      </c>
      <c r="O366">
        <v>0.99916899999999997</v>
      </c>
      <c r="P366">
        <v>0.99864600000000003</v>
      </c>
      <c r="Q366">
        <v>0.999089</v>
      </c>
      <c r="R366">
        <v>0.999089</v>
      </c>
      <c r="S366">
        <v>54558293762</v>
      </c>
      <c r="T366">
        <v>1.0002089999999999</v>
      </c>
      <c r="U366">
        <v>1.0007790000000001</v>
      </c>
      <c r="V366">
        <v>0.99980800000000003</v>
      </c>
      <c r="W366">
        <v>1.0003299999999999</v>
      </c>
      <c r="X366">
        <v>1.0003299999999999</v>
      </c>
      <c r="Y366">
        <v>6600804024</v>
      </c>
      <c r="Z366">
        <v>0.31230000000000002</v>
      </c>
      <c r="AA366">
        <v>0.31262200000000001</v>
      </c>
      <c r="AB366">
        <v>0.297288</v>
      </c>
      <c r="AC366">
        <v>0.30454799999999999</v>
      </c>
      <c r="AD366">
        <v>0.30454799999999999</v>
      </c>
      <c r="AE366">
        <v>402254597</v>
      </c>
    </row>
    <row r="367" spans="1:31" x14ac:dyDescent="0.25">
      <c r="A367" s="1">
        <v>44887</v>
      </c>
      <c r="B367">
        <v>1105.525879</v>
      </c>
      <c r="C367">
        <v>1112.278442</v>
      </c>
      <c r="D367">
        <v>1081.299561</v>
      </c>
      <c r="E367">
        <v>1094.019775</v>
      </c>
      <c r="F367">
        <v>1094.019775</v>
      </c>
      <c r="G367">
        <v>13412810752</v>
      </c>
      <c r="H367">
        <v>15778.548828000001</v>
      </c>
      <c r="I367">
        <v>15914.864258</v>
      </c>
      <c r="J367">
        <v>15656.606444999999</v>
      </c>
      <c r="K367">
        <v>15724.897461</v>
      </c>
      <c r="L367">
        <v>15724.897461</v>
      </c>
      <c r="M367">
        <v>32479893504</v>
      </c>
      <c r="N367">
        <v>0.999081</v>
      </c>
      <c r="O367">
        <v>0.999309</v>
      </c>
      <c r="P367">
        <v>0.99887400000000004</v>
      </c>
      <c r="Q367">
        <v>0.99915699999999996</v>
      </c>
      <c r="R367">
        <v>0.99915699999999996</v>
      </c>
      <c r="S367">
        <v>44056204568</v>
      </c>
      <c r="T367">
        <v>1.0002519999999999</v>
      </c>
      <c r="U367">
        <v>1.0007219999999999</v>
      </c>
      <c r="V367">
        <v>0.999969</v>
      </c>
      <c r="W367">
        <v>1.0004189999999999</v>
      </c>
      <c r="X367">
        <v>1.0004189999999999</v>
      </c>
      <c r="Y367">
        <v>4058680571</v>
      </c>
      <c r="Z367">
        <v>0.30452400000000002</v>
      </c>
      <c r="AA367">
        <v>0.31586900000000001</v>
      </c>
      <c r="AB367">
        <v>0.29910399999999998</v>
      </c>
      <c r="AC367">
        <v>0.31192199999999998</v>
      </c>
      <c r="AD367">
        <v>0.31192199999999998</v>
      </c>
      <c r="AE367">
        <v>303965817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061F-4517-4E0E-8C6E-773060001F3F}">
  <dimension ref="A1:AW367"/>
  <sheetViews>
    <sheetView topLeftCell="AK1" workbookViewId="0">
      <selection activeCell="AZ18" sqref="AZ18"/>
    </sheetView>
  </sheetViews>
  <sheetFormatPr defaultRowHeight="15" x14ac:dyDescent="0.25"/>
  <cols>
    <col min="1" max="1" width="12.140625" customWidth="1"/>
    <col min="2" max="2" width="14.140625" bestFit="1" customWidth="1"/>
    <col min="3" max="3" width="13.28515625" bestFit="1" customWidth="1"/>
    <col min="4" max="4" width="12.7109375" bestFit="1" customWidth="1"/>
    <col min="5" max="5" width="14.140625" bestFit="1" customWidth="1"/>
    <col min="6" max="6" width="17.7109375" bestFit="1" customWidth="1"/>
    <col min="7" max="7" width="16.28515625" bestFit="1" customWidth="1"/>
    <col min="8" max="8" width="12.42578125" bestFit="1" customWidth="1"/>
    <col min="9" max="10" width="12" bestFit="1" customWidth="1"/>
    <col min="11" max="11" width="12.42578125" bestFit="1" customWidth="1"/>
    <col min="12" max="12" width="16" bestFit="1" customWidth="1"/>
    <col min="13" max="13" width="13.28515625" customWidth="1"/>
    <col min="14" max="14" width="12.140625" bestFit="1" customWidth="1"/>
    <col min="15" max="15" width="11.28515625" bestFit="1" customWidth="1"/>
    <col min="16" max="16" width="10.85546875" bestFit="1" customWidth="1"/>
    <col min="17" max="17" width="12.140625" bestFit="1" customWidth="1"/>
    <col min="18" max="18" width="15.7109375" bestFit="1" customWidth="1"/>
    <col min="19" max="19" width="14.42578125" bestFit="1" customWidth="1"/>
    <col min="20" max="20" width="13.85546875" bestFit="1" customWidth="1"/>
    <col min="21" max="21" width="12.85546875" bestFit="1" customWidth="1"/>
    <col min="22" max="22" width="12.42578125" bestFit="1" customWidth="1"/>
    <col min="23" max="23" width="13.85546875" bestFit="1" customWidth="1"/>
    <col min="24" max="24" width="17.42578125" bestFit="1" customWidth="1"/>
    <col min="25" max="25" width="16" bestFit="1" customWidth="1"/>
    <col min="26" max="26" width="13.7109375" bestFit="1" customWidth="1"/>
    <col min="27" max="27" width="12.7109375" bestFit="1" customWidth="1"/>
    <col min="28" max="28" width="12.28515625" bestFit="1" customWidth="1"/>
    <col min="29" max="29" width="13.7109375" bestFit="1" customWidth="1"/>
    <col min="30" max="30" width="17.28515625" bestFit="1" customWidth="1"/>
    <col min="31" max="31" width="15.85546875" bestFit="1" customWidth="1"/>
    <col min="37" max="37" width="12.140625" customWidth="1"/>
    <col min="38" max="38" width="12.7109375" bestFit="1" customWidth="1"/>
    <col min="39" max="39" width="14.140625" bestFit="1" customWidth="1"/>
    <col min="40" max="40" width="12.140625" bestFit="1" customWidth="1"/>
    <col min="41" max="41" width="13.85546875" bestFit="1" customWidth="1"/>
    <col min="42" max="42" width="13.7109375" bestFit="1" customWidth="1"/>
    <col min="49" max="49" width="12.710937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K1" t="s">
        <v>0</v>
      </c>
      <c r="AL1" t="str">
        <f>dashboard!B6</f>
        <v>etherum Open</v>
      </c>
      <c r="AM1" t="str">
        <f>dashboard!B13</f>
        <v>bitcoin Open</v>
      </c>
      <c r="AN1" t="str">
        <f>dashboard!B14</f>
        <v>Cardona Open</v>
      </c>
      <c r="AO1" t="str">
        <f>dashboard!B15</f>
        <v>Tether Open</v>
      </c>
      <c r="AP1" t="str">
        <f>dashboard!B16</f>
        <v>Usd coin Open</v>
      </c>
    </row>
    <row r="2" spans="1:49" x14ac:dyDescent="0.25">
      <c r="A2" s="1">
        <v>44522</v>
      </c>
      <c r="B2">
        <v>4266.5092770000001</v>
      </c>
      <c r="C2">
        <v>4302.0229490000002</v>
      </c>
      <c r="D2">
        <v>4033.5722660000001</v>
      </c>
      <c r="E2">
        <v>4088.4577640000002</v>
      </c>
      <c r="F2">
        <v>4088.4577640000002</v>
      </c>
      <c r="G2">
        <v>19752218877</v>
      </c>
      <c r="H2">
        <v>58706.847655999998</v>
      </c>
      <c r="I2">
        <v>59266.359375</v>
      </c>
      <c r="J2">
        <v>55679.839844000002</v>
      </c>
      <c r="K2">
        <v>56289.289062999997</v>
      </c>
      <c r="L2">
        <v>56289.289062999997</v>
      </c>
      <c r="M2">
        <v>35036121783</v>
      </c>
      <c r="N2">
        <v>1.001288</v>
      </c>
      <c r="O2">
        <v>1.001986</v>
      </c>
      <c r="P2">
        <v>0.99807999999999997</v>
      </c>
      <c r="Q2">
        <v>1.000451</v>
      </c>
      <c r="R2">
        <v>1.000451</v>
      </c>
      <c r="S2">
        <v>79375135623</v>
      </c>
      <c r="T2">
        <v>1.000046</v>
      </c>
      <c r="U2">
        <v>1.001978</v>
      </c>
      <c r="V2">
        <v>0.99804599999999999</v>
      </c>
      <c r="W2">
        <v>0.99996200000000002</v>
      </c>
      <c r="X2">
        <v>0.99996200000000002</v>
      </c>
      <c r="Y2">
        <v>5353790196</v>
      </c>
      <c r="Z2">
        <v>1.8382909999999999</v>
      </c>
      <c r="AA2">
        <v>1.8398110000000001</v>
      </c>
      <c r="AB2">
        <v>1.75983</v>
      </c>
      <c r="AC2">
        <v>1.7765550000000001</v>
      </c>
      <c r="AD2">
        <v>1.7765550000000001</v>
      </c>
      <c r="AE2">
        <v>1581033619</v>
      </c>
      <c r="AK2" s="1">
        <v>44522</v>
      </c>
      <c r="AL2">
        <f>INDEX($A:$AE,MATCH(AK2,$A:$A,0),MATCH($AL1,$A1:$AE1,0))</f>
        <v>4266.5092770000001</v>
      </c>
      <c r="AM2">
        <f>INDEX(A:AE,MATCH(AK2,worksheet!A:A,0),MATCH(worksheet!AM1,worksheet!A1:AE1,0))</f>
        <v>58706.847655999998</v>
      </c>
      <c r="AN2">
        <f>INDEX(A:AE,MATCH(AK2,worksheet!A:A,0),MATCH(worksheet!AN1,worksheet!A1:AE1,0))</f>
        <v>1.8382909999999999</v>
      </c>
      <c r="AO2">
        <f>INDEX(A:AE,MATCH(AK2,worksheet!A:A,0),MATCH(worksheet!AO1,worksheet!A1:AE1,0))</f>
        <v>1.001288</v>
      </c>
      <c r="AP2">
        <f>INDEX(A:AE,MATCH(AK2,worksheet!A:A,0),MATCH(worksheet!AP1,worksheet!A1:AE1,0))</f>
        <v>1.000046</v>
      </c>
      <c r="AW2" t="s">
        <v>38</v>
      </c>
    </row>
    <row r="3" spans="1:49" x14ac:dyDescent="0.25">
      <c r="A3" s="1">
        <v>44523</v>
      </c>
      <c r="B3">
        <v>4089.6804200000001</v>
      </c>
      <c r="C3">
        <v>4385.4833980000003</v>
      </c>
      <c r="D3">
        <v>4069.7666020000001</v>
      </c>
      <c r="E3">
        <v>4340.763672</v>
      </c>
      <c r="F3">
        <v>4340.763672</v>
      </c>
      <c r="G3">
        <v>22133497059</v>
      </c>
      <c r="H3">
        <v>56304.554687999997</v>
      </c>
      <c r="I3">
        <v>57875.515625</v>
      </c>
      <c r="J3">
        <v>55632.761719000002</v>
      </c>
      <c r="K3">
        <v>57569.074219000002</v>
      </c>
      <c r="L3">
        <v>57569.074219000002</v>
      </c>
      <c r="M3">
        <v>37485803899</v>
      </c>
      <c r="N3">
        <v>1.000507</v>
      </c>
      <c r="O3">
        <v>1.0025139999999999</v>
      </c>
      <c r="P3">
        <v>0.99804400000000004</v>
      </c>
      <c r="Q3">
        <v>1.0001249999999999</v>
      </c>
      <c r="R3">
        <v>1.0001249999999999</v>
      </c>
      <c r="S3">
        <v>84196469142</v>
      </c>
      <c r="T3">
        <v>1.000076</v>
      </c>
      <c r="U3">
        <v>1.001997</v>
      </c>
      <c r="V3">
        <v>0.99801300000000004</v>
      </c>
      <c r="W3">
        <v>1.0001150000000001</v>
      </c>
      <c r="X3">
        <v>1.0001150000000001</v>
      </c>
      <c r="Y3">
        <v>4805345753</v>
      </c>
      <c r="Z3">
        <v>1.7782830000000001</v>
      </c>
      <c r="AA3">
        <v>1.8176300000000001</v>
      </c>
      <c r="AB3">
        <v>1.7451270000000001</v>
      </c>
      <c r="AC3">
        <v>1.7505029999999999</v>
      </c>
      <c r="AD3">
        <v>1.7505029999999999</v>
      </c>
      <c r="AE3">
        <v>1765447419</v>
      </c>
      <c r="AK3" s="1">
        <v>44523</v>
      </c>
      <c r="AL3">
        <f t="shared" ref="AL3:AL66" si="0">INDEX($A:$AE,MATCH(AK3,$A:$A,0),MATCH($AL2,$A2:$AE2,0))</f>
        <v>4089.6804200000001</v>
      </c>
      <c r="AM3">
        <f>INDEX(A:AE,MATCH(AK3,worksheet!A:A,0),MATCH(worksheet!AM2,worksheet!A2:AE2,0))</f>
        <v>56304.554687999997</v>
      </c>
      <c r="AN3">
        <f>INDEX(A:AE,MATCH(AK3,worksheet!A:A,0),MATCH(worksheet!AN2,worksheet!A2:AE2,0))</f>
        <v>1.7782830000000001</v>
      </c>
      <c r="AO3">
        <f>INDEX(A:AE,MATCH(AK3,worksheet!A:A,0),MATCH(worksheet!AO2,worksheet!A2:AE2,0))</f>
        <v>1.000507</v>
      </c>
      <c r="AP3">
        <f>INDEX(A:AE,MATCH(AK3,worksheet!A:A,0),MATCH(worksheet!AP2,worksheet!A2:AE2,0))</f>
        <v>1.000076</v>
      </c>
      <c r="AW3" t="str">
        <f>LEFT(dashboard!B6,FIND(" ",dashboard!B6,1))</f>
        <v xml:space="preserve">etherum </v>
      </c>
    </row>
    <row r="4" spans="1:49" x14ac:dyDescent="0.25">
      <c r="A4" s="1">
        <v>44524</v>
      </c>
      <c r="B4">
        <v>4340.0361329999996</v>
      </c>
      <c r="C4">
        <v>4376.8759769999997</v>
      </c>
      <c r="D4">
        <v>4176.1835940000001</v>
      </c>
      <c r="E4">
        <v>4239.9814450000003</v>
      </c>
      <c r="F4">
        <v>4239.9814450000003</v>
      </c>
      <c r="G4">
        <v>21838037128</v>
      </c>
      <c r="H4">
        <v>57565.851562999997</v>
      </c>
      <c r="I4">
        <v>57803.066405999998</v>
      </c>
      <c r="J4">
        <v>55964.222655999998</v>
      </c>
      <c r="K4">
        <v>56280.425780999998</v>
      </c>
      <c r="L4">
        <v>56280.425780999998</v>
      </c>
      <c r="M4">
        <v>36635566789</v>
      </c>
      <c r="N4">
        <v>0.99998600000000004</v>
      </c>
      <c r="O4">
        <v>1.001992</v>
      </c>
      <c r="P4">
        <v>0.99804700000000002</v>
      </c>
      <c r="Q4">
        <v>1.0006969999999999</v>
      </c>
      <c r="R4">
        <v>1.0006969999999999</v>
      </c>
      <c r="S4">
        <v>84317323264</v>
      </c>
      <c r="T4">
        <v>0.99977199999999999</v>
      </c>
      <c r="U4">
        <v>1.0019880000000001</v>
      </c>
      <c r="V4">
        <v>0.998058</v>
      </c>
      <c r="W4">
        <v>1.000707</v>
      </c>
      <c r="X4">
        <v>1.000707</v>
      </c>
      <c r="Y4">
        <v>4771592674</v>
      </c>
      <c r="Z4">
        <v>1.7512460000000001</v>
      </c>
      <c r="AA4">
        <v>1.7523880000000001</v>
      </c>
      <c r="AB4">
        <v>1.594203</v>
      </c>
      <c r="AC4">
        <v>1.686423</v>
      </c>
      <c r="AD4">
        <v>1.686423</v>
      </c>
      <c r="AE4">
        <v>1983587289</v>
      </c>
      <c r="AK4" s="1">
        <v>44524</v>
      </c>
      <c r="AL4">
        <f t="shared" si="0"/>
        <v>4340.0361329999996</v>
      </c>
      <c r="AM4">
        <f>INDEX(A:AE,MATCH(AK4,worksheet!A:A,0),MATCH(worksheet!AM3,worksheet!A3:AE3,0))</f>
        <v>57565.851562999997</v>
      </c>
      <c r="AN4">
        <f>INDEX(A:AE,MATCH(AK4,worksheet!A:A,0),MATCH(worksheet!AN3,worksheet!A3:AE3,0))</f>
        <v>1.7512460000000001</v>
      </c>
      <c r="AO4">
        <f>INDEX(A:AE,MATCH(AK4,worksheet!A:A,0),MATCH(worksheet!AO3,worksheet!A3:AE3,0))</f>
        <v>0.99998600000000004</v>
      </c>
      <c r="AP4">
        <f>INDEX(A:AE,MATCH(AK4,worksheet!A:A,0),MATCH(worksheet!AP3,worksheet!A3:AE3,0))</f>
        <v>0.99977199999999999</v>
      </c>
    </row>
    <row r="5" spans="1:49" x14ac:dyDescent="0.25">
      <c r="A5" s="1">
        <v>44525</v>
      </c>
      <c r="B5">
        <v>4271.3945309999999</v>
      </c>
      <c r="C5">
        <v>4550.5180659999996</v>
      </c>
      <c r="D5">
        <v>4249.7744140000004</v>
      </c>
      <c r="E5">
        <v>4274.7431640000004</v>
      </c>
      <c r="F5">
        <v>4274.7431640000004</v>
      </c>
      <c r="G5">
        <v>18705358318</v>
      </c>
      <c r="H5">
        <v>57165.417969000002</v>
      </c>
      <c r="I5">
        <v>59367.96875</v>
      </c>
      <c r="J5">
        <v>57146.683594000002</v>
      </c>
      <c r="K5">
        <v>57274.679687999997</v>
      </c>
      <c r="L5">
        <v>57274.679687999997</v>
      </c>
      <c r="M5">
        <v>34284016248</v>
      </c>
      <c r="N5">
        <v>0.99948300000000001</v>
      </c>
      <c r="O5">
        <v>1.0019899999999999</v>
      </c>
      <c r="P5">
        <v>0.99829299999999999</v>
      </c>
      <c r="Q5">
        <v>0.99960099999999996</v>
      </c>
      <c r="R5">
        <v>0.99960099999999996</v>
      </c>
      <c r="S5">
        <v>91394294449</v>
      </c>
      <c r="T5">
        <v>0.99939199999999995</v>
      </c>
      <c r="U5">
        <v>1.0019910000000001</v>
      </c>
      <c r="V5">
        <v>0.99818499999999999</v>
      </c>
      <c r="W5">
        <v>1.000332</v>
      </c>
      <c r="X5">
        <v>1.000332</v>
      </c>
      <c r="Y5">
        <v>4514614915</v>
      </c>
      <c r="Z5">
        <v>1.6672610000000001</v>
      </c>
      <c r="AA5">
        <v>1.7488669999999999</v>
      </c>
      <c r="AB5">
        <v>1.6208849999999999</v>
      </c>
      <c r="AC5">
        <v>1.6513450000000001</v>
      </c>
      <c r="AD5">
        <v>1.6513450000000001</v>
      </c>
      <c r="AE5">
        <v>3072612884</v>
      </c>
      <c r="AK5" s="1">
        <v>44525</v>
      </c>
      <c r="AL5">
        <f t="shared" si="0"/>
        <v>4271.3945309999999</v>
      </c>
      <c r="AM5">
        <f>INDEX(A:AE,MATCH(AK5,worksheet!A:A,0),MATCH(worksheet!AM4,worksheet!A4:AE4,0))</f>
        <v>57165.417969000002</v>
      </c>
      <c r="AN5">
        <f>INDEX(A:AE,MATCH(AK5,worksheet!A:A,0),MATCH(worksheet!AN4,worksheet!A4:AE4,0))</f>
        <v>1.6672610000000001</v>
      </c>
      <c r="AO5">
        <f>INDEX(A:AE,MATCH(AK5,worksheet!A:A,0),MATCH(worksheet!AO4,worksheet!A4:AE4,0))</f>
        <v>0.99948300000000001</v>
      </c>
      <c r="AP5">
        <f>INDEX(A:AE,MATCH(AK5,worksheet!A:A,0),MATCH(worksheet!AP4,worksheet!A4:AE4,0))</f>
        <v>0.99939199999999995</v>
      </c>
    </row>
    <row r="6" spans="1:49" x14ac:dyDescent="0.25">
      <c r="A6" s="1">
        <v>44526</v>
      </c>
      <c r="B6">
        <v>4522.2089839999999</v>
      </c>
      <c r="C6">
        <v>4550.8422849999997</v>
      </c>
      <c r="D6">
        <v>3933.5065920000002</v>
      </c>
      <c r="E6">
        <v>4030.9089359999998</v>
      </c>
      <c r="F6">
        <v>4030.9089359999998</v>
      </c>
      <c r="G6">
        <v>26281795488</v>
      </c>
      <c r="H6">
        <v>58960.285155999998</v>
      </c>
      <c r="I6">
        <v>59183.480469000002</v>
      </c>
      <c r="J6">
        <v>53569.765625</v>
      </c>
      <c r="K6">
        <v>53569.765625</v>
      </c>
      <c r="L6">
        <v>53569.765625</v>
      </c>
      <c r="M6">
        <v>41810748221</v>
      </c>
      <c r="N6">
        <v>1.0009859999999999</v>
      </c>
      <c r="O6">
        <v>1.001981</v>
      </c>
      <c r="P6">
        <v>0.99826099999999995</v>
      </c>
      <c r="Q6">
        <v>1.000367</v>
      </c>
      <c r="R6">
        <v>1.000367</v>
      </c>
      <c r="S6">
        <v>106740129710</v>
      </c>
      <c r="T6">
        <v>1.00065</v>
      </c>
      <c r="U6">
        <v>1.001981</v>
      </c>
      <c r="V6">
        <v>0.99815299999999996</v>
      </c>
      <c r="W6">
        <v>0.99984300000000004</v>
      </c>
      <c r="X6">
        <v>0.99984300000000004</v>
      </c>
      <c r="Y6">
        <v>6592288363</v>
      </c>
      <c r="Z6">
        <v>1.676388</v>
      </c>
      <c r="AA6">
        <v>1.68544</v>
      </c>
      <c r="AB6">
        <v>1.502046</v>
      </c>
      <c r="AC6">
        <v>1.5284199999999999</v>
      </c>
      <c r="AD6">
        <v>1.5284199999999999</v>
      </c>
      <c r="AE6">
        <v>3011271612</v>
      </c>
      <c r="AK6" s="1">
        <v>44526</v>
      </c>
      <c r="AL6">
        <f t="shared" si="0"/>
        <v>4522.2089839999999</v>
      </c>
      <c r="AM6">
        <f>INDEX(A:AE,MATCH(AK6,worksheet!A:A,0),MATCH(worksheet!AM5,worksheet!A5:AE5,0))</f>
        <v>58960.285155999998</v>
      </c>
      <c r="AN6">
        <f>INDEX(A:AE,MATCH(AK6,worksheet!A:A,0),MATCH(worksheet!AN5,worksheet!A5:AE5,0))</f>
        <v>1.676388</v>
      </c>
      <c r="AO6">
        <f>INDEX(A:AE,MATCH(AK6,worksheet!A:A,0),MATCH(worksheet!AO5,worksheet!A5:AE5,0))</f>
        <v>1.0009859999999999</v>
      </c>
      <c r="AP6">
        <f>INDEX(A:AE,MATCH(AK6,worksheet!A:A,0),MATCH(worksheet!AP5,worksheet!A5:AE5,0))</f>
        <v>1.00065</v>
      </c>
    </row>
    <row r="7" spans="1:49" x14ac:dyDescent="0.25">
      <c r="A7" s="1">
        <v>44527</v>
      </c>
      <c r="B7">
        <v>4042.9990229999999</v>
      </c>
      <c r="C7">
        <v>4187.6840819999998</v>
      </c>
      <c r="D7">
        <v>4033.5139159999999</v>
      </c>
      <c r="E7">
        <v>4096.9121089999999</v>
      </c>
      <c r="F7">
        <v>4096.9121089999999</v>
      </c>
      <c r="G7">
        <v>16515693874</v>
      </c>
      <c r="H7">
        <v>53736.429687999997</v>
      </c>
      <c r="I7">
        <v>55329.257812999997</v>
      </c>
      <c r="J7">
        <v>53668.355469000002</v>
      </c>
      <c r="K7">
        <v>54815.078125</v>
      </c>
      <c r="L7">
        <v>54815.078125</v>
      </c>
      <c r="M7">
        <v>30560857714</v>
      </c>
      <c r="N7">
        <v>1.0002869999999999</v>
      </c>
      <c r="O7">
        <v>1.0019990000000001</v>
      </c>
      <c r="P7">
        <v>0.998305</v>
      </c>
      <c r="Q7">
        <v>1.001099</v>
      </c>
      <c r="R7">
        <v>1.001099</v>
      </c>
      <c r="S7">
        <v>73666340601</v>
      </c>
      <c r="T7">
        <v>0.99978</v>
      </c>
      <c r="U7">
        <v>1.0019979999999999</v>
      </c>
      <c r="V7">
        <v>0.99803200000000003</v>
      </c>
      <c r="W7">
        <v>1.0015940000000001</v>
      </c>
      <c r="X7">
        <v>1.0015940000000001</v>
      </c>
      <c r="Y7">
        <v>3824221682</v>
      </c>
      <c r="Z7">
        <v>1.531957</v>
      </c>
      <c r="AA7">
        <v>1.585799</v>
      </c>
      <c r="AB7">
        <v>1.531957</v>
      </c>
      <c r="AC7">
        <v>1.5461180000000001</v>
      </c>
      <c r="AD7">
        <v>1.5461180000000001</v>
      </c>
      <c r="AE7">
        <v>1560548721</v>
      </c>
      <c r="AK7" s="1">
        <v>44527</v>
      </c>
      <c r="AL7">
        <f t="shared" si="0"/>
        <v>4042.9990229999999</v>
      </c>
      <c r="AM7">
        <f>INDEX(A:AE,MATCH(AK7,worksheet!A:A,0),MATCH(worksheet!AM6,worksheet!A6:AE6,0))</f>
        <v>53736.429687999997</v>
      </c>
      <c r="AN7">
        <f>INDEX(A:AE,MATCH(AK7,worksheet!A:A,0),MATCH(worksheet!AN6,worksheet!A6:AE6,0))</f>
        <v>1.531957</v>
      </c>
      <c r="AO7">
        <f>INDEX(A:AE,MATCH(AK7,worksheet!A:A,0),MATCH(worksheet!AO6,worksheet!A6:AE6,0))</f>
        <v>1.0002869999999999</v>
      </c>
      <c r="AP7">
        <f>INDEX(A:AE,MATCH(AK7,worksheet!A:A,0),MATCH(worksheet!AP6,worksheet!A6:AE6,0))</f>
        <v>0.99978</v>
      </c>
    </row>
    <row r="8" spans="1:49" x14ac:dyDescent="0.25">
      <c r="A8" s="1">
        <v>44528</v>
      </c>
      <c r="B8">
        <v>4101.6489259999998</v>
      </c>
      <c r="C8">
        <v>4297.9165039999998</v>
      </c>
      <c r="D8">
        <v>3989.969971</v>
      </c>
      <c r="E8">
        <v>4294.4536129999997</v>
      </c>
      <c r="F8">
        <v>4294.4536129999997</v>
      </c>
      <c r="G8">
        <v>15953126340</v>
      </c>
      <c r="H8">
        <v>54813.023437999997</v>
      </c>
      <c r="I8">
        <v>57393.84375</v>
      </c>
      <c r="J8">
        <v>53576.734375</v>
      </c>
      <c r="K8">
        <v>57248.457030999998</v>
      </c>
      <c r="L8">
        <v>57248.457030999998</v>
      </c>
      <c r="M8">
        <v>28116886357</v>
      </c>
      <c r="N8">
        <v>1.0012810000000001</v>
      </c>
      <c r="O8">
        <v>1.0019990000000001</v>
      </c>
      <c r="P8">
        <v>0.99853899999999995</v>
      </c>
      <c r="Q8">
        <v>1.0001249999999999</v>
      </c>
      <c r="R8">
        <v>1.0001249999999999</v>
      </c>
      <c r="S8">
        <v>73452340871</v>
      </c>
      <c r="T8">
        <v>1.001431</v>
      </c>
      <c r="U8">
        <v>1.0019769999999999</v>
      </c>
      <c r="V8">
        <v>0.99800999999999995</v>
      </c>
      <c r="W8">
        <v>0.99987499999999996</v>
      </c>
      <c r="X8">
        <v>0.99987499999999996</v>
      </c>
      <c r="Y8">
        <v>4387793390</v>
      </c>
      <c r="Z8">
        <v>1.546672</v>
      </c>
      <c r="AA8">
        <v>1.598509</v>
      </c>
      <c r="AB8">
        <v>1.4336180000000001</v>
      </c>
      <c r="AC8">
        <v>1.5928549999999999</v>
      </c>
      <c r="AD8">
        <v>1.5928549999999999</v>
      </c>
      <c r="AE8">
        <v>2236244253</v>
      </c>
      <c r="AK8" s="1">
        <v>44528</v>
      </c>
      <c r="AL8">
        <f t="shared" si="0"/>
        <v>4101.6489259999998</v>
      </c>
      <c r="AM8">
        <f>INDEX(A:AE,MATCH(AK8,worksheet!A:A,0),MATCH(worksheet!AM7,worksheet!A7:AE7,0))</f>
        <v>54813.023437999997</v>
      </c>
      <c r="AN8">
        <f>INDEX(A:AE,MATCH(AK8,worksheet!A:A,0),MATCH(worksheet!AN7,worksheet!A7:AE7,0))</f>
        <v>1.546672</v>
      </c>
      <c r="AO8">
        <f>INDEX(A:AE,MATCH(AK8,worksheet!A:A,0),MATCH(worksheet!AO7,worksheet!A7:AE7,0))</f>
        <v>1.0012810000000001</v>
      </c>
      <c r="AP8">
        <f>INDEX(A:AE,MATCH(AK8,worksheet!A:A,0),MATCH(worksheet!AP7,worksheet!A7:AE7,0))</f>
        <v>1.001431</v>
      </c>
    </row>
    <row r="9" spans="1:49" x14ac:dyDescent="0.25">
      <c r="A9" s="1">
        <v>44529</v>
      </c>
      <c r="B9">
        <v>4296.9467770000001</v>
      </c>
      <c r="C9">
        <v>4460.8486329999996</v>
      </c>
      <c r="D9">
        <v>4284.5048829999996</v>
      </c>
      <c r="E9">
        <v>4445.1049800000001</v>
      </c>
      <c r="F9">
        <v>4445.1049800000001</v>
      </c>
      <c r="G9">
        <v>19086475837</v>
      </c>
      <c r="H9">
        <v>57291.90625</v>
      </c>
      <c r="I9">
        <v>58872.878905999998</v>
      </c>
      <c r="J9">
        <v>56792.527344000002</v>
      </c>
      <c r="K9">
        <v>57806.566405999998</v>
      </c>
      <c r="L9">
        <v>57806.566405999998</v>
      </c>
      <c r="M9">
        <v>32370840356</v>
      </c>
      <c r="N9">
        <v>0.99992899999999996</v>
      </c>
      <c r="O9">
        <v>1.0019670000000001</v>
      </c>
      <c r="P9">
        <v>0.99810500000000002</v>
      </c>
      <c r="Q9">
        <v>1.000526</v>
      </c>
      <c r="R9">
        <v>1.000526</v>
      </c>
      <c r="S9">
        <v>73041134842</v>
      </c>
      <c r="T9">
        <v>0.99990400000000002</v>
      </c>
      <c r="U9">
        <v>1.0019579999999999</v>
      </c>
      <c r="V9">
        <v>0.99808300000000005</v>
      </c>
      <c r="W9">
        <v>1.000078</v>
      </c>
      <c r="X9">
        <v>1.000078</v>
      </c>
      <c r="Y9">
        <v>4339110918</v>
      </c>
      <c r="Z9">
        <v>1.5945009999999999</v>
      </c>
      <c r="AA9">
        <v>1.6361479999999999</v>
      </c>
      <c r="AB9">
        <v>1.5599179999999999</v>
      </c>
      <c r="AC9">
        <v>1.602508</v>
      </c>
      <c r="AD9">
        <v>1.602508</v>
      </c>
      <c r="AE9">
        <v>1801591216</v>
      </c>
      <c r="AK9" s="1">
        <v>44529</v>
      </c>
      <c r="AL9">
        <f t="shared" si="0"/>
        <v>4296.9467770000001</v>
      </c>
      <c r="AM9">
        <f>INDEX(A:AE,MATCH(AK9,worksheet!A:A,0),MATCH(worksheet!AM8,worksheet!A8:AE8,0))</f>
        <v>57291.90625</v>
      </c>
      <c r="AN9">
        <f>INDEX(A:AE,MATCH(AK9,worksheet!A:A,0),MATCH(worksheet!AN8,worksheet!A8:AE8,0))</f>
        <v>1.5945009999999999</v>
      </c>
      <c r="AO9">
        <f>INDEX(A:AE,MATCH(AK9,worksheet!A:A,0),MATCH(worksheet!AO8,worksheet!A8:AE8,0))</f>
        <v>0.99992899999999996</v>
      </c>
      <c r="AP9">
        <f>INDEX(A:AE,MATCH(AK9,worksheet!A:A,0),MATCH(worksheet!AP8,worksheet!A8:AE8,0))</f>
        <v>0.99990400000000002</v>
      </c>
    </row>
    <row r="10" spans="1:49" x14ac:dyDescent="0.25">
      <c r="A10" s="1">
        <v>44530</v>
      </c>
      <c r="B10">
        <v>4447.7680659999996</v>
      </c>
      <c r="C10">
        <v>4753.2661129999997</v>
      </c>
      <c r="D10">
        <v>4358.0742190000001</v>
      </c>
      <c r="E10">
        <v>4631.4790039999998</v>
      </c>
      <c r="F10">
        <v>4631.4790039999998</v>
      </c>
      <c r="G10">
        <v>28626354111</v>
      </c>
      <c r="H10">
        <v>57830.113280999998</v>
      </c>
      <c r="I10">
        <v>59113.402344000002</v>
      </c>
      <c r="J10">
        <v>56057.28125</v>
      </c>
      <c r="K10">
        <v>57005.425780999998</v>
      </c>
      <c r="L10">
        <v>57005.425780999998</v>
      </c>
      <c r="M10">
        <v>36708594618</v>
      </c>
      <c r="N10">
        <v>1.000583</v>
      </c>
      <c r="O10">
        <v>1.001925</v>
      </c>
      <c r="P10">
        <v>0.99842299999999995</v>
      </c>
      <c r="Q10">
        <v>1.000286</v>
      </c>
      <c r="R10">
        <v>1.000286</v>
      </c>
      <c r="S10">
        <v>87396693339</v>
      </c>
      <c r="T10">
        <v>0.99973500000000004</v>
      </c>
      <c r="U10">
        <v>1.001987</v>
      </c>
      <c r="V10">
        <v>0.99806499999999998</v>
      </c>
      <c r="W10">
        <v>0.99945600000000001</v>
      </c>
      <c r="X10">
        <v>0.99945600000000001</v>
      </c>
      <c r="Y10">
        <v>5698220779</v>
      </c>
      <c r="Z10">
        <v>1.6021019999999999</v>
      </c>
      <c r="AA10">
        <v>1.628403</v>
      </c>
      <c r="AB10">
        <v>1.5498430000000001</v>
      </c>
      <c r="AC10">
        <v>1.5549029999999999</v>
      </c>
      <c r="AD10">
        <v>1.5549029999999999</v>
      </c>
      <c r="AE10">
        <v>1814169292</v>
      </c>
      <c r="AK10" s="1">
        <v>44530</v>
      </c>
      <c r="AL10">
        <f t="shared" si="0"/>
        <v>4447.7680659999996</v>
      </c>
      <c r="AM10">
        <f>INDEX(A:AE,MATCH(AK10,worksheet!A:A,0),MATCH(worksheet!AM9,worksheet!A9:AE9,0))</f>
        <v>57830.113280999998</v>
      </c>
      <c r="AN10">
        <f>INDEX(A:AE,MATCH(AK10,worksheet!A:A,0),MATCH(worksheet!AN9,worksheet!A9:AE9,0))</f>
        <v>1.6021019999999999</v>
      </c>
      <c r="AO10">
        <f>INDEX(A:AE,MATCH(AK10,worksheet!A:A,0),MATCH(worksheet!AO9,worksheet!A9:AE9,0))</f>
        <v>1.000583</v>
      </c>
      <c r="AP10">
        <f>INDEX(A:AE,MATCH(AK10,worksheet!A:A,0),MATCH(worksheet!AP9,worksheet!A9:AE9,0))</f>
        <v>0.99973500000000004</v>
      </c>
    </row>
    <row r="11" spans="1:49" x14ac:dyDescent="0.25">
      <c r="A11" s="1">
        <v>44531</v>
      </c>
      <c r="B11">
        <v>4623.6796880000002</v>
      </c>
      <c r="C11">
        <v>4780.732422</v>
      </c>
      <c r="D11">
        <v>4530.2724609999996</v>
      </c>
      <c r="E11">
        <v>4586.9902339999999</v>
      </c>
      <c r="F11">
        <v>4586.9902339999999</v>
      </c>
      <c r="G11">
        <v>27634826695</v>
      </c>
      <c r="H11">
        <v>56907.964844000002</v>
      </c>
      <c r="I11">
        <v>59041.683594000002</v>
      </c>
      <c r="J11">
        <v>56553.082030999998</v>
      </c>
      <c r="K11">
        <v>57229.828125</v>
      </c>
      <c r="L11">
        <v>57229.828125</v>
      </c>
      <c r="M11">
        <v>36858195307</v>
      </c>
      <c r="N11">
        <v>1.0004489999999999</v>
      </c>
      <c r="O11">
        <v>1.001976</v>
      </c>
      <c r="P11">
        <v>0.99847300000000005</v>
      </c>
      <c r="Q11">
        <v>1.0002549999999999</v>
      </c>
      <c r="R11">
        <v>1.0002549999999999</v>
      </c>
      <c r="S11">
        <v>80908197091</v>
      </c>
      <c r="T11">
        <v>1.0002059999999999</v>
      </c>
      <c r="U11">
        <v>1.0019819999999999</v>
      </c>
      <c r="V11">
        <v>0.998031</v>
      </c>
      <c r="W11">
        <v>0.99959299999999995</v>
      </c>
      <c r="X11">
        <v>0.99959299999999995</v>
      </c>
      <c r="Y11">
        <v>4989445952</v>
      </c>
      <c r="Z11">
        <v>1.5528189999999999</v>
      </c>
      <c r="AA11">
        <v>1.6223879999999999</v>
      </c>
      <c r="AB11">
        <v>1.534562</v>
      </c>
      <c r="AC11">
        <v>1.5477129999999999</v>
      </c>
      <c r="AD11">
        <v>1.5477129999999999</v>
      </c>
      <c r="AE11">
        <v>1666236481</v>
      </c>
      <c r="AK11" s="1">
        <v>44531</v>
      </c>
      <c r="AL11">
        <f t="shared" si="0"/>
        <v>4623.6796880000002</v>
      </c>
      <c r="AM11">
        <f>INDEX(A:AE,MATCH(AK11,worksheet!A:A,0),MATCH(worksheet!AM10,worksheet!A10:AE10,0))</f>
        <v>56907.964844000002</v>
      </c>
      <c r="AN11">
        <f>INDEX(A:AE,MATCH(AK11,worksheet!A:A,0),MATCH(worksheet!AN10,worksheet!A10:AE10,0))</f>
        <v>1.5528189999999999</v>
      </c>
      <c r="AO11">
        <f>INDEX(A:AE,MATCH(AK11,worksheet!A:A,0),MATCH(worksheet!AO10,worksheet!A10:AE10,0))</f>
        <v>1.0004489999999999</v>
      </c>
      <c r="AP11">
        <f>INDEX(A:AE,MATCH(AK11,worksheet!A:A,0),MATCH(worksheet!AP10,worksheet!A10:AE10,0))</f>
        <v>1.0002059999999999</v>
      </c>
    </row>
    <row r="12" spans="1:49" x14ac:dyDescent="0.25">
      <c r="A12" s="1">
        <v>44532</v>
      </c>
      <c r="B12">
        <v>4586.3330079999996</v>
      </c>
      <c r="C12">
        <v>4628.919922</v>
      </c>
      <c r="D12">
        <v>4441.5078130000002</v>
      </c>
      <c r="E12">
        <v>4511.3022460000002</v>
      </c>
      <c r="F12">
        <v>4511.3022460000002</v>
      </c>
      <c r="G12">
        <v>21502671027</v>
      </c>
      <c r="H12">
        <v>57217.371094000002</v>
      </c>
      <c r="I12">
        <v>57349.234375</v>
      </c>
      <c r="J12">
        <v>55895.132812999997</v>
      </c>
      <c r="K12">
        <v>56477.816405999998</v>
      </c>
      <c r="L12">
        <v>56477.816405999998</v>
      </c>
      <c r="M12">
        <v>32379968686</v>
      </c>
      <c r="N12">
        <v>1.0002340000000001</v>
      </c>
      <c r="O12">
        <v>1.0019990000000001</v>
      </c>
      <c r="P12">
        <v>0.99817199999999995</v>
      </c>
      <c r="Q12">
        <v>1.0001739999999999</v>
      </c>
      <c r="R12">
        <v>1.0001739999999999</v>
      </c>
      <c r="S12">
        <v>77139535799</v>
      </c>
      <c r="T12">
        <v>0.99965999999999999</v>
      </c>
      <c r="U12">
        <v>1.0019990000000001</v>
      </c>
      <c r="V12">
        <v>0.998004</v>
      </c>
      <c r="W12">
        <v>0.99883900000000003</v>
      </c>
      <c r="X12">
        <v>0.99883900000000003</v>
      </c>
      <c r="Y12">
        <v>5089421584</v>
      </c>
      <c r="Z12">
        <v>1.547706</v>
      </c>
      <c r="AA12">
        <v>1.7568630000000001</v>
      </c>
      <c r="AB12">
        <v>1.5216449999999999</v>
      </c>
      <c r="AC12">
        <v>1.7153659999999999</v>
      </c>
      <c r="AD12">
        <v>1.7153659999999999</v>
      </c>
      <c r="AE12">
        <v>3716108059</v>
      </c>
      <c r="AK12" s="1">
        <v>44532</v>
      </c>
      <c r="AL12">
        <f t="shared" si="0"/>
        <v>4586.3330079999996</v>
      </c>
      <c r="AM12">
        <f>INDEX(A:AE,MATCH(AK12,worksheet!A:A,0),MATCH(worksheet!AM11,worksheet!A11:AE11,0))</f>
        <v>57217.371094000002</v>
      </c>
      <c r="AN12">
        <f>INDEX(A:AE,MATCH(AK12,worksheet!A:A,0),MATCH(worksheet!AN11,worksheet!A11:AE11,0))</f>
        <v>1.547706</v>
      </c>
      <c r="AO12">
        <f>INDEX(A:AE,MATCH(AK12,worksheet!A:A,0),MATCH(worksheet!AO11,worksheet!A11:AE11,0))</f>
        <v>1.0002340000000001</v>
      </c>
      <c r="AP12">
        <f>INDEX(A:AE,MATCH(AK12,worksheet!A:A,0),MATCH(worksheet!AP11,worksheet!A11:AE11,0))</f>
        <v>0.99965999999999999</v>
      </c>
    </row>
    <row r="13" spans="1:49" x14ac:dyDescent="0.25">
      <c r="A13" s="1">
        <v>44533</v>
      </c>
      <c r="B13">
        <v>4514.3559569999998</v>
      </c>
      <c r="C13">
        <v>4647.2890630000002</v>
      </c>
      <c r="D13">
        <v>4100.1455079999996</v>
      </c>
      <c r="E13">
        <v>4220.7060549999997</v>
      </c>
      <c r="F13">
        <v>4220.7060549999997</v>
      </c>
      <c r="G13">
        <v>25879591528</v>
      </c>
      <c r="H13">
        <v>56509.164062999997</v>
      </c>
      <c r="I13">
        <v>57482.167969000002</v>
      </c>
      <c r="J13">
        <v>52496.585937999997</v>
      </c>
      <c r="K13">
        <v>53598.246094000002</v>
      </c>
      <c r="L13">
        <v>53598.246094000002</v>
      </c>
      <c r="M13">
        <v>39789134215</v>
      </c>
      <c r="N13">
        <v>0.99999300000000002</v>
      </c>
      <c r="O13">
        <v>1.0019929999999999</v>
      </c>
      <c r="P13">
        <v>0.99844100000000002</v>
      </c>
      <c r="Q13">
        <v>1.0006170000000001</v>
      </c>
      <c r="R13">
        <v>1.0006170000000001</v>
      </c>
      <c r="S13">
        <v>92639344690</v>
      </c>
      <c r="T13">
        <v>0.99903200000000003</v>
      </c>
      <c r="U13">
        <v>1.0019720000000001</v>
      </c>
      <c r="V13">
        <v>0.99805500000000003</v>
      </c>
      <c r="W13">
        <v>1.000327</v>
      </c>
      <c r="X13">
        <v>1.000327</v>
      </c>
      <c r="Y13">
        <v>5879299772</v>
      </c>
      <c r="Z13">
        <v>1.7207190000000001</v>
      </c>
      <c r="AA13">
        <v>1.7285090000000001</v>
      </c>
      <c r="AB13">
        <v>1.532564</v>
      </c>
      <c r="AC13">
        <v>1.5565549999999999</v>
      </c>
      <c r="AD13">
        <v>1.5565549999999999</v>
      </c>
      <c r="AE13">
        <v>2675040145</v>
      </c>
      <c r="AK13" s="1">
        <v>44533</v>
      </c>
      <c r="AL13">
        <f t="shared" si="0"/>
        <v>4514.3559569999998</v>
      </c>
      <c r="AM13">
        <f>INDEX(A:AE,MATCH(AK13,worksheet!A:A,0),MATCH(worksheet!AM12,worksheet!A12:AE12,0))</f>
        <v>56509.164062999997</v>
      </c>
      <c r="AN13">
        <f>INDEX(A:AE,MATCH(AK13,worksheet!A:A,0),MATCH(worksheet!AN12,worksheet!A12:AE12,0))</f>
        <v>1.7207190000000001</v>
      </c>
      <c r="AO13">
        <f>INDEX(A:AE,MATCH(AK13,worksheet!A:A,0),MATCH(worksheet!AO12,worksheet!A12:AE12,0))</f>
        <v>0.99999300000000002</v>
      </c>
      <c r="AP13">
        <f>INDEX(A:AE,MATCH(AK13,worksheet!A:A,0),MATCH(worksheet!AP12,worksheet!A12:AE12,0))</f>
        <v>0.99903200000000003</v>
      </c>
    </row>
    <row r="14" spans="1:49" x14ac:dyDescent="0.25">
      <c r="A14" s="1">
        <v>44534</v>
      </c>
      <c r="B14">
        <v>4227.7622069999998</v>
      </c>
      <c r="C14">
        <v>4242.7255859999996</v>
      </c>
      <c r="D14">
        <v>3525.4941410000001</v>
      </c>
      <c r="E14">
        <v>4119.5874020000001</v>
      </c>
      <c r="F14">
        <v>4119.5874020000001</v>
      </c>
      <c r="G14">
        <v>38478999182</v>
      </c>
      <c r="H14">
        <v>53727.878905999998</v>
      </c>
      <c r="I14">
        <v>53904.679687999997</v>
      </c>
      <c r="J14">
        <v>42874.617187999997</v>
      </c>
      <c r="K14">
        <v>49200.703125</v>
      </c>
      <c r="L14">
        <v>49200.703125</v>
      </c>
      <c r="M14">
        <v>61385677469</v>
      </c>
      <c r="N14">
        <v>1.000505</v>
      </c>
      <c r="O14">
        <v>1.001997</v>
      </c>
      <c r="P14">
        <v>0.99876600000000004</v>
      </c>
      <c r="Q14">
        <v>1.0000070000000001</v>
      </c>
      <c r="R14">
        <v>1.0000070000000001</v>
      </c>
      <c r="S14">
        <v>138598008408</v>
      </c>
      <c r="T14">
        <v>1.0003169999999999</v>
      </c>
      <c r="U14">
        <v>1.0019610000000001</v>
      </c>
      <c r="V14">
        <v>0.99800900000000003</v>
      </c>
      <c r="W14">
        <v>0.99999400000000005</v>
      </c>
      <c r="X14">
        <v>0.99999400000000005</v>
      </c>
      <c r="Y14">
        <v>9498203241</v>
      </c>
      <c r="Z14">
        <v>1.558386</v>
      </c>
      <c r="AA14">
        <v>1.5586150000000001</v>
      </c>
      <c r="AB14">
        <v>1.2051240000000001</v>
      </c>
      <c r="AC14">
        <v>1.420706</v>
      </c>
      <c r="AD14">
        <v>1.420706</v>
      </c>
      <c r="AE14">
        <v>4076290725</v>
      </c>
      <c r="AK14" s="1">
        <v>44534</v>
      </c>
      <c r="AL14">
        <f t="shared" si="0"/>
        <v>4227.7622069999998</v>
      </c>
      <c r="AM14">
        <f>INDEX(A:AE,MATCH(AK14,worksheet!A:A,0),MATCH(worksheet!AM13,worksheet!A13:AE13,0))</f>
        <v>53727.878905999998</v>
      </c>
      <c r="AN14">
        <f>INDEX(A:AE,MATCH(AK14,worksheet!A:A,0),MATCH(worksheet!AN13,worksheet!A13:AE13,0))</f>
        <v>1.558386</v>
      </c>
      <c r="AO14">
        <f>INDEX(A:AE,MATCH(AK14,worksheet!A:A,0),MATCH(worksheet!AO13,worksheet!A13:AE13,0))</f>
        <v>1.000505</v>
      </c>
      <c r="AP14">
        <f>INDEX(A:AE,MATCH(AK14,worksheet!A:A,0),MATCH(worksheet!AP13,worksheet!A13:AE13,0))</f>
        <v>1.0003169999999999</v>
      </c>
    </row>
    <row r="15" spans="1:49" x14ac:dyDescent="0.25">
      <c r="A15" s="1">
        <v>44535</v>
      </c>
      <c r="B15">
        <v>4119.6289059999999</v>
      </c>
      <c r="C15">
        <v>4246.9233400000003</v>
      </c>
      <c r="D15">
        <v>4040.217529</v>
      </c>
      <c r="E15">
        <v>4198.3227539999998</v>
      </c>
      <c r="F15">
        <v>4198.3227539999998</v>
      </c>
      <c r="G15">
        <v>25533062707</v>
      </c>
      <c r="H15">
        <v>49201.519530999998</v>
      </c>
      <c r="I15">
        <v>49768.148437999997</v>
      </c>
      <c r="J15">
        <v>47857.496094000002</v>
      </c>
      <c r="K15">
        <v>49368.847655999998</v>
      </c>
      <c r="L15">
        <v>49368.847655999998</v>
      </c>
      <c r="M15">
        <v>37198201161</v>
      </c>
      <c r="N15">
        <v>0.999861</v>
      </c>
      <c r="O15">
        <v>1.001997</v>
      </c>
      <c r="P15">
        <v>0.99854699999999996</v>
      </c>
      <c r="Q15">
        <v>1.0006299999999999</v>
      </c>
      <c r="R15">
        <v>1.0006299999999999</v>
      </c>
      <c r="S15">
        <v>82054153191</v>
      </c>
      <c r="T15">
        <v>1.0001979999999999</v>
      </c>
      <c r="U15">
        <v>1.0019979999999999</v>
      </c>
      <c r="V15">
        <v>0.99800699999999998</v>
      </c>
      <c r="W15">
        <v>0.99871500000000002</v>
      </c>
      <c r="X15">
        <v>0.99871500000000002</v>
      </c>
      <c r="Y15">
        <v>5815739519</v>
      </c>
      <c r="Z15">
        <v>1.420609</v>
      </c>
      <c r="AA15">
        <v>1.4365730000000001</v>
      </c>
      <c r="AB15">
        <v>1.2905489999999999</v>
      </c>
      <c r="AC15">
        <v>1.3781049999999999</v>
      </c>
      <c r="AD15">
        <v>1.3781049999999999</v>
      </c>
      <c r="AE15">
        <v>3034823821</v>
      </c>
      <c r="AK15" s="1">
        <v>44535</v>
      </c>
      <c r="AL15">
        <f t="shared" si="0"/>
        <v>4119.6289059999999</v>
      </c>
      <c r="AM15">
        <f>INDEX(A:AE,MATCH(AK15,worksheet!A:A,0),MATCH(worksheet!AM14,worksheet!A14:AE14,0))</f>
        <v>49201.519530999998</v>
      </c>
      <c r="AN15">
        <f>INDEX(A:AE,MATCH(AK15,worksheet!A:A,0),MATCH(worksheet!AN14,worksheet!A14:AE14,0))</f>
        <v>1.420609</v>
      </c>
      <c r="AO15">
        <f>INDEX(A:AE,MATCH(AK15,worksheet!A:A,0),MATCH(worksheet!AO14,worksheet!A14:AE14,0))</f>
        <v>0.999861</v>
      </c>
      <c r="AP15">
        <f>INDEX(A:AE,MATCH(AK15,worksheet!A:A,0),MATCH(worksheet!AP14,worksheet!A14:AE14,0))</f>
        <v>1.0001979999999999</v>
      </c>
    </row>
    <row r="16" spans="1:49" x14ac:dyDescent="0.25">
      <c r="A16" s="1">
        <v>44536</v>
      </c>
      <c r="B16">
        <v>4199</v>
      </c>
      <c r="C16">
        <v>4375.5205079999996</v>
      </c>
      <c r="D16">
        <v>3930.8066410000001</v>
      </c>
      <c r="E16">
        <v>4358.7373049999997</v>
      </c>
      <c r="F16">
        <v>4358.7373049999997</v>
      </c>
      <c r="G16">
        <v>28229518513</v>
      </c>
      <c r="H16">
        <v>49413.480469000002</v>
      </c>
      <c r="I16">
        <v>50929.519530999998</v>
      </c>
      <c r="J16">
        <v>47281.035155999998</v>
      </c>
      <c r="K16">
        <v>50582.625</v>
      </c>
      <c r="L16">
        <v>50582.625</v>
      </c>
      <c r="M16">
        <v>37707308001</v>
      </c>
      <c r="N16">
        <v>1.000632</v>
      </c>
      <c r="O16">
        <v>1.001952</v>
      </c>
      <c r="P16">
        <v>0.99827200000000005</v>
      </c>
      <c r="Q16">
        <v>1.0013620000000001</v>
      </c>
      <c r="R16">
        <v>1.0013620000000001</v>
      </c>
      <c r="S16">
        <v>93691250219</v>
      </c>
      <c r="T16">
        <v>0.99877000000000005</v>
      </c>
      <c r="U16">
        <v>1.0019499999999999</v>
      </c>
      <c r="V16">
        <v>0.99800500000000003</v>
      </c>
      <c r="W16">
        <v>0.99952600000000003</v>
      </c>
      <c r="X16">
        <v>0.99952600000000003</v>
      </c>
      <c r="Y16">
        <v>7085836821</v>
      </c>
      <c r="Z16">
        <v>1.379189</v>
      </c>
      <c r="AA16">
        <v>1.4389940000000001</v>
      </c>
      <c r="AB16">
        <v>1.257868</v>
      </c>
      <c r="AC16">
        <v>1.4253929999999999</v>
      </c>
      <c r="AD16">
        <v>1.4253929999999999</v>
      </c>
      <c r="AE16">
        <v>2642050277</v>
      </c>
      <c r="AK16" s="1">
        <v>44536</v>
      </c>
      <c r="AL16">
        <f t="shared" si="0"/>
        <v>4199</v>
      </c>
      <c r="AM16">
        <f>INDEX(A:AE,MATCH(AK16,worksheet!A:A,0),MATCH(worksheet!AM15,worksheet!A15:AE15,0))</f>
        <v>49413.480469000002</v>
      </c>
      <c r="AN16">
        <f>INDEX(A:AE,MATCH(AK16,worksheet!A:A,0),MATCH(worksheet!AN15,worksheet!A15:AE15,0))</f>
        <v>1.379189</v>
      </c>
      <c r="AO16">
        <f>INDEX(A:AE,MATCH(AK16,worksheet!A:A,0),MATCH(worksheet!AO15,worksheet!A15:AE15,0))</f>
        <v>1.000632</v>
      </c>
      <c r="AP16">
        <f>INDEX(A:AE,MATCH(AK16,worksheet!A:A,0),MATCH(worksheet!AP15,worksheet!A15:AE15,0))</f>
        <v>0.99877000000000005</v>
      </c>
    </row>
    <row r="17" spans="1:42" x14ac:dyDescent="0.25">
      <c r="A17" s="1">
        <v>44537</v>
      </c>
      <c r="B17">
        <v>4358.5869140000004</v>
      </c>
      <c r="C17">
        <v>4428.5893550000001</v>
      </c>
      <c r="D17">
        <v>4264.3237300000001</v>
      </c>
      <c r="E17">
        <v>4315.0615230000003</v>
      </c>
      <c r="F17">
        <v>4315.0615230000003</v>
      </c>
      <c r="G17">
        <v>22366213354</v>
      </c>
      <c r="H17">
        <v>50581.828125</v>
      </c>
      <c r="I17">
        <v>51934.78125</v>
      </c>
      <c r="J17">
        <v>50175.808594000002</v>
      </c>
      <c r="K17">
        <v>50700.085937999997</v>
      </c>
      <c r="L17">
        <v>50700.085937999997</v>
      </c>
      <c r="M17">
        <v>33676814852</v>
      </c>
      <c r="N17">
        <v>1.0012399999999999</v>
      </c>
      <c r="O17">
        <v>1.0019940000000001</v>
      </c>
      <c r="P17">
        <v>0.99926800000000005</v>
      </c>
      <c r="Q17">
        <v>1.000972</v>
      </c>
      <c r="R17">
        <v>1.000972</v>
      </c>
      <c r="S17">
        <v>76247192218</v>
      </c>
      <c r="T17">
        <v>1.0002070000000001</v>
      </c>
      <c r="U17">
        <v>1.0019279999999999</v>
      </c>
      <c r="V17">
        <v>0.99801099999999998</v>
      </c>
      <c r="W17">
        <v>1.0000629999999999</v>
      </c>
      <c r="X17">
        <v>1.0000629999999999</v>
      </c>
      <c r="Y17">
        <v>4621758475</v>
      </c>
      <c r="Z17">
        <v>1.423189</v>
      </c>
      <c r="AA17">
        <v>1.4775480000000001</v>
      </c>
      <c r="AB17">
        <v>1.370552</v>
      </c>
      <c r="AC17">
        <v>1.3819410000000001</v>
      </c>
      <c r="AD17">
        <v>1.3819410000000001</v>
      </c>
      <c r="AE17">
        <v>2210387832</v>
      </c>
      <c r="AK17" s="1">
        <v>44537</v>
      </c>
      <c r="AL17">
        <f t="shared" si="0"/>
        <v>4358.5869140000004</v>
      </c>
      <c r="AM17">
        <f>INDEX(A:AE,MATCH(AK17,worksheet!A:A,0),MATCH(worksheet!AM16,worksheet!A16:AE16,0))</f>
        <v>50581.828125</v>
      </c>
      <c r="AN17">
        <f>INDEX(A:AE,MATCH(AK17,worksheet!A:A,0),MATCH(worksheet!AN16,worksheet!A16:AE16,0))</f>
        <v>1.423189</v>
      </c>
      <c r="AO17">
        <f>INDEX(A:AE,MATCH(AK17,worksheet!A:A,0),MATCH(worksheet!AO16,worksheet!A16:AE16,0))</f>
        <v>1.0012399999999999</v>
      </c>
      <c r="AP17">
        <f>INDEX(A:AE,MATCH(AK17,worksheet!A:A,0),MATCH(worksheet!AP16,worksheet!A16:AE16,0))</f>
        <v>1.0002070000000001</v>
      </c>
    </row>
    <row r="18" spans="1:42" x14ac:dyDescent="0.25">
      <c r="A18" s="1">
        <v>44538</v>
      </c>
      <c r="B18">
        <v>4311.6743159999996</v>
      </c>
      <c r="C18">
        <v>4453.1123049999997</v>
      </c>
      <c r="D18">
        <v>4234.5375979999999</v>
      </c>
      <c r="E18">
        <v>4439.3579099999997</v>
      </c>
      <c r="F18">
        <v>4439.3579099999997</v>
      </c>
      <c r="G18">
        <v>18704315119</v>
      </c>
      <c r="H18">
        <v>50667.648437999997</v>
      </c>
      <c r="I18">
        <v>51171.375</v>
      </c>
      <c r="J18">
        <v>48765.988280999998</v>
      </c>
      <c r="K18">
        <v>50504.796875</v>
      </c>
      <c r="L18">
        <v>50504.796875</v>
      </c>
      <c r="M18">
        <v>28479699446</v>
      </c>
      <c r="N18">
        <v>1.0009410000000001</v>
      </c>
      <c r="O18">
        <v>1.0019849999999999</v>
      </c>
      <c r="P18">
        <v>0.99801300000000004</v>
      </c>
      <c r="Q18">
        <v>0.99936599999999998</v>
      </c>
      <c r="R18">
        <v>0.99936599999999998</v>
      </c>
      <c r="S18">
        <v>69621457268</v>
      </c>
      <c r="T18">
        <v>1.00007</v>
      </c>
      <c r="U18">
        <v>1.001887</v>
      </c>
      <c r="V18">
        <v>0.99808300000000005</v>
      </c>
      <c r="W18">
        <v>0.99991300000000005</v>
      </c>
      <c r="X18">
        <v>0.99991300000000005</v>
      </c>
      <c r="Y18">
        <v>4169038670</v>
      </c>
      <c r="Z18">
        <v>1.3809389999999999</v>
      </c>
      <c r="AA18">
        <v>1.4236880000000001</v>
      </c>
      <c r="AB18">
        <v>1.3435170000000001</v>
      </c>
      <c r="AC18">
        <v>1.3970739999999999</v>
      </c>
      <c r="AD18">
        <v>1.3970739999999999</v>
      </c>
      <c r="AE18">
        <v>1764297116</v>
      </c>
      <c r="AK18" s="1">
        <v>44538</v>
      </c>
      <c r="AL18">
        <f t="shared" si="0"/>
        <v>4311.6743159999996</v>
      </c>
      <c r="AM18">
        <f>INDEX(A:AE,MATCH(AK18,worksheet!A:A,0),MATCH(worksheet!AM17,worksheet!A17:AE17,0))</f>
        <v>50667.648437999997</v>
      </c>
      <c r="AN18">
        <f>INDEX(A:AE,MATCH(AK18,worksheet!A:A,0),MATCH(worksheet!AN17,worksheet!A17:AE17,0))</f>
        <v>1.3809389999999999</v>
      </c>
      <c r="AO18">
        <f>INDEX(A:AE,MATCH(AK18,worksheet!A:A,0),MATCH(worksheet!AO17,worksheet!A17:AE17,0))</f>
        <v>1.0009410000000001</v>
      </c>
      <c r="AP18">
        <f>INDEX(A:AE,MATCH(AK18,worksheet!A:A,0),MATCH(worksheet!AP17,worksheet!A17:AE17,0))</f>
        <v>1.00007</v>
      </c>
    </row>
    <row r="19" spans="1:42" x14ac:dyDescent="0.25">
      <c r="A19" s="1">
        <v>44539</v>
      </c>
      <c r="B19">
        <v>4433.0249020000001</v>
      </c>
      <c r="C19">
        <v>4482.3139650000003</v>
      </c>
      <c r="D19">
        <v>4078.8442380000001</v>
      </c>
      <c r="E19">
        <v>4119.8159180000002</v>
      </c>
      <c r="F19">
        <v>4119.8159180000002</v>
      </c>
      <c r="G19">
        <v>22296131874</v>
      </c>
      <c r="H19">
        <v>50450.082030999998</v>
      </c>
      <c r="I19">
        <v>50797.164062999997</v>
      </c>
      <c r="J19">
        <v>47358.351562999997</v>
      </c>
      <c r="K19">
        <v>47672.121094000002</v>
      </c>
      <c r="L19">
        <v>47672.121094000002</v>
      </c>
      <c r="M19">
        <v>29603577251</v>
      </c>
      <c r="N19">
        <v>0.99897000000000002</v>
      </c>
      <c r="O19">
        <v>1.001976</v>
      </c>
      <c r="P19">
        <v>0.99813799999999997</v>
      </c>
      <c r="Q19">
        <v>1.000882</v>
      </c>
      <c r="R19">
        <v>1.000882</v>
      </c>
      <c r="S19">
        <v>69831553004</v>
      </c>
      <c r="T19">
        <v>0.99890800000000002</v>
      </c>
      <c r="U19">
        <v>1.001989</v>
      </c>
      <c r="V19">
        <v>0.998058</v>
      </c>
      <c r="W19">
        <v>1.0005269999999999</v>
      </c>
      <c r="X19">
        <v>1.0005269999999999</v>
      </c>
      <c r="Y19">
        <v>5294556413</v>
      </c>
      <c r="Z19">
        <v>1.3937390000000001</v>
      </c>
      <c r="AA19">
        <v>1.4078850000000001</v>
      </c>
      <c r="AB19">
        <v>1.29044</v>
      </c>
      <c r="AC19">
        <v>1.29044</v>
      </c>
      <c r="AD19">
        <v>1.29044</v>
      </c>
      <c r="AE19">
        <v>1670588001</v>
      </c>
      <c r="AK19" s="1">
        <v>44539</v>
      </c>
      <c r="AL19">
        <f t="shared" si="0"/>
        <v>4433.0249020000001</v>
      </c>
      <c r="AM19">
        <f>INDEX(A:AE,MATCH(AK19,worksheet!A:A,0),MATCH(worksheet!AM18,worksheet!A18:AE18,0))</f>
        <v>50450.082030999998</v>
      </c>
      <c r="AN19">
        <f>INDEX(A:AE,MATCH(AK19,worksheet!A:A,0),MATCH(worksheet!AN18,worksheet!A18:AE18,0))</f>
        <v>1.3937390000000001</v>
      </c>
      <c r="AO19">
        <f>INDEX(A:AE,MATCH(AK19,worksheet!A:A,0),MATCH(worksheet!AO18,worksheet!A18:AE18,0))</f>
        <v>0.99897000000000002</v>
      </c>
      <c r="AP19">
        <f>INDEX(A:AE,MATCH(AK19,worksheet!A:A,0),MATCH(worksheet!AP18,worksheet!A18:AE18,0))</f>
        <v>0.99890800000000002</v>
      </c>
    </row>
    <row r="20" spans="1:42" x14ac:dyDescent="0.25">
      <c r="A20" s="1">
        <v>44540</v>
      </c>
      <c r="B20">
        <v>4113.5883789999998</v>
      </c>
      <c r="C20">
        <v>4227.1118159999996</v>
      </c>
      <c r="D20">
        <v>3897.767578</v>
      </c>
      <c r="E20">
        <v>3908.4960940000001</v>
      </c>
      <c r="F20">
        <v>3908.4960940000001</v>
      </c>
      <c r="G20">
        <v>28014595631</v>
      </c>
      <c r="H20">
        <v>47642.144530999998</v>
      </c>
      <c r="I20">
        <v>50015.253905999998</v>
      </c>
      <c r="J20">
        <v>47023.699219000002</v>
      </c>
      <c r="K20">
        <v>47243.304687999997</v>
      </c>
      <c r="L20">
        <v>47243.304687999997</v>
      </c>
      <c r="M20">
        <v>30966005122</v>
      </c>
      <c r="N20">
        <v>1.000591</v>
      </c>
      <c r="O20">
        <v>1.0019849999999999</v>
      </c>
      <c r="P20">
        <v>0.99802500000000005</v>
      </c>
      <c r="Q20">
        <v>1.0017400000000001</v>
      </c>
      <c r="R20">
        <v>1.0017400000000001</v>
      </c>
      <c r="S20">
        <v>68959994142</v>
      </c>
      <c r="T20">
        <v>1.0002629999999999</v>
      </c>
      <c r="U20">
        <v>1.0019940000000001</v>
      </c>
      <c r="V20">
        <v>0.99803399999999998</v>
      </c>
      <c r="W20">
        <v>1.0012160000000001</v>
      </c>
      <c r="X20">
        <v>1.0012160000000001</v>
      </c>
      <c r="Y20">
        <v>5667174420</v>
      </c>
      <c r="Z20">
        <v>1.2917529999999999</v>
      </c>
      <c r="AA20">
        <v>1.331853</v>
      </c>
      <c r="AB20">
        <v>1.210024</v>
      </c>
      <c r="AC20">
        <v>1.211689</v>
      </c>
      <c r="AD20">
        <v>1.211689</v>
      </c>
      <c r="AE20">
        <v>1721213997</v>
      </c>
      <c r="AK20" s="1">
        <v>44540</v>
      </c>
      <c r="AL20">
        <f t="shared" si="0"/>
        <v>4113.5883789999998</v>
      </c>
      <c r="AM20">
        <f>INDEX(A:AE,MATCH(AK20,worksheet!A:A,0),MATCH(worksheet!AM19,worksheet!A19:AE19,0))</f>
        <v>47642.144530999998</v>
      </c>
      <c r="AN20">
        <f>INDEX(A:AE,MATCH(AK20,worksheet!A:A,0),MATCH(worksheet!AN19,worksheet!A19:AE19,0))</f>
        <v>1.2917529999999999</v>
      </c>
      <c r="AO20">
        <f>INDEX(A:AE,MATCH(AK20,worksheet!A:A,0),MATCH(worksheet!AO19,worksheet!A19:AE19,0))</f>
        <v>1.000591</v>
      </c>
      <c r="AP20">
        <f>INDEX(A:AE,MATCH(AK20,worksheet!A:A,0),MATCH(worksheet!AP19,worksheet!A19:AE19,0))</f>
        <v>1.0002629999999999</v>
      </c>
    </row>
    <row r="21" spans="1:42" x14ac:dyDescent="0.25">
      <c r="A21" s="1">
        <v>44541</v>
      </c>
      <c r="B21">
        <v>3909.6677249999998</v>
      </c>
      <c r="C21">
        <v>4095.6484380000002</v>
      </c>
      <c r="D21">
        <v>3846.054443</v>
      </c>
      <c r="E21">
        <v>4084.452393</v>
      </c>
      <c r="F21">
        <v>4084.452393</v>
      </c>
      <c r="G21">
        <v>19131502454</v>
      </c>
      <c r="H21">
        <v>47264.632812999997</v>
      </c>
      <c r="I21">
        <v>49458.210937999997</v>
      </c>
      <c r="J21">
        <v>46942.347655999998</v>
      </c>
      <c r="K21">
        <v>49362.507812999997</v>
      </c>
      <c r="L21">
        <v>49362.507812999997</v>
      </c>
      <c r="M21">
        <v>25775869261</v>
      </c>
      <c r="N21">
        <v>1.001641</v>
      </c>
      <c r="O21">
        <v>1.0019960000000001</v>
      </c>
      <c r="P21">
        <v>0.99804599999999999</v>
      </c>
      <c r="Q21">
        <v>1.000556</v>
      </c>
      <c r="R21">
        <v>1.000556</v>
      </c>
      <c r="S21">
        <v>57132834419</v>
      </c>
      <c r="T21">
        <v>1.0010730000000001</v>
      </c>
      <c r="U21">
        <v>1.0019439999999999</v>
      </c>
      <c r="V21">
        <v>0.998004</v>
      </c>
      <c r="W21">
        <v>1.0001720000000001</v>
      </c>
      <c r="X21">
        <v>1.0001720000000001</v>
      </c>
      <c r="Y21">
        <v>4131962866</v>
      </c>
      <c r="Z21">
        <v>1.2134069999999999</v>
      </c>
      <c r="AA21">
        <v>1.3621570000000001</v>
      </c>
      <c r="AB21">
        <v>1.1951430000000001</v>
      </c>
      <c r="AC21">
        <v>1.3542479999999999</v>
      </c>
      <c r="AD21">
        <v>1.3542479999999999</v>
      </c>
      <c r="AE21">
        <v>1693932686</v>
      </c>
      <c r="AK21" s="1">
        <v>44541</v>
      </c>
      <c r="AL21">
        <f t="shared" si="0"/>
        <v>3909.6677249999998</v>
      </c>
      <c r="AM21">
        <f>INDEX(A:AE,MATCH(AK21,worksheet!A:A,0),MATCH(worksheet!AM20,worksheet!A20:AE20,0))</f>
        <v>47264.632812999997</v>
      </c>
      <c r="AN21">
        <f>INDEX(A:AE,MATCH(AK21,worksheet!A:A,0),MATCH(worksheet!AN20,worksheet!A20:AE20,0))</f>
        <v>1.2134069999999999</v>
      </c>
      <c r="AO21">
        <f>INDEX(A:AE,MATCH(AK21,worksheet!A:A,0),MATCH(worksheet!AO20,worksheet!A20:AE20,0))</f>
        <v>1.001641</v>
      </c>
      <c r="AP21">
        <f>INDEX(A:AE,MATCH(AK21,worksheet!A:A,0),MATCH(worksheet!AP20,worksheet!A20:AE20,0))</f>
        <v>1.0010730000000001</v>
      </c>
    </row>
    <row r="22" spans="1:42" x14ac:dyDescent="0.25">
      <c r="A22" s="1">
        <v>44542</v>
      </c>
      <c r="B22">
        <v>4084.811279</v>
      </c>
      <c r="C22">
        <v>4173.6088870000003</v>
      </c>
      <c r="D22">
        <v>3993.0559079999998</v>
      </c>
      <c r="E22">
        <v>4134.453125</v>
      </c>
      <c r="F22">
        <v>4134.453125</v>
      </c>
      <c r="G22">
        <v>14057603914</v>
      </c>
      <c r="H22">
        <v>49354.855469000002</v>
      </c>
      <c r="I22">
        <v>50724.867187999997</v>
      </c>
      <c r="J22">
        <v>48725.851562999997</v>
      </c>
      <c r="K22">
        <v>50098.335937999997</v>
      </c>
      <c r="L22">
        <v>50098.335937999997</v>
      </c>
      <c r="M22">
        <v>21939223599</v>
      </c>
      <c r="N22">
        <v>1.0009589999999999</v>
      </c>
      <c r="O22">
        <v>1.0019389999999999</v>
      </c>
      <c r="P22">
        <v>0.99807199999999996</v>
      </c>
      <c r="Q22">
        <v>1.0010509999999999</v>
      </c>
      <c r="R22">
        <v>1.0010509999999999</v>
      </c>
      <c r="S22">
        <v>46141935617</v>
      </c>
      <c r="T22">
        <v>1.000113</v>
      </c>
      <c r="U22">
        <v>1.0019800000000001</v>
      </c>
      <c r="V22">
        <v>0.99801200000000001</v>
      </c>
      <c r="W22">
        <v>1.0002390000000001</v>
      </c>
      <c r="X22">
        <v>1.0002390000000001</v>
      </c>
      <c r="Y22">
        <v>3253441868</v>
      </c>
      <c r="Z22">
        <v>1.3522209999999999</v>
      </c>
      <c r="AA22">
        <v>1.4119600000000001</v>
      </c>
      <c r="AB22">
        <v>1.3218369999999999</v>
      </c>
      <c r="AC22">
        <v>1.3472820000000001</v>
      </c>
      <c r="AD22">
        <v>1.3472820000000001</v>
      </c>
      <c r="AE22">
        <v>1473164555</v>
      </c>
      <c r="AK22" s="1">
        <v>44542</v>
      </c>
      <c r="AL22">
        <f t="shared" si="0"/>
        <v>4084.811279</v>
      </c>
      <c r="AM22">
        <f>INDEX(A:AE,MATCH(AK22,worksheet!A:A,0),MATCH(worksheet!AM21,worksheet!A21:AE21,0))</f>
        <v>49354.855469000002</v>
      </c>
      <c r="AN22">
        <f>INDEX(A:AE,MATCH(AK22,worksheet!A:A,0),MATCH(worksheet!AN21,worksheet!A21:AE21,0))</f>
        <v>1.3522209999999999</v>
      </c>
      <c r="AO22">
        <f>INDEX(A:AE,MATCH(AK22,worksheet!A:A,0),MATCH(worksheet!AO21,worksheet!A21:AE21,0))</f>
        <v>1.0009589999999999</v>
      </c>
      <c r="AP22">
        <f>INDEX(A:AE,MATCH(AK22,worksheet!A:A,0),MATCH(worksheet!AP21,worksheet!A21:AE21,0))</f>
        <v>1.000113</v>
      </c>
    </row>
    <row r="23" spans="1:42" x14ac:dyDescent="0.25">
      <c r="A23" s="1">
        <v>44543</v>
      </c>
      <c r="B23">
        <v>4136.3598629999997</v>
      </c>
      <c r="C23">
        <v>4145.955078</v>
      </c>
      <c r="D23">
        <v>3680.6091310000002</v>
      </c>
      <c r="E23">
        <v>3784.226807</v>
      </c>
      <c r="F23">
        <v>3784.226807</v>
      </c>
      <c r="G23">
        <v>23999841386</v>
      </c>
      <c r="H23">
        <v>50114.742187999997</v>
      </c>
      <c r="I23">
        <v>50205</v>
      </c>
      <c r="J23">
        <v>45894.847655999998</v>
      </c>
      <c r="K23">
        <v>46737.480469000002</v>
      </c>
      <c r="L23">
        <v>46737.480469000002</v>
      </c>
      <c r="M23">
        <v>32166727776</v>
      </c>
      <c r="N23">
        <v>1.0006170000000001</v>
      </c>
      <c r="O23">
        <v>1.0019940000000001</v>
      </c>
      <c r="P23">
        <v>0.998089</v>
      </c>
      <c r="Q23">
        <v>1.0001310000000001</v>
      </c>
      <c r="R23">
        <v>1.0001310000000001</v>
      </c>
      <c r="S23">
        <v>66458705759</v>
      </c>
      <c r="T23">
        <v>1.0001370000000001</v>
      </c>
      <c r="U23">
        <v>1.0019990000000001</v>
      </c>
      <c r="V23">
        <v>0.99825799999999998</v>
      </c>
      <c r="W23">
        <v>0.99978</v>
      </c>
      <c r="X23">
        <v>0.99978</v>
      </c>
      <c r="Y23">
        <v>4967338939</v>
      </c>
      <c r="Z23">
        <v>1.3478950000000001</v>
      </c>
      <c r="AA23">
        <v>1.3577729999999999</v>
      </c>
      <c r="AB23">
        <v>1.202574</v>
      </c>
      <c r="AC23">
        <v>1.2253480000000001</v>
      </c>
      <c r="AD23">
        <v>1.2253480000000001</v>
      </c>
      <c r="AE23">
        <v>1448791702</v>
      </c>
      <c r="AK23" s="1">
        <v>44543</v>
      </c>
      <c r="AL23">
        <f t="shared" si="0"/>
        <v>4136.3598629999997</v>
      </c>
      <c r="AM23">
        <f>INDEX(A:AE,MATCH(AK23,worksheet!A:A,0),MATCH(worksheet!AM22,worksheet!A22:AE22,0))</f>
        <v>50114.742187999997</v>
      </c>
      <c r="AN23">
        <f>INDEX(A:AE,MATCH(AK23,worksheet!A:A,0),MATCH(worksheet!AN22,worksheet!A22:AE22,0))</f>
        <v>1.3478950000000001</v>
      </c>
      <c r="AO23">
        <f>INDEX(A:AE,MATCH(AK23,worksheet!A:A,0),MATCH(worksheet!AO22,worksheet!A22:AE22,0))</f>
        <v>1.0006170000000001</v>
      </c>
      <c r="AP23">
        <f>INDEX(A:AE,MATCH(AK23,worksheet!A:A,0),MATCH(worksheet!AP22,worksheet!A22:AE22,0))</f>
        <v>1.0001370000000001</v>
      </c>
    </row>
    <row r="24" spans="1:42" x14ac:dyDescent="0.25">
      <c r="A24" s="1">
        <v>44544</v>
      </c>
      <c r="B24">
        <v>3782.8227539999998</v>
      </c>
      <c r="C24">
        <v>3866.633789</v>
      </c>
      <c r="D24">
        <v>3700.1047359999998</v>
      </c>
      <c r="E24">
        <v>3745.4404300000001</v>
      </c>
      <c r="F24">
        <v>3745.4404300000001</v>
      </c>
      <c r="G24">
        <v>23836759957</v>
      </c>
      <c r="H24">
        <v>46709.824219000002</v>
      </c>
      <c r="I24">
        <v>48431.398437999997</v>
      </c>
      <c r="J24">
        <v>46424.496094000002</v>
      </c>
      <c r="K24">
        <v>46612.632812999997</v>
      </c>
      <c r="L24">
        <v>46612.632812999997</v>
      </c>
      <c r="M24">
        <v>34638619079</v>
      </c>
      <c r="N24">
        <v>1.00038</v>
      </c>
      <c r="O24">
        <v>1.0019990000000001</v>
      </c>
      <c r="P24">
        <v>0.99818099999999998</v>
      </c>
      <c r="Q24">
        <v>1.000648</v>
      </c>
      <c r="R24">
        <v>1.000648</v>
      </c>
      <c r="S24">
        <v>72787499023</v>
      </c>
      <c r="T24">
        <v>1.000019</v>
      </c>
      <c r="U24">
        <v>1.0019929999999999</v>
      </c>
      <c r="V24">
        <v>0.99811499999999997</v>
      </c>
      <c r="W24">
        <v>1.0001949999999999</v>
      </c>
      <c r="X24">
        <v>1.0001949999999999</v>
      </c>
      <c r="Y24">
        <v>4929898732</v>
      </c>
      <c r="Z24">
        <v>1.2244600000000001</v>
      </c>
      <c r="AA24">
        <v>1.269876</v>
      </c>
      <c r="AB24">
        <v>1.201422</v>
      </c>
      <c r="AC24">
        <v>1.2228349999999999</v>
      </c>
      <c r="AD24">
        <v>1.2228349999999999</v>
      </c>
      <c r="AE24">
        <v>1596202685</v>
      </c>
      <c r="AK24" s="1">
        <v>44544</v>
      </c>
      <c r="AL24">
        <f t="shared" si="0"/>
        <v>3782.8227539999998</v>
      </c>
      <c r="AM24">
        <f>INDEX(A:AE,MATCH(AK24,worksheet!A:A,0),MATCH(worksheet!AM23,worksheet!A23:AE23,0))</f>
        <v>46709.824219000002</v>
      </c>
      <c r="AN24">
        <f>INDEX(A:AE,MATCH(AK24,worksheet!A:A,0),MATCH(worksheet!AN23,worksheet!A23:AE23,0))</f>
        <v>1.2244600000000001</v>
      </c>
      <c r="AO24">
        <f>INDEX(A:AE,MATCH(AK24,worksheet!A:A,0),MATCH(worksheet!AO23,worksheet!A23:AE23,0))</f>
        <v>1.00038</v>
      </c>
      <c r="AP24">
        <f>INDEX(A:AE,MATCH(AK24,worksheet!A:A,0),MATCH(worksheet!AP23,worksheet!A23:AE23,0))</f>
        <v>1.000019</v>
      </c>
    </row>
    <row r="25" spans="1:42" x14ac:dyDescent="0.25">
      <c r="A25" s="1">
        <v>44545</v>
      </c>
      <c r="B25">
        <v>3862.2514649999998</v>
      </c>
      <c r="C25">
        <v>4086.3728030000002</v>
      </c>
      <c r="D25">
        <v>3664.719971</v>
      </c>
      <c r="E25">
        <v>4018.388672</v>
      </c>
      <c r="F25">
        <v>4018.388672</v>
      </c>
      <c r="G25">
        <v>26411188833</v>
      </c>
      <c r="H25">
        <v>48379.753905999998</v>
      </c>
      <c r="I25">
        <v>49473.957030999998</v>
      </c>
      <c r="J25">
        <v>46671.964844000002</v>
      </c>
      <c r="K25">
        <v>48896.722655999998</v>
      </c>
      <c r="L25">
        <v>48896.722655999998</v>
      </c>
      <c r="M25">
        <v>36541828520</v>
      </c>
      <c r="N25">
        <v>1.0004630000000001</v>
      </c>
      <c r="O25">
        <v>1.001206</v>
      </c>
      <c r="P25">
        <v>0.99809599999999998</v>
      </c>
      <c r="Q25">
        <v>1.000402</v>
      </c>
      <c r="R25">
        <v>1.000402</v>
      </c>
      <c r="S25">
        <v>77440719349</v>
      </c>
      <c r="T25">
        <v>0.99962499999999999</v>
      </c>
      <c r="U25">
        <v>1.0019610000000001</v>
      </c>
      <c r="V25">
        <v>0.99814400000000003</v>
      </c>
      <c r="W25">
        <v>1.0002439999999999</v>
      </c>
      <c r="X25">
        <v>1.0002439999999999</v>
      </c>
      <c r="Y25">
        <v>5885434505</v>
      </c>
      <c r="Z25">
        <v>1.2662629999999999</v>
      </c>
      <c r="AA25">
        <v>1.329269</v>
      </c>
      <c r="AB25">
        <v>1.2071609999999999</v>
      </c>
      <c r="AC25">
        <v>1.311847</v>
      </c>
      <c r="AD25">
        <v>1.311847</v>
      </c>
      <c r="AE25">
        <v>1634066534</v>
      </c>
      <c r="AK25" s="1">
        <v>44545</v>
      </c>
      <c r="AL25">
        <f t="shared" si="0"/>
        <v>3862.2514649999998</v>
      </c>
      <c r="AM25">
        <f>INDEX(A:AE,MATCH(AK25,worksheet!A:A,0),MATCH(worksheet!AM24,worksheet!A24:AE24,0))</f>
        <v>48379.753905999998</v>
      </c>
      <c r="AN25">
        <f>INDEX(A:AE,MATCH(AK25,worksheet!A:A,0),MATCH(worksheet!AN24,worksheet!A24:AE24,0))</f>
        <v>1.2662629999999999</v>
      </c>
      <c r="AO25">
        <f>INDEX(A:AE,MATCH(AK25,worksheet!A:A,0),MATCH(worksheet!AO24,worksheet!A24:AE24,0))</f>
        <v>1.0004630000000001</v>
      </c>
      <c r="AP25">
        <f>INDEX(A:AE,MATCH(AK25,worksheet!A:A,0),MATCH(worksheet!AP24,worksheet!A24:AE24,0))</f>
        <v>0.99962499999999999</v>
      </c>
    </row>
    <row r="26" spans="1:42" x14ac:dyDescent="0.25">
      <c r="A26" s="1">
        <v>44546</v>
      </c>
      <c r="B26">
        <v>4020.415039</v>
      </c>
      <c r="C26">
        <v>4110.3686520000001</v>
      </c>
      <c r="D26">
        <v>3956.0571289999998</v>
      </c>
      <c r="E26">
        <v>3962.4697270000001</v>
      </c>
      <c r="F26">
        <v>3962.4697270000001</v>
      </c>
      <c r="G26">
        <v>19825531254</v>
      </c>
      <c r="H26">
        <v>48900.464844000002</v>
      </c>
      <c r="I26">
        <v>49425.574219000002</v>
      </c>
      <c r="J26">
        <v>47529.878905999998</v>
      </c>
      <c r="K26">
        <v>47665.425780999998</v>
      </c>
      <c r="L26">
        <v>47665.425780999998</v>
      </c>
      <c r="M26">
        <v>27268150947</v>
      </c>
      <c r="N26">
        <v>1.00023</v>
      </c>
      <c r="O26">
        <v>1.0019990000000001</v>
      </c>
      <c r="P26">
        <v>0.99851599999999996</v>
      </c>
      <c r="Q26">
        <v>1.0002599999999999</v>
      </c>
      <c r="R26">
        <v>1.0002599999999999</v>
      </c>
      <c r="S26">
        <v>60612599459</v>
      </c>
      <c r="T26">
        <v>1.0004960000000001</v>
      </c>
      <c r="U26">
        <v>1.0019940000000001</v>
      </c>
      <c r="V26">
        <v>0.99800599999999995</v>
      </c>
      <c r="W26">
        <v>0.99895199999999995</v>
      </c>
      <c r="X26">
        <v>0.99895199999999995</v>
      </c>
      <c r="Y26">
        <v>4261770587</v>
      </c>
      <c r="Z26">
        <v>1.3118179999999999</v>
      </c>
      <c r="AA26">
        <v>1.33101</v>
      </c>
      <c r="AB26">
        <v>1.2367840000000001</v>
      </c>
      <c r="AC26">
        <v>1.240534</v>
      </c>
      <c r="AD26">
        <v>1.240534</v>
      </c>
      <c r="AE26">
        <v>1293311594</v>
      </c>
      <c r="AK26" s="1">
        <v>44546</v>
      </c>
      <c r="AL26">
        <f t="shared" si="0"/>
        <v>4020.415039</v>
      </c>
      <c r="AM26">
        <f>INDEX(A:AE,MATCH(AK26,worksheet!A:A,0),MATCH(worksheet!AM25,worksheet!A25:AE25,0))</f>
        <v>48900.464844000002</v>
      </c>
      <c r="AN26">
        <f>INDEX(A:AE,MATCH(AK26,worksheet!A:A,0),MATCH(worksheet!AN25,worksheet!A25:AE25,0))</f>
        <v>1.3118179999999999</v>
      </c>
      <c r="AO26">
        <f>INDEX(A:AE,MATCH(AK26,worksheet!A:A,0),MATCH(worksheet!AO25,worksheet!A25:AE25,0))</f>
        <v>1.00023</v>
      </c>
      <c r="AP26">
        <f>INDEX(A:AE,MATCH(AK26,worksheet!A:A,0),MATCH(worksheet!AP25,worksheet!A25:AE25,0))</f>
        <v>1.0004960000000001</v>
      </c>
    </row>
    <row r="27" spans="1:42" x14ac:dyDescent="0.25">
      <c r="A27" s="1">
        <v>44547</v>
      </c>
      <c r="B27">
        <v>3959.0124510000001</v>
      </c>
      <c r="C27">
        <v>3992.7924800000001</v>
      </c>
      <c r="D27">
        <v>3711.4245609999998</v>
      </c>
      <c r="E27">
        <v>3879.4865719999998</v>
      </c>
      <c r="F27">
        <v>3879.4865719999998</v>
      </c>
      <c r="G27">
        <v>23143541098</v>
      </c>
      <c r="H27">
        <v>47653.730469000002</v>
      </c>
      <c r="I27">
        <v>48004.894530999998</v>
      </c>
      <c r="J27">
        <v>45618.214844000002</v>
      </c>
      <c r="K27">
        <v>46202.144530999998</v>
      </c>
      <c r="L27">
        <v>46202.144530999998</v>
      </c>
      <c r="M27">
        <v>32902725329</v>
      </c>
      <c r="N27">
        <v>1.0000929999999999</v>
      </c>
      <c r="O27">
        <v>1.0019960000000001</v>
      </c>
      <c r="P27">
        <v>0.99815100000000001</v>
      </c>
      <c r="Q27">
        <v>1.0008379999999999</v>
      </c>
      <c r="R27">
        <v>1.0008379999999999</v>
      </c>
      <c r="S27">
        <v>69599166416</v>
      </c>
      <c r="T27">
        <v>1.000011</v>
      </c>
      <c r="U27">
        <v>1.001817</v>
      </c>
      <c r="V27">
        <v>0.99807599999999996</v>
      </c>
      <c r="W27">
        <v>0.99980599999999997</v>
      </c>
      <c r="X27">
        <v>0.99980599999999997</v>
      </c>
      <c r="Y27">
        <v>4989557925</v>
      </c>
      <c r="Z27">
        <v>1.2407440000000001</v>
      </c>
      <c r="AA27">
        <v>1.2586949999999999</v>
      </c>
      <c r="AB27">
        <v>1.187881</v>
      </c>
      <c r="AC27">
        <v>1.219892</v>
      </c>
      <c r="AD27">
        <v>1.219892</v>
      </c>
      <c r="AE27">
        <v>1376131289</v>
      </c>
      <c r="AK27" s="1">
        <v>44547</v>
      </c>
      <c r="AL27">
        <f t="shared" si="0"/>
        <v>3959.0124510000001</v>
      </c>
      <c r="AM27">
        <f>INDEX(A:AE,MATCH(AK27,worksheet!A:A,0),MATCH(worksheet!AM26,worksheet!A26:AE26,0))</f>
        <v>47653.730469000002</v>
      </c>
      <c r="AN27">
        <f>INDEX(A:AE,MATCH(AK27,worksheet!A:A,0),MATCH(worksheet!AN26,worksheet!A26:AE26,0))</f>
        <v>1.2407440000000001</v>
      </c>
      <c r="AO27">
        <f>INDEX(A:AE,MATCH(AK27,worksheet!A:A,0),MATCH(worksheet!AO26,worksheet!A26:AE26,0))</f>
        <v>1.0000929999999999</v>
      </c>
      <c r="AP27">
        <f>INDEX(A:AE,MATCH(AK27,worksheet!A:A,0),MATCH(worksheet!AP26,worksheet!A26:AE26,0))</f>
        <v>1.000011</v>
      </c>
    </row>
    <row r="28" spans="1:42" x14ac:dyDescent="0.25">
      <c r="A28" s="1">
        <v>44548</v>
      </c>
      <c r="B28">
        <v>3880.2915039999998</v>
      </c>
      <c r="C28">
        <v>3993.8298340000001</v>
      </c>
      <c r="D28">
        <v>3774.61499</v>
      </c>
      <c r="E28">
        <v>3960.860107</v>
      </c>
      <c r="F28">
        <v>3960.860107</v>
      </c>
      <c r="G28">
        <v>19530895889</v>
      </c>
      <c r="H28">
        <v>46219.253905999998</v>
      </c>
      <c r="I28">
        <v>47313.828125</v>
      </c>
      <c r="J28">
        <v>45598.441405999998</v>
      </c>
      <c r="K28">
        <v>46848.777344000002</v>
      </c>
      <c r="L28">
        <v>46848.777344000002</v>
      </c>
      <c r="M28">
        <v>26098292690</v>
      </c>
      <c r="N28">
        <v>1.000356</v>
      </c>
      <c r="O28">
        <v>1.0019690000000001</v>
      </c>
      <c r="P28">
        <v>0.99819899999999995</v>
      </c>
      <c r="Q28">
        <v>1.000183</v>
      </c>
      <c r="R28">
        <v>1.000183</v>
      </c>
      <c r="S28">
        <v>55813387710</v>
      </c>
      <c r="T28">
        <v>0.99809800000000004</v>
      </c>
      <c r="U28">
        <v>1.001844</v>
      </c>
      <c r="V28">
        <v>0.99808300000000005</v>
      </c>
      <c r="W28">
        <v>0.99992999999999999</v>
      </c>
      <c r="X28">
        <v>0.99992999999999999</v>
      </c>
      <c r="Y28">
        <v>3839132525</v>
      </c>
      <c r="Z28">
        <v>1.2205170000000001</v>
      </c>
      <c r="AA28">
        <v>1.2672220000000001</v>
      </c>
      <c r="AB28">
        <v>1.2019470000000001</v>
      </c>
      <c r="AC28">
        <v>1.242534</v>
      </c>
      <c r="AD28">
        <v>1.242534</v>
      </c>
      <c r="AE28">
        <v>1057989368</v>
      </c>
      <c r="AK28" s="1">
        <v>44548</v>
      </c>
      <c r="AL28">
        <f t="shared" si="0"/>
        <v>3880.2915039999998</v>
      </c>
      <c r="AM28">
        <f>INDEX(A:AE,MATCH(AK28,worksheet!A:A,0),MATCH(worksheet!AM27,worksheet!A27:AE27,0))</f>
        <v>46219.253905999998</v>
      </c>
      <c r="AN28">
        <f>INDEX(A:AE,MATCH(AK28,worksheet!A:A,0),MATCH(worksheet!AN27,worksheet!A27:AE27,0))</f>
        <v>1.2205170000000001</v>
      </c>
      <c r="AO28">
        <f>INDEX(A:AE,MATCH(AK28,worksheet!A:A,0),MATCH(worksheet!AO27,worksheet!A27:AE27,0))</f>
        <v>1.000356</v>
      </c>
      <c r="AP28">
        <f>INDEX(A:AE,MATCH(AK28,worksheet!A:A,0),MATCH(worksheet!AP27,worksheet!A27:AE27,0))</f>
        <v>0.99809800000000004</v>
      </c>
    </row>
    <row r="29" spans="1:42" x14ac:dyDescent="0.25">
      <c r="A29" s="1">
        <v>44549</v>
      </c>
      <c r="B29">
        <v>3960.8723140000002</v>
      </c>
      <c r="C29">
        <v>4018.6584469999998</v>
      </c>
      <c r="D29">
        <v>3894.398682</v>
      </c>
      <c r="E29">
        <v>3922.592529</v>
      </c>
      <c r="F29">
        <v>3922.592529</v>
      </c>
      <c r="G29">
        <v>16167785597</v>
      </c>
      <c r="H29">
        <v>46853.867187999997</v>
      </c>
      <c r="I29">
        <v>48089.664062999997</v>
      </c>
      <c r="J29">
        <v>46502.953125</v>
      </c>
      <c r="K29">
        <v>46707.015625</v>
      </c>
      <c r="L29">
        <v>46707.015625</v>
      </c>
      <c r="M29">
        <v>25154053861</v>
      </c>
      <c r="N29">
        <v>1.00004</v>
      </c>
      <c r="O29">
        <v>1.0019579999999999</v>
      </c>
      <c r="P29">
        <v>0.99826199999999998</v>
      </c>
      <c r="Q29">
        <v>0.99998799999999999</v>
      </c>
      <c r="R29">
        <v>0.99998799999999999</v>
      </c>
      <c r="S29">
        <v>49752180810</v>
      </c>
      <c r="T29">
        <v>1.000016</v>
      </c>
      <c r="U29">
        <v>1.001992</v>
      </c>
      <c r="V29">
        <v>0.99803600000000003</v>
      </c>
      <c r="W29">
        <v>0.99988299999999997</v>
      </c>
      <c r="X29">
        <v>0.99988299999999997</v>
      </c>
      <c r="Y29">
        <v>3413716404</v>
      </c>
      <c r="Z29">
        <v>1.242394</v>
      </c>
      <c r="AA29">
        <v>1.309385</v>
      </c>
      <c r="AB29">
        <v>1.241757</v>
      </c>
      <c r="AC29">
        <v>1.244661</v>
      </c>
      <c r="AD29">
        <v>1.244661</v>
      </c>
      <c r="AE29">
        <v>1220196479</v>
      </c>
      <c r="AK29" s="1">
        <v>44549</v>
      </c>
      <c r="AL29">
        <f t="shared" si="0"/>
        <v>3960.8723140000002</v>
      </c>
      <c r="AM29">
        <f>INDEX(A:AE,MATCH(AK29,worksheet!A:A,0),MATCH(worksheet!AM28,worksheet!A28:AE28,0))</f>
        <v>46853.867187999997</v>
      </c>
      <c r="AN29">
        <f>INDEX(A:AE,MATCH(AK29,worksheet!A:A,0),MATCH(worksheet!AN28,worksheet!A28:AE28,0))</f>
        <v>1.242394</v>
      </c>
      <c r="AO29">
        <f>INDEX(A:AE,MATCH(AK29,worksheet!A:A,0),MATCH(worksheet!AO28,worksheet!A28:AE28,0))</f>
        <v>1.00004</v>
      </c>
      <c r="AP29">
        <f>INDEX(A:AE,MATCH(AK29,worksheet!A:A,0),MATCH(worksheet!AP28,worksheet!A28:AE28,0))</f>
        <v>1.000016</v>
      </c>
    </row>
    <row r="30" spans="1:42" x14ac:dyDescent="0.25">
      <c r="A30" s="1">
        <v>44550</v>
      </c>
      <c r="B30">
        <v>3923.6958009999998</v>
      </c>
      <c r="C30">
        <v>3980.0986330000001</v>
      </c>
      <c r="D30">
        <v>3759.4033199999999</v>
      </c>
      <c r="E30">
        <v>3933.844482</v>
      </c>
      <c r="F30">
        <v>3933.844482</v>
      </c>
      <c r="G30">
        <v>21589690675</v>
      </c>
      <c r="H30">
        <v>46707.0625</v>
      </c>
      <c r="I30">
        <v>47401.71875</v>
      </c>
      <c r="J30">
        <v>45579.808594000002</v>
      </c>
      <c r="K30">
        <v>46880.277344000002</v>
      </c>
      <c r="L30">
        <v>46880.277344000002</v>
      </c>
      <c r="M30">
        <v>30961902129</v>
      </c>
      <c r="N30">
        <v>1.0000789999999999</v>
      </c>
      <c r="O30">
        <v>1.001997</v>
      </c>
      <c r="P30">
        <v>0.99807299999999999</v>
      </c>
      <c r="Q30">
        <v>0.99897100000000005</v>
      </c>
      <c r="R30">
        <v>0.99897100000000005</v>
      </c>
      <c r="S30">
        <v>66647887174</v>
      </c>
      <c r="T30">
        <v>1.0000560000000001</v>
      </c>
      <c r="U30">
        <v>1.0019480000000001</v>
      </c>
      <c r="V30">
        <v>0.99800999999999995</v>
      </c>
      <c r="W30">
        <v>0.99964200000000003</v>
      </c>
      <c r="X30">
        <v>0.99964200000000003</v>
      </c>
      <c r="Y30">
        <v>4314880732</v>
      </c>
      <c r="Z30">
        <v>1.2434369999999999</v>
      </c>
      <c r="AA30">
        <v>1.260699</v>
      </c>
      <c r="AB30">
        <v>1.2027159999999999</v>
      </c>
      <c r="AC30">
        <v>1.23824</v>
      </c>
      <c r="AD30">
        <v>1.23824</v>
      </c>
      <c r="AE30">
        <v>1365306484</v>
      </c>
      <c r="AK30" s="1">
        <v>44550</v>
      </c>
      <c r="AL30">
        <f t="shared" si="0"/>
        <v>3923.6958009999998</v>
      </c>
      <c r="AM30">
        <f>INDEX(A:AE,MATCH(AK30,worksheet!A:A,0),MATCH(worksheet!AM29,worksheet!A29:AE29,0))</f>
        <v>46707.0625</v>
      </c>
      <c r="AN30">
        <f>INDEX(A:AE,MATCH(AK30,worksheet!A:A,0),MATCH(worksheet!AN29,worksheet!A29:AE29,0))</f>
        <v>1.2434369999999999</v>
      </c>
      <c r="AO30">
        <f>INDEX(A:AE,MATCH(AK30,worksheet!A:A,0),MATCH(worksheet!AO29,worksheet!A29:AE29,0))</f>
        <v>1.0000789999999999</v>
      </c>
      <c r="AP30">
        <f>INDEX(A:AE,MATCH(AK30,worksheet!A:A,0),MATCH(worksheet!AP29,worksheet!A29:AE29,0))</f>
        <v>1.0000560000000001</v>
      </c>
    </row>
    <row r="31" spans="1:42" x14ac:dyDescent="0.25">
      <c r="A31" s="1">
        <v>44551</v>
      </c>
      <c r="B31">
        <v>3938.4638669999999</v>
      </c>
      <c r="C31">
        <v>4058.821289</v>
      </c>
      <c r="D31">
        <v>3918.8378910000001</v>
      </c>
      <c r="E31">
        <v>4020.26001</v>
      </c>
      <c r="F31">
        <v>4020.26001</v>
      </c>
      <c r="G31">
        <v>16388555198</v>
      </c>
      <c r="H31">
        <v>46886.078125</v>
      </c>
      <c r="I31">
        <v>49300.917969000002</v>
      </c>
      <c r="J31">
        <v>46698.773437999997</v>
      </c>
      <c r="K31">
        <v>48936.613280999998</v>
      </c>
      <c r="L31">
        <v>48936.613280999998</v>
      </c>
      <c r="M31">
        <v>27055803928</v>
      </c>
      <c r="N31">
        <v>0.99887999999999999</v>
      </c>
      <c r="O31">
        <v>1.001957</v>
      </c>
      <c r="P31">
        <v>0.99802000000000002</v>
      </c>
      <c r="Q31">
        <v>1.000397</v>
      </c>
      <c r="R31">
        <v>1.000397</v>
      </c>
      <c r="S31">
        <v>55687834682</v>
      </c>
      <c r="T31">
        <v>0.99918899999999999</v>
      </c>
      <c r="U31">
        <v>1.0019940000000001</v>
      </c>
      <c r="V31">
        <v>0.99802400000000002</v>
      </c>
      <c r="W31">
        <v>1.0000659999999999</v>
      </c>
      <c r="X31">
        <v>1.0000659999999999</v>
      </c>
      <c r="Y31">
        <v>3742498924</v>
      </c>
      <c r="Z31">
        <v>1.2364189999999999</v>
      </c>
      <c r="AA31">
        <v>1.289425</v>
      </c>
      <c r="AB31">
        <v>1.229115</v>
      </c>
      <c r="AC31">
        <v>1.280859</v>
      </c>
      <c r="AD31">
        <v>1.280859</v>
      </c>
      <c r="AE31">
        <v>1149078005</v>
      </c>
      <c r="AK31" s="1">
        <v>44551</v>
      </c>
      <c r="AL31">
        <f t="shared" si="0"/>
        <v>3938.4638669999999</v>
      </c>
      <c r="AM31">
        <f>INDEX(A:AE,MATCH(AK31,worksheet!A:A,0),MATCH(worksheet!AM30,worksheet!A30:AE30,0))</f>
        <v>46886.078125</v>
      </c>
      <c r="AN31">
        <f>INDEX(A:AE,MATCH(AK31,worksheet!A:A,0),MATCH(worksheet!AN30,worksheet!A30:AE30,0))</f>
        <v>1.2364189999999999</v>
      </c>
      <c r="AO31">
        <f>INDEX(A:AE,MATCH(AK31,worksheet!A:A,0),MATCH(worksheet!AO30,worksheet!A30:AE30,0))</f>
        <v>0.99887999999999999</v>
      </c>
      <c r="AP31">
        <f>INDEX(A:AE,MATCH(AK31,worksheet!A:A,0),MATCH(worksheet!AP30,worksheet!A30:AE30,0))</f>
        <v>0.99918899999999999</v>
      </c>
    </row>
    <row r="32" spans="1:42" x14ac:dyDescent="0.25">
      <c r="A32" s="1">
        <v>44552</v>
      </c>
      <c r="B32">
        <v>4018.6958009999998</v>
      </c>
      <c r="C32">
        <v>4073.7915039999998</v>
      </c>
      <c r="D32">
        <v>3947.6901859999998</v>
      </c>
      <c r="E32">
        <v>3982.0996089999999</v>
      </c>
      <c r="F32">
        <v>3982.0996089999999</v>
      </c>
      <c r="G32">
        <v>13921756199</v>
      </c>
      <c r="H32">
        <v>48937.097655999998</v>
      </c>
      <c r="I32">
        <v>49544.796875</v>
      </c>
      <c r="J32">
        <v>48450.941405999998</v>
      </c>
      <c r="K32">
        <v>48628.511719000002</v>
      </c>
      <c r="L32">
        <v>48628.511719000002</v>
      </c>
      <c r="M32">
        <v>24447979559</v>
      </c>
      <c r="N32">
        <v>1.0005440000000001</v>
      </c>
      <c r="O32">
        <v>1.0019880000000001</v>
      </c>
      <c r="P32">
        <v>0.99802900000000005</v>
      </c>
      <c r="Q32">
        <v>1.000332</v>
      </c>
      <c r="R32">
        <v>1.000332</v>
      </c>
      <c r="S32">
        <v>57931430463</v>
      </c>
      <c r="T32">
        <v>1.0001469999999999</v>
      </c>
      <c r="U32">
        <v>1.0017720000000001</v>
      </c>
      <c r="V32">
        <v>0.99802000000000002</v>
      </c>
      <c r="W32">
        <v>0.99816300000000002</v>
      </c>
      <c r="X32">
        <v>0.99816300000000002</v>
      </c>
      <c r="Y32">
        <v>3384263782</v>
      </c>
      <c r="Z32">
        <v>1.2803370000000001</v>
      </c>
      <c r="AA32">
        <v>1.366798</v>
      </c>
      <c r="AB32">
        <v>1.2782849999999999</v>
      </c>
      <c r="AC32">
        <v>1.328041</v>
      </c>
      <c r="AD32">
        <v>1.328041</v>
      </c>
      <c r="AE32">
        <v>1528804985</v>
      </c>
      <c r="AK32" s="1">
        <v>44552</v>
      </c>
      <c r="AL32">
        <f t="shared" si="0"/>
        <v>4018.6958009999998</v>
      </c>
      <c r="AM32">
        <f>INDEX(A:AE,MATCH(AK32,worksheet!A:A,0),MATCH(worksheet!AM31,worksheet!A31:AE31,0))</f>
        <v>48937.097655999998</v>
      </c>
      <c r="AN32">
        <f>INDEX(A:AE,MATCH(AK32,worksheet!A:A,0),MATCH(worksheet!AN31,worksheet!A31:AE31,0))</f>
        <v>1.2803370000000001</v>
      </c>
      <c r="AO32">
        <f>INDEX(A:AE,MATCH(AK32,worksheet!A:A,0),MATCH(worksheet!AO31,worksheet!A31:AE31,0))</f>
        <v>1.0005440000000001</v>
      </c>
      <c r="AP32">
        <f>INDEX(A:AE,MATCH(AK32,worksheet!A:A,0),MATCH(worksheet!AP31,worksheet!A31:AE31,0))</f>
        <v>1.0001469999999999</v>
      </c>
    </row>
    <row r="33" spans="1:42" x14ac:dyDescent="0.25">
      <c r="A33" s="1">
        <v>44553</v>
      </c>
      <c r="B33">
        <v>3981.9616700000001</v>
      </c>
      <c r="C33">
        <v>4149.0268550000001</v>
      </c>
      <c r="D33">
        <v>3897.234375</v>
      </c>
      <c r="E33">
        <v>4108.015625</v>
      </c>
      <c r="F33">
        <v>4108.015625</v>
      </c>
      <c r="G33">
        <v>18007273742</v>
      </c>
      <c r="H33">
        <v>48626.34375</v>
      </c>
      <c r="I33">
        <v>51332.339844000002</v>
      </c>
      <c r="J33">
        <v>48065.835937999997</v>
      </c>
      <c r="K33">
        <v>50784.539062999997</v>
      </c>
      <c r="L33">
        <v>50784.539062999997</v>
      </c>
      <c r="M33">
        <v>28223878108</v>
      </c>
      <c r="N33">
        <v>1.00047</v>
      </c>
      <c r="O33">
        <v>1.001987</v>
      </c>
      <c r="P33">
        <v>0.99821400000000005</v>
      </c>
      <c r="Q33">
        <v>1.0003880000000001</v>
      </c>
      <c r="R33">
        <v>1.0003880000000001</v>
      </c>
      <c r="S33">
        <v>69151777565</v>
      </c>
      <c r="T33">
        <v>0.99826599999999999</v>
      </c>
      <c r="U33">
        <v>1.0019910000000001</v>
      </c>
      <c r="V33">
        <v>0.99803500000000001</v>
      </c>
      <c r="W33">
        <v>1.000219</v>
      </c>
      <c r="X33">
        <v>1.000219</v>
      </c>
      <c r="Y33">
        <v>4090339477</v>
      </c>
      <c r="Z33">
        <v>1.328843</v>
      </c>
      <c r="AA33">
        <v>1.4894890000000001</v>
      </c>
      <c r="AB33">
        <v>1.311121</v>
      </c>
      <c r="AC33">
        <v>1.474691</v>
      </c>
      <c r="AD33">
        <v>1.474691</v>
      </c>
      <c r="AE33">
        <v>2068524292</v>
      </c>
      <c r="AK33" s="1">
        <v>44553</v>
      </c>
      <c r="AL33">
        <f t="shared" si="0"/>
        <v>3981.9616700000001</v>
      </c>
      <c r="AM33">
        <f>INDEX(A:AE,MATCH(AK33,worksheet!A:A,0),MATCH(worksheet!AM32,worksheet!A32:AE32,0))</f>
        <v>48626.34375</v>
      </c>
      <c r="AN33">
        <f>INDEX(A:AE,MATCH(AK33,worksheet!A:A,0),MATCH(worksheet!AN32,worksheet!A32:AE32,0))</f>
        <v>1.328843</v>
      </c>
      <c r="AO33">
        <f>INDEX(A:AE,MATCH(AK33,worksheet!A:A,0),MATCH(worksheet!AO32,worksheet!A32:AE32,0))</f>
        <v>1.00047</v>
      </c>
      <c r="AP33">
        <f>INDEX(A:AE,MATCH(AK33,worksheet!A:A,0),MATCH(worksheet!AP32,worksheet!A32:AE32,0))</f>
        <v>0.99826599999999999</v>
      </c>
    </row>
    <row r="34" spans="1:42" x14ac:dyDescent="0.25">
      <c r="A34" s="1">
        <v>44554</v>
      </c>
      <c r="B34">
        <v>4111.3452150000003</v>
      </c>
      <c r="C34">
        <v>4134.1064450000003</v>
      </c>
      <c r="D34">
        <v>4029.064453</v>
      </c>
      <c r="E34">
        <v>4047.9829100000002</v>
      </c>
      <c r="F34">
        <v>4047.9829100000002</v>
      </c>
      <c r="G34">
        <v>12769090623</v>
      </c>
      <c r="H34">
        <v>50806.050780999998</v>
      </c>
      <c r="I34">
        <v>51814.027344000002</v>
      </c>
      <c r="J34">
        <v>50514.496094000002</v>
      </c>
      <c r="K34">
        <v>50822.195312999997</v>
      </c>
      <c r="L34">
        <v>50822.195312999997</v>
      </c>
      <c r="M34">
        <v>24367912228</v>
      </c>
      <c r="N34">
        <v>1.0002800000000001</v>
      </c>
      <c r="O34">
        <v>1.0019979999999999</v>
      </c>
      <c r="P34">
        <v>0.99812299999999998</v>
      </c>
      <c r="Q34">
        <v>1.0012019999999999</v>
      </c>
      <c r="R34">
        <v>1.0012019999999999</v>
      </c>
      <c r="S34">
        <v>60467261268</v>
      </c>
      <c r="T34">
        <v>1.0004</v>
      </c>
      <c r="U34">
        <v>1.00197</v>
      </c>
      <c r="V34">
        <v>0.99831700000000001</v>
      </c>
      <c r="W34">
        <v>1.0006649999999999</v>
      </c>
      <c r="X34">
        <v>1.0006649999999999</v>
      </c>
      <c r="Y34">
        <v>3426361439</v>
      </c>
      <c r="Z34">
        <v>1.4738770000000001</v>
      </c>
      <c r="AA34">
        <v>1.4903470000000001</v>
      </c>
      <c r="AB34">
        <v>1.38348</v>
      </c>
      <c r="AC34">
        <v>1.3923669999999999</v>
      </c>
      <c r="AD34">
        <v>1.3923669999999999</v>
      </c>
      <c r="AE34">
        <v>1337799712</v>
      </c>
      <c r="AK34" s="1">
        <v>44554</v>
      </c>
      <c r="AL34">
        <f t="shared" si="0"/>
        <v>4111.3452150000003</v>
      </c>
      <c r="AM34">
        <f>INDEX(A:AE,MATCH(AK34,worksheet!A:A,0),MATCH(worksheet!AM33,worksheet!A33:AE33,0))</f>
        <v>50806.050780999998</v>
      </c>
      <c r="AN34">
        <f>INDEX(A:AE,MATCH(AK34,worksheet!A:A,0),MATCH(worksheet!AN33,worksheet!A33:AE33,0))</f>
        <v>1.4738770000000001</v>
      </c>
      <c r="AO34">
        <f>INDEX(A:AE,MATCH(AK34,worksheet!A:A,0),MATCH(worksheet!AO33,worksheet!A33:AE33,0))</f>
        <v>1.0002800000000001</v>
      </c>
      <c r="AP34">
        <f>INDEX(A:AE,MATCH(AK34,worksheet!A:A,0),MATCH(worksheet!AP33,worksheet!A33:AE33,0))</f>
        <v>1.0004</v>
      </c>
    </row>
    <row r="35" spans="1:42" x14ac:dyDescent="0.25">
      <c r="A35" s="1">
        <v>44555</v>
      </c>
      <c r="B35">
        <v>4049.781982</v>
      </c>
      <c r="C35">
        <v>4138.5649409999996</v>
      </c>
      <c r="D35">
        <v>4027.9270019999999</v>
      </c>
      <c r="E35">
        <v>4093.2810060000002</v>
      </c>
      <c r="F35">
        <v>4093.2810060000002</v>
      </c>
      <c r="G35">
        <v>10894785525</v>
      </c>
      <c r="H35">
        <v>50854.917969000002</v>
      </c>
      <c r="I35">
        <v>51176.597655999998</v>
      </c>
      <c r="J35">
        <v>50236.707030999998</v>
      </c>
      <c r="K35">
        <v>50429.859375</v>
      </c>
      <c r="L35">
        <v>50429.859375</v>
      </c>
      <c r="M35">
        <v>19030650914</v>
      </c>
      <c r="N35">
        <v>1.001028</v>
      </c>
      <c r="O35">
        <v>1.0019979999999999</v>
      </c>
      <c r="P35">
        <v>0.99802599999999997</v>
      </c>
      <c r="Q35">
        <v>0.99992300000000001</v>
      </c>
      <c r="R35">
        <v>0.99992300000000001</v>
      </c>
      <c r="S35">
        <v>48124514320</v>
      </c>
      <c r="T35">
        <v>1.0005120000000001</v>
      </c>
      <c r="U35">
        <v>1.0019819999999999</v>
      </c>
      <c r="V35">
        <v>0.99801799999999996</v>
      </c>
      <c r="W35">
        <v>0.99985599999999997</v>
      </c>
      <c r="X35">
        <v>0.99985599999999997</v>
      </c>
      <c r="Y35">
        <v>2505867410</v>
      </c>
      <c r="Z35">
        <v>1.3941859999999999</v>
      </c>
      <c r="AA35">
        <v>1.4607330000000001</v>
      </c>
      <c r="AB35">
        <v>1.385219</v>
      </c>
      <c r="AC35">
        <v>1.453495</v>
      </c>
      <c r="AD35">
        <v>1.453495</v>
      </c>
      <c r="AE35">
        <v>1005403101</v>
      </c>
      <c r="AK35" s="1">
        <v>44555</v>
      </c>
      <c r="AL35">
        <f t="shared" si="0"/>
        <v>4049.781982</v>
      </c>
      <c r="AM35">
        <f>INDEX(A:AE,MATCH(AK35,worksheet!A:A,0),MATCH(worksheet!AM34,worksheet!A34:AE34,0))</f>
        <v>50854.917969000002</v>
      </c>
      <c r="AN35">
        <f>INDEX(A:AE,MATCH(AK35,worksheet!A:A,0),MATCH(worksheet!AN34,worksheet!A34:AE34,0))</f>
        <v>1.3941859999999999</v>
      </c>
      <c r="AO35">
        <f>INDEX(A:AE,MATCH(AK35,worksheet!A:A,0),MATCH(worksheet!AO34,worksheet!A34:AE34,0))</f>
        <v>1.001028</v>
      </c>
      <c r="AP35">
        <f>INDEX(A:AE,MATCH(AK35,worksheet!A:A,0),MATCH(worksheet!AP34,worksheet!A34:AE34,0))</f>
        <v>1.0005120000000001</v>
      </c>
    </row>
    <row r="36" spans="1:42" x14ac:dyDescent="0.25">
      <c r="A36" s="1">
        <v>44556</v>
      </c>
      <c r="B36">
        <v>4094.1516109999998</v>
      </c>
      <c r="C36">
        <v>4105.0239259999998</v>
      </c>
      <c r="D36">
        <v>4013.0263669999999</v>
      </c>
      <c r="E36">
        <v>4067.328125</v>
      </c>
      <c r="F36">
        <v>4067.328125</v>
      </c>
      <c r="G36">
        <v>11197244172</v>
      </c>
      <c r="H36">
        <v>50428.691405999998</v>
      </c>
      <c r="I36">
        <v>51196.378905999998</v>
      </c>
      <c r="J36">
        <v>49623.105469000002</v>
      </c>
      <c r="K36">
        <v>50809.515625</v>
      </c>
      <c r="L36">
        <v>50809.515625</v>
      </c>
      <c r="M36">
        <v>20964372926</v>
      </c>
      <c r="N36">
        <v>0.99999000000000005</v>
      </c>
      <c r="O36">
        <v>1.0019659999999999</v>
      </c>
      <c r="P36">
        <v>0.99813600000000002</v>
      </c>
      <c r="Q36">
        <v>1.0004489999999999</v>
      </c>
      <c r="R36">
        <v>1.0004489999999999</v>
      </c>
      <c r="S36">
        <v>50593058831</v>
      </c>
      <c r="T36">
        <v>0.99984399999999996</v>
      </c>
      <c r="U36">
        <v>1.0019990000000001</v>
      </c>
      <c r="V36">
        <v>0.99801499999999999</v>
      </c>
      <c r="W36">
        <v>0.999108</v>
      </c>
      <c r="X36">
        <v>0.999108</v>
      </c>
      <c r="Y36">
        <v>2674907883</v>
      </c>
      <c r="Z36">
        <v>1.4535100000000001</v>
      </c>
      <c r="AA36">
        <v>1.4683269999999999</v>
      </c>
      <c r="AB36">
        <v>1.4108339999999999</v>
      </c>
      <c r="AC36">
        <v>1.456045</v>
      </c>
      <c r="AD36">
        <v>1.456045</v>
      </c>
      <c r="AE36">
        <v>1111799397</v>
      </c>
      <c r="AK36" s="1">
        <v>44556</v>
      </c>
      <c r="AL36">
        <f t="shared" si="0"/>
        <v>4094.1516109999998</v>
      </c>
      <c r="AM36">
        <f>INDEX(A:AE,MATCH(AK36,worksheet!A:A,0),MATCH(worksheet!AM35,worksheet!A35:AE35,0))</f>
        <v>50428.691405999998</v>
      </c>
      <c r="AN36">
        <f>INDEX(A:AE,MATCH(AK36,worksheet!A:A,0),MATCH(worksheet!AN35,worksheet!A35:AE35,0))</f>
        <v>1.4535100000000001</v>
      </c>
      <c r="AO36">
        <f>INDEX(A:AE,MATCH(AK36,worksheet!A:A,0),MATCH(worksheet!AO35,worksheet!A35:AE35,0))</f>
        <v>0.99999000000000005</v>
      </c>
      <c r="AP36">
        <f>INDEX(A:AE,MATCH(AK36,worksheet!A:A,0),MATCH(worksheet!AP35,worksheet!A35:AE35,0))</f>
        <v>0.99984399999999996</v>
      </c>
    </row>
    <row r="37" spans="1:42" x14ac:dyDescent="0.25">
      <c r="A37" s="1">
        <v>44557</v>
      </c>
      <c r="B37">
        <v>4064.7463379999999</v>
      </c>
      <c r="C37">
        <v>4126.0014650000003</v>
      </c>
      <c r="D37">
        <v>4033.492432</v>
      </c>
      <c r="E37">
        <v>4037.547607</v>
      </c>
      <c r="F37">
        <v>4037.547607</v>
      </c>
      <c r="G37">
        <v>11424360002</v>
      </c>
      <c r="H37">
        <v>50802.609375</v>
      </c>
      <c r="I37">
        <v>51956.328125</v>
      </c>
      <c r="J37">
        <v>50499.46875</v>
      </c>
      <c r="K37">
        <v>50640.417969000002</v>
      </c>
      <c r="L37">
        <v>50640.417969000002</v>
      </c>
      <c r="M37">
        <v>24324345758</v>
      </c>
      <c r="N37">
        <v>1.000329</v>
      </c>
      <c r="O37">
        <v>1.001997</v>
      </c>
      <c r="P37">
        <v>0.99800900000000003</v>
      </c>
      <c r="Q37">
        <v>0.99994400000000006</v>
      </c>
      <c r="R37">
        <v>0.99994400000000006</v>
      </c>
      <c r="S37">
        <v>54788742594</v>
      </c>
      <c r="T37">
        <v>0.99921700000000002</v>
      </c>
      <c r="U37">
        <v>1.001973</v>
      </c>
      <c r="V37">
        <v>0.99804099999999996</v>
      </c>
      <c r="W37">
        <v>0.99958199999999997</v>
      </c>
      <c r="X37">
        <v>0.99958199999999997</v>
      </c>
      <c r="Y37">
        <v>2793491169</v>
      </c>
      <c r="Z37">
        <v>1.455838</v>
      </c>
      <c r="AA37">
        <v>1.5907279999999999</v>
      </c>
      <c r="AB37">
        <v>1.452088</v>
      </c>
      <c r="AC37">
        <v>1.512913</v>
      </c>
      <c r="AD37">
        <v>1.512913</v>
      </c>
      <c r="AE37">
        <v>1891237484</v>
      </c>
      <c r="AK37" s="1">
        <v>44557</v>
      </c>
      <c r="AL37">
        <f t="shared" si="0"/>
        <v>4064.7463379999999</v>
      </c>
      <c r="AM37">
        <f>INDEX(A:AE,MATCH(AK37,worksheet!A:A,0),MATCH(worksheet!AM36,worksheet!A36:AE36,0))</f>
        <v>50802.609375</v>
      </c>
      <c r="AN37">
        <f>INDEX(A:AE,MATCH(AK37,worksheet!A:A,0),MATCH(worksheet!AN36,worksheet!A36:AE36,0))</f>
        <v>1.455838</v>
      </c>
      <c r="AO37">
        <f>INDEX(A:AE,MATCH(AK37,worksheet!A:A,0),MATCH(worksheet!AO36,worksheet!A36:AE36,0))</f>
        <v>1.000329</v>
      </c>
      <c r="AP37">
        <f>INDEX(A:AE,MATCH(AK37,worksheet!A:A,0),MATCH(worksheet!AP36,worksheet!A36:AE36,0))</f>
        <v>0.99921700000000002</v>
      </c>
    </row>
    <row r="38" spans="1:42" x14ac:dyDescent="0.25">
      <c r="A38" s="1">
        <v>44558</v>
      </c>
      <c r="B38">
        <v>4037.538086</v>
      </c>
      <c r="C38">
        <v>4037.538086</v>
      </c>
      <c r="D38">
        <v>3769.280029</v>
      </c>
      <c r="E38">
        <v>3800.8930660000001</v>
      </c>
      <c r="F38">
        <v>3800.8930660000001</v>
      </c>
      <c r="G38">
        <v>17299472803</v>
      </c>
      <c r="H38">
        <v>50679.859375</v>
      </c>
      <c r="I38">
        <v>50679.859375</v>
      </c>
      <c r="J38">
        <v>47414.210937999997</v>
      </c>
      <c r="K38">
        <v>47588.855469000002</v>
      </c>
      <c r="L38">
        <v>47588.855469000002</v>
      </c>
      <c r="M38">
        <v>33430376883</v>
      </c>
      <c r="N38">
        <v>0.99957099999999999</v>
      </c>
      <c r="O38">
        <v>1.001997</v>
      </c>
      <c r="P38">
        <v>0.99849299999999996</v>
      </c>
      <c r="Q38">
        <v>1.0011680000000001</v>
      </c>
      <c r="R38">
        <v>1.0011680000000001</v>
      </c>
      <c r="S38">
        <v>74531099414</v>
      </c>
      <c r="T38">
        <v>0.99963299999999999</v>
      </c>
      <c r="U38">
        <v>1.001997</v>
      </c>
      <c r="V38">
        <v>0.99816499999999997</v>
      </c>
      <c r="W38">
        <v>1.0008410000000001</v>
      </c>
      <c r="X38">
        <v>1.0008410000000001</v>
      </c>
      <c r="Y38">
        <v>4171719361</v>
      </c>
      <c r="Z38">
        <v>1.5150920000000001</v>
      </c>
      <c r="AA38">
        <v>1.537979</v>
      </c>
      <c r="AB38">
        <v>1.3813519999999999</v>
      </c>
      <c r="AC38">
        <v>1.402264</v>
      </c>
      <c r="AD38">
        <v>1.402264</v>
      </c>
      <c r="AE38">
        <v>2111991275</v>
      </c>
      <c r="AK38" s="1">
        <v>44558</v>
      </c>
      <c r="AL38">
        <f t="shared" si="0"/>
        <v>4037.538086</v>
      </c>
      <c r="AM38">
        <f>INDEX(A:AE,MATCH(AK38,worksheet!A:A,0),MATCH(worksheet!AM37,worksheet!A37:AE37,0))</f>
        <v>50679.859375</v>
      </c>
      <c r="AN38">
        <f>INDEX(A:AE,MATCH(AK38,worksheet!A:A,0),MATCH(worksheet!AN37,worksheet!A37:AE37,0))</f>
        <v>1.5150920000000001</v>
      </c>
      <c r="AO38">
        <f>INDEX(A:AE,MATCH(AK38,worksheet!A:A,0),MATCH(worksheet!AO37,worksheet!A37:AE37,0))</f>
        <v>0.99957099999999999</v>
      </c>
      <c r="AP38">
        <f>INDEX(A:AE,MATCH(AK38,worksheet!A:A,0),MATCH(worksheet!AP37,worksheet!A37:AE37,0))</f>
        <v>0.99963299999999999</v>
      </c>
    </row>
    <row r="39" spans="1:42" x14ac:dyDescent="0.25">
      <c r="A39" s="1">
        <v>44559</v>
      </c>
      <c r="B39">
        <v>3797.436279</v>
      </c>
      <c r="C39">
        <v>3827.9819339999999</v>
      </c>
      <c r="D39">
        <v>3612.7958979999999</v>
      </c>
      <c r="E39">
        <v>3628.5317380000001</v>
      </c>
      <c r="F39">
        <v>3628.5317380000001</v>
      </c>
      <c r="G39">
        <v>15722555672</v>
      </c>
      <c r="H39">
        <v>47623.871094000002</v>
      </c>
      <c r="I39">
        <v>48119.742187999997</v>
      </c>
      <c r="J39">
        <v>46201.496094000002</v>
      </c>
      <c r="K39">
        <v>46444.710937999997</v>
      </c>
      <c r="L39">
        <v>46444.710937999997</v>
      </c>
      <c r="M39">
        <v>30049226299</v>
      </c>
      <c r="N39">
        <v>1.0012529999999999</v>
      </c>
      <c r="O39">
        <v>1.001981</v>
      </c>
      <c r="P39">
        <v>0.99804400000000004</v>
      </c>
      <c r="Q39">
        <v>1.000294</v>
      </c>
      <c r="R39">
        <v>1.000294</v>
      </c>
      <c r="S39">
        <v>63544101067</v>
      </c>
      <c r="T39">
        <v>1.000758</v>
      </c>
      <c r="U39">
        <v>1.001935</v>
      </c>
      <c r="V39">
        <v>0.99822900000000003</v>
      </c>
      <c r="W39">
        <v>0.99946299999999999</v>
      </c>
      <c r="X39">
        <v>0.99946299999999999</v>
      </c>
      <c r="Y39">
        <v>3506506629</v>
      </c>
      <c r="Z39">
        <v>1.4019619999999999</v>
      </c>
      <c r="AA39">
        <v>1.436113</v>
      </c>
      <c r="AB39">
        <v>1.32847</v>
      </c>
      <c r="AC39">
        <v>1.3308139999999999</v>
      </c>
      <c r="AD39">
        <v>1.3308139999999999</v>
      </c>
      <c r="AE39">
        <v>1516774796</v>
      </c>
      <c r="AK39" s="1">
        <v>44559</v>
      </c>
      <c r="AL39">
        <f t="shared" si="0"/>
        <v>3797.436279</v>
      </c>
      <c r="AM39">
        <f>INDEX(A:AE,MATCH(AK39,worksheet!A:A,0),MATCH(worksheet!AM38,worksheet!A38:AE38,0))</f>
        <v>47623.871094000002</v>
      </c>
      <c r="AN39">
        <f>INDEX(A:AE,MATCH(AK39,worksheet!A:A,0),MATCH(worksheet!AN38,worksheet!A38:AE38,0))</f>
        <v>1.4019619999999999</v>
      </c>
      <c r="AO39">
        <f>INDEX(A:AE,MATCH(AK39,worksheet!A:A,0),MATCH(worksheet!AO38,worksheet!A38:AE38,0))</f>
        <v>1.0012529999999999</v>
      </c>
      <c r="AP39">
        <f>INDEX(A:AE,MATCH(AK39,worksheet!A:A,0),MATCH(worksheet!AP38,worksheet!A38:AE38,0))</f>
        <v>1.000758</v>
      </c>
    </row>
    <row r="40" spans="1:42" x14ac:dyDescent="0.25">
      <c r="A40" s="1">
        <v>44560</v>
      </c>
      <c r="B40">
        <v>3632.2197270000001</v>
      </c>
      <c r="C40">
        <v>3767.5598140000002</v>
      </c>
      <c r="D40">
        <v>3595.2048340000001</v>
      </c>
      <c r="E40">
        <v>3713.8520509999998</v>
      </c>
      <c r="F40">
        <v>3713.8520509999998</v>
      </c>
      <c r="G40">
        <v>12925377999</v>
      </c>
      <c r="H40">
        <v>46490.605469000002</v>
      </c>
      <c r="I40">
        <v>47879.964844000002</v>
      </c>
      <c r="J40">
        <v>46060.3125</v>
      </c>
      <c r="K40">
        <v>47178.125</v>
      </c>
      <c r="L40">
        <v>47178.125</v>
      </c>
      <c r="M40">
        <v>26686491018</v>
      </c>
      <c r="N40">
        <v>1.0001990000000001</v>
      </c>
      <c r="O40">
        <v>1.0019560000000001</v>
      </c>
      <c r="P40">
        <v>0.99829999999999997</v>
      </c>
      <c r="Q40">
        <v>1.001036</v>
      </c>
      <c r="R40">
        <v>1.001036</v>
      </c>
      <c r="S40">
        <v>54862404131</v>
      </c>
      <c r="T40">
        <v>0.99962200000000001</v>
      </c>
      <c r="U40">
        <v>1.0018069999999999</v>
      </c>
      <c r="V40">
        <v>0.99810399999999999</v>
      </c>
      <c r="W40">
        <v>1.000346</v>
      </c>
      <c r="X40">
        <v>1.000346</v>
      </c>
      <c r="Y40">
        <v>3137476099</v>
      </c>
      <c r="Z40">
        <v>1.3327469999999999</v>
      </c>
      <c r="AA40">
        <v>1.376474</v>
      </c>
      <c r="AB40">
        <v>1.3000039999999999</v>
      </c>
      <c r="AC40">
        <v>1.3604149999999999</v>
      </c>
      <c r="AD40">
        <v>1.3604149999999999</v>
      </c>
      <c r="AE40">
        <v>1292798472</v>
      </c>
      <c r="AK40" s="1">
        <v>44560</v>
      </c>
      <c r="AL40">
        <f t="shared" si="0"/>
        <v>3632.2197270000001</v>
      </c>
      <c r="AM40">
        <f>INDEX(A:AE,MATCH(AK40,worksheet!A:A,0),MATCH(worksheet!AM39,worksheet!A39:AE39,0))</f>
        <v>46490.605469000002</v>
      </c>
      <c r="AN40">
        <f>INDEX(A:AE,MATCH(AK40,worksheet!A:A,0),MATCH(worksheet!AN39,worksheet!A39:AE39,0))</f>
        <v>1.3327469999999999</v>
      </c>
      <c r="AO40">
        <f>INDEX(A:AE,MATCH(AK40,worksheet!A:A,0),MATCH(worksheet!AO39,worksheet!A39:AE39,0))</f>
        <v>1.0001990000000001</v>
      </c>
      <c r="AP40">
        <f>INDEX(A:AE,MATCH(AK40,worksheet!A:A,0),MATCH(worksheet!AP39,worksheet!A39:AE39,0))</f>
        <v>0.99962200000000001</v>
      </c>
    </row>
    <row r="41" spans="1:42" x14ac:dyDescent="0.25">
      <c r="A41" s="1">
        <v>44561</v>
      </c>
      <c r="B41">
        <v>3713.4301759999998</v>
      </c>
      <c r="C41">
        <v>3807.288818</v>
      </c>
      <c r="D41">
        <v>3636.8698730000001</v>
      </c>
      <c r="E41">
        <v>3682.6328130000002</v>
      </c>
      <c r="F41">
        <v>3682.6328130000002</v>
      </c>
      <c r="G41">
        <v>14157285268</v>
      </c>
      <c r="H41">
        <v>47169.371094000002</v>
      </c>
      <c r="I41">
        <v>48472.527344000002</v>
      </c>
      <c r="J41">
        <v>45819.953125</v>
      </c>
      <c r="K41">
        <v>46306.445312999997</v>
      </c>
      <c r="L41">
        <v>46306.445312999997</v>
      </c>
      <c r="M41">
        <v>36974172400</v>
      </c>
      <c r="N41">
        <v>1.000955</v>
      </c>
      <c r="O41">
        <v>1.000955</v>
      </c>
      <c r="P41">
        <v>0.99956</v>
      </c>
      <c r="Q41">
        <v>1.000189</v>
      </c>
      <c r="R41">
        <v>1.000189</v>
      </c>
      <c r="S41">
        <v>57299598140</v>
      </c>
      <c r="T41">
        <v>1.000383</v>
      </c>
      <c r="U41">
        <v>1.0009330000000001</v>
      </c>
      <c r="V41">
        <v>0.99918399999999996</v>
      </c>
      <c r="W41">
        <v>1.0000389999999999</v>
      </c>
      <c r="X41">
        <v>1.0000389999999999</v>
      </c>
      <c r="Y41">
        <v>3283686715</v>
      </c>
      <c r="Z41">
        <v>1.3604700000000001</v>
      </c>
      <c r="AA41">
        <v>1.379202</v>
      </c>
      <c r="AB41">
        <v>1.2873650000000001</v>
      </c>
      <c r="AC41">
        <v>1.310209</v>
      </c>
      <c r="AD41">
        <v>1.310209</v>
      </c>
      <c r="AE41">
        <v>1271633462</v>
      </c>
      <c r="AK41" s="1">
        <v>44561</v>
      </c>
      <c r="AL41">
        <f t="shared" si="0"/>
        <v>3713.4301759999998</v>
      </c>
      <c r="AM41">
        <f>INDEX(A:AE,MATCH(AK41,worksheet!A:A,0),MATCH(worksheet!AM40,worksheet!A40:AE40,0))</f>
        <v>47169.371094000002</v>
      </c>
      <c r="AN41">
        <f>INDEX(A:AE,MATCH(AK41,worksheet!A:A,0),MATCH(worksheet!AN40,worksheet!A40:AE40,0))</f>
        <v>1.3604700000000001</v>
      </c>
      <c r="AO41">
        <f>INDEX(A:AE,MATCH(AK41,worksheet!A:A,0),MATCH(worksheet!AO40,worksheet!A40:AE40,0))</f>
        <v>1.000955</v>
      </c>
      <c r="AP41">
        <f>INDEX(A:AE,MATCH(AK41,worksheet!A:A,0),MATCH(worksheet!AP40,worksheet!A40:AE40,0))</f>
        <v>1.000383</v>
      </c>
    </row>
    <row r="42" spans="1:42" x14ac:dyDescent="0.25">
      <c r="A42" s="1">
        <v>44562</v>
      </c>
      <c r="B42">
        <v>3683.0471189999998</v>
      </c>
      <c r="C42">
        <v>3769.9179690000001</v>
      </c>
      <c r="D42">
        <v>3682.2866210000002</v>
      </c>
      <c r="E42">
        <v>3769.6970209999999</v>
      </c>
      <c r="F42">
        <v>3769.6970209999999</v>
      </c>
      <c r="G42">
        <v>9776191466</v>
      </c>
      <c r="H42">
        <v>46311.746094000002</v>
      </c>
      <c r="I42">
        <v>47827.3125</v>
      </c>
      <c r="J42">
        <v>46288.484375</v>
      </c>
      <c r="K42">
        <v>47686.8125</v>
      </c>
      <c r="L42">
        <v>47686.8125</v>
      </c>
      <c r="M42">
        <v>24582667004</v>
      </c>
      <c r="N42">
        <v>1.0000929999999999</v>
      </c>
      <c r="O42">
        <v>1.0007470000000001</v>
      </c>
      <c r="P42">
        <v>1.00003</v>
      </c>
      <c r="Q42">
        <v>1.0004999999999999</v>
      </c>
      <c r="R42">
        <v>1.0004999999999999</v>
      </c>
      <c r="S42">
        <v>43336209524</v>
      </c>
      <c r="T42">
        <v>1.0000830000000001</v>
      </c>
      <c r="U42">
        <v>1.000861</v>
      </c>
      <c r="V42">
        <v>0.99921700000000002</v>
      </c>
      <c r="W42">
        <v>1.0000849999999999</v>
      </c>
      <c r="X42">
        <v>1.0000849999999999</v>
      </c>
      <c r="Y42">
        <v>2655459065</v>
      </c>
      <c r="Z42">
        <v>1.31013</v>
      </c>
      <c r="AA42">
        <v>1.3769750000000001</v>
      </c>
      <c r="AB42">
        <v>1.309787</v>
      </c>
      <c r="AC42">
        <v>1.3769750000000001</v>
      </c>
      <c r="AD42">
        <v>1.3769750000000001</v>
      </c>
      <c r="AE42">
        <v>851279685</v>
      </c>
      <c r="AK42" s="1">
        <v>44562</v>
      </c>
      <c r="AL42">
        <f t="shared" si="0"/>
        <v>3683.0471189999998</v>
      </c>
      <c r="AM42">
        <f>INDEX(A:AE,MATCH(AK42,worksheet!A:A,0),MATCH(worksheet!AM41,worksheet!A41:AE41,0))</f>
        <v>46311.746094000002</v>
      </c>
      <c r="AN42">
        <f>INDEX(A:AE,MATCH(AK42,worksheet!A:A,0),MATCH(worksheet!AN41,worksheet!A41:AE41,0))</f>
        <v>1.31013</v>
      </c>
      <c r="AO42">
        <f>INDEX(A:AE,MATCH(AK42,worksheet!A:A,0),MATCH(worksheet!AO41,worksheet!A41:AE41,0))</f>
        <v>1.0000929999999999</v>
      </c>
      <c r="AP42">
        <f>INDEX(A:AE,MATCH(AK42,worksheet!A:A,0),MATCH(worksheet!AP41,worksheet!A41:AE41,0))</f>
        <v>1.0000830000000001</v>
      </c>
    </row>
    <row r="43" spans="1:42" x14ac:dyDescent="0.25">
      <c r="A43" s="1">
        <v>44563</v>
      </c>
      <c r="B43">
        <v>3769.2983399999998</v>
      </c>
      <c r="C43">
        <v>3836.161865</v>
      </c>
      <c r="D43">
        <v>3727.357422</v>
      </c>
      <c r="E43">
        <v>3829.5649410000001</v>
      </c>
      <c r="F43">
        <v>3829.5649410000001</v>
      </c>
      <c r="G43">
        <v>9881471548</v>
      </c>
      <c r="H43">
        <v>47680.925780999998</v>
      </c>
      <c r="I43">
        <v>47881.40625</v>
      </c>
      <c r="J43">
        <v>46856.9375</v>
      </c>
      <c r="K43">
        <v>47345.21875</v>
      </c>
      <c r="L43">
        <v>47345.21875</v>
      </c>
      <c r="M43">
        <v>27951569547</v>
      </c>
      <c r="N43">
        <v>1.000491</v>
      </c>
      <c r="O43">
        <v>1.00085</v>
      </c>
      <c r="P43">
        <v>1.0001599999999999</v>
      </c>
      <c r="Q43">
        <v>1.0004599999999999</v>
      </c>
      <c r="R43">
        <v>1.0004599999999999</v>
      </c>
      <c r="S43">
        <v>43202922802</v>
      </c>
      <c r="T43">
        <v>1.000081</v>
      </c>
      <c r="U43">
        <v>1.000966</v>
      </c>
      <c r="V43">
        <v>0.99926499999999996</v>
      </c>
      <c r="W43">
        <v>0.99976500000000001</v>
      </c>
      <c r="X43">
        <v>0.99976500000000001</v>
      </c>
      <c r="Y43">
        <v>2491554185</v>
      </c>
      <c r="Z43">
        <v>1.3770169999999999</v>
      </c>
      <c r="AA43">
        <v>1.388755</v>
      </c>
      <c r="AB43">
        <v>1.3465149999999999</v>
      </c>
      <c r="AC43">
        <v>1.3775839999999999</v>
      </c>
      <c r="AD43">
        <v>1.3775839999999999</v>
      </c>
      <c r="AE43">
        <v>881893010</v>
      </c>
      <c r="AK43" s="1">
        <v>44563</v>
      </c>
      <c r="AL43">
        <f t="shared" si="0"/>
        <v>3769.2983399999998</v>
      </c>
      <c r="AM43">
        <f>INDEX(A:AE,MATCH(AK43,worksheet!A:A,0),MATCH(worksheet!AM42,worksheet!A42:AE42,0))</f>
        <v>47680.925780999998</v>
      </c>
      <c r="AN43">
        <f>INDEX(A:AE,MATCH(AK43,worksheet!A:A,0),MATCH(worksheet!AN42,worksheet!A42:AE42,0))</f>
        <v>1.3770169999999999</v>
      </c>
      <c r="AO43">
        <f>INDEX(A:AE,MATCH(AK43,worksheet!A:A,0),MATCH(worksheet!AO42,worksheet!A42:AE42,0))</f>
        <v>1.000491</v>
      </c>
      <c r="AP43">
        <f>INDEX(A:AE,MATCH(AK43,worksheet!A:A,0),MATCH(worksheet!AP42,worksheet!A42:AE42,0))</f>
        <v>1.000081</v>
      </c>
    </row>
    <row r="44" spans="1:42" x14ac:dyDescent="0.25">
      <c r="A44" s="1">
        <v>44564</v>
      </c>
      <c r="B44">
        <v>3829.5356449999999</v>
      </c>
      <c r="C44">
        <v>3836.1987300000001</v>
      </c>
      <c r="D44">
        <v>3698.047607</v>
      </c>
      <c r="E44">
        <v>3761.3803710000002</v>
      </c>
      <c r="F44">
        <v>3761.3803710000002</v>
      </c>
      <c r="G44">
        <v>12080777893</v>
      </c>
      <c r="H44">
        <v>47343.542969000002</v>
      </c>
      <c r="I44">
        <v>47510.726562999997</v>
      </c>
      <c r="J44">
        <v>45835.964844000002</v>
      </c>
      <c r="K44">
        <v>46458.117187999997</v>
      </c>
      <c r="L44">
        <v>46458.117187999997</v>
      </c>
      <c r="M44">
        <v>33071628362</v>
      </c>
      <c r="N44">
        <v>1.000453</v>
      </c>
      <c r="O44">
        <v>1.0007269999999999</v>
      </c>
      <c r="P44">
        <v>1.00004</v>
      </c>
      <c r="Q44">
        <v>1.000165</v>
      </c>
      <c r="R44">
        <v>1.000165</v>
      </c>
      <c r="S44">
        <v>54125933259</v>
      </c>
      <c r="T44">
        <v>0.999776</v>
      </c>
      <c r="U44">
        <v>1.0009140000000001</v>
      </c>
      <c r="V44">
        <v>0.99939599999999995</v>
      </c>
      <c r="W44">
        <v>0.99970800000000004</v>
      </c>
      <c r="X44">
        <v>0.99970800000000004</v>
      </c>
      <c r="Y44">
        <v>2979943098</v>
      </c>
      <c r="Z44">
        <v>1.377599</v>
      </c>
      <c r="AA44">
        <v>1.377599</v>
      </c>
      <c r="AB44">
        <v>1.3158000000000001</v>
      </c>
      <c r="AC44">
        <v>1.321637</v>
      </c>
      <c r="AD44">
        <v>1.321637</v>
      </c>
      <c r="AE44">
        <v>956659954</v>
      </c>
      <c r="AK44" s="1">
        <v>44564</v>
      </c>
      <c r="AL44">
        <f t="shared" si="0"/>
        <v>3829.5356449999999</v>
      </c>
      <c r="AM44">
        <f>INDEX(A:AE,MATCH(AK44,worksheet!A:A,0),MATCH(worksheet!AM43,worksheet!A43:AE43,0))</f>
        <v>47343.542969000002</v>
      </c>
      <c r="AN44">
        <f>INDEX(A:AE,MATCH(AK44,worksheet!A:A,0),MATCH(worksheet!AN43,worksheet!A43:AE43,0))</f>
        <v>1.377599</v>
      </c>
      <c r="AO44">
        <f>INDEX(A:AE,MATCH(AK44,worksheet!A:A,0),MATCH(worksheet!AO43,worksheet!A43:AE43,0))</f>
        <v>1.000453</v>
      </c>
      <c r="AP44">
        <f>INDEX(A:AE,MATCH(AK44,worksheet!A:A,0),MATCH(worksheet!AP43,worksheet!A43:AE43,0))</f>
        <v>0.999776</v>
      </c>
    </row>
    <row r="45" spans="1:42" x14ac:dyDescent="0.25">
      <c r="A45" s="1">
        <v>44565</v>
      </c>
      <c r="B45">
        <v>3761.3615719999998</v>
      </c>
      <c r="C45">
        <v>3876.7851559999999</v>
      </c>
      <c r="D45">
        <v>3723.3498540000001</v>
      </c>
      <c r="E45">
        <v>3794.0566410000001</v>
      </c>
      <c r="F45">
        <v>3794.0566410000001</v>
      </c>
      <c r="G45">
        <v>14030925983</v>
      </c>
      <c r="H45">
        <v>46458.851562999997</v>
      </c>
      <c r="I45">
        <v>47406.546875</v>
      </c>
      <c r="J45">
        <v>45752.464844000002</v>
      </c>
      <c r="K45">
        <v>45897.574219000002</v>
      </c>
      <c r="L45">
        <v>45897.574219000002</v>
      </c>
      <c r="M45">
        <v>42494677905</v>
      </c>
      <c r="N45">
        <v>1.0001610000000001</v>
      </c>
      <c r="O45">
        <v>1.0005379999999999</v>
      </c>
      <c r="P45">
        <v>0.99997800000000003</v>
      </c>
      <c r="Q45">
        <v>1.000208</v>
      </c>
      <c r="R45">
        <v>1.000208</v>
      </c>
      <c r="S45">
        <v>60765931554</v>
      </c>
      <c r="T45">
        <v>0.99981799999999998</v>
      </c>
      <c r="U45">
        <v>1.0013559999999999</v>
      </c>
      <c r="V45">
        <v>0.99913399999999997</v>
      </c>
      <c r="W45">
        <v>1.0005850000000001</v>
      </c>
      <c r="X45">
        <v>1.0005850000000001</v>
      </c>
      <c r="Y45">
        <v>3450318436</v>
      </c>
      <c r="Z45">
        <v>1.3215079999999999</v>
      </c>
      <c r="AA45">
        <v>1.349682</v>
      </c>
      <c r="AB45">
        <v>1.299482</v>
      </c>
      <c r="AC45">
        <v>1.311658</v>
      </c>
      <c r="AD45">
        <v>1.311658</v>
      </c>
      <c r="AE45">
        <v>1014646349</v>
      </c>
      <c r="AK45" s="1">
        <v>44565</v>
      </c>
      <c r="AL45">
        <f t="shared" si="0"/>
        <v>3761.3615719999998</v>
      </c>
      <c r="AM45">
        <f>INDEX(A:AE,MATCH(AK45,worksheet!A:A,0),MATCH(worksheet!AM44,worksheet!A44:AE44,0))</f>
        <v>46458.851562999997</v>
      </c>
      <c r="AN45">
        <f>INDEX(A:AE,MATCH(AK45,worksheet!A:A,0),MATCH(worksheet!AN44,worksheet!A44:AE44,0))</f>
        <v>1.3215079999999999</v>
      </c>
      <c r="AO45">
        <f>INDEX(A:AE,MATCH(AK45,worksheet!A:A,0),MATCH(worksheet!AO44,worksheet!A44:AE44,0))</f>
        <v>1.0001610000000001</v>
      </c>
      <c r="AP45">
        <f>INDEX(A:AE,MATCH(AK45,worksheet!A:A,0),MATCH(worksheet!AP44,worksheet!A44:AE44,0))</f>
        <v>0.99981799999999998</v>
      </c>
    </row>
    <row r="46" spans="1:42" x14ac:dyDescent="0.25">
      <c r="A46" s="1">
        <v>44566</v>
      </c>
      <c r="B46">
        <v>3794.2690429999998</v>
      </c>
      <c r="C46">
        <v>3842.0598140000002</v>
      </c>
      <c r="D46">
        <v>3456.7453609999998</v>
      </c>
      <c r="E46">
        <v>3550.3869629999999</v>
      </c>
      <c r="F46">
        <v>3550.3869629999999</v>
      </c>
      <c r="G46">
        <v>18061338502</v>
      </c>
      <c r="H46">
        <v>45899.359375</v>
      </c>
      <c r="I46">
        <v>46929.046875</v>
      </c>
      <c r="J46">
        <v>42798.222655999998</v>
      </c>
      <c r="K46">
        <v>43569.003905999998</v>
      </c>
      <c r="L46">
        <v>43569.003905999998</v>
      </c>
      <c r="M46">
        <v>36851084859</v>
      </c>
      <c r="N46">
        <v>1.000205</v>
      </c>
      <c r="O46">
        <v>1.000626</v>
      </c>
      <c r="P46">
        <v>0.99995199999999995</v>
      </c>
      <c r="Q46">
        <v>1.000122</v>
      </c>
      <c r="R46">
        <v>1.000122</v>
      </c>
      <c r="S46">
        <v>77225535519</v>
      </c>
      <c r="T46">
        <v>1.000604</v>
      </c>
      <c r="U46">
        <v>1.000902</v>
      </c>
      <c r="V46">
        <v>0.99928700000000004</v>
      </c>
      <c r="W46">
        <v>0.99975700000000001</v>
      </c>
      <c r="X46">
        <v>0.99975700000000001</v>
      </c>
      <c r="Y46">
        <v>4834405737</v>
      </c>
      <c r="Z46">
        <v>1.311944</v>
      </c>
      <c r="AA46">
        <v>1.350875</v>
      </c>
      <c r="AB46">
        <v>1.2026790000000001</v>
      </c>
      <c r="AC46">
        <v>1.236002</v>
      </c>
      <c r="AD46">
        <v>1.236002</v>
      </c>
      <c r="AE46">
        <v>1416139355</v>
      </c>
      <c r="AK46" s="1">
        <v>44566</v>
      </c>
      <c r="AL46">
        <f t="shared" si="0"/>
        <v>3794.2690429999998</v>
      </c>
      <c r="AM46">
        <f>INDEX(A:AE,MATCH(AK46,worksheet!A:A,0),MATCH(worksheet!AM45,worksheet!A45:AE45,0))</f>
        <v>45899.359375</v>
      </c>
      <c r="AN46">
        <f>INDEX(A:AE,MATCH(AK46,worksheet!A:A,0),MATCH(worksheet!AN45,worksheet!A45:AE45,0))</f>
        <v>1.311944</v>
      </c>
      <c r="AO46">
        <f>INDEX(A:AE,MATCH(AK46,worksheet!A:A,0),MATCH(worksheet!AO45,worksheet!A45:AE45,0))</f>
        <v>1.000205</v>
      </c>
      <c r="AP46">
        <f>INDEX(A:AE,MATCH(AK46,worksheet!A:A,0),MATCH(worksheet!AP45,worksheet!A45:AE45,0))</f>
        <v>1.000604</v>
      </c>
    </row>
    <row r="47" spans="1:42" x14ac:dyDescent="0.25">
      <c r="A47" s="1">
        <v>44567</v>
      </c>
      <c r="B47">
        <v>3549.7089839999999</v>
      </c>
      <c r="C47">
        <v>3549.7089839999999</v>
      </c>
      <c r="D47">
        <v>3335.3767090000001</v>
      </c>
      <c r="E47">
        <v>3418.408203</v>
      </c>
      <c r="F47">
        <v>3418.408203</v>
      </c>
      <c r="G47">
        <v>24293791313</v>
      </c>
      <c r="H47">
        <v>43565.511719000002</v>
      </c>
      <c r="I47">
        <v>43748.71875</v>
      </c>
      <c r="J47">
        <v>42645.539062999997</v>
      </c>
      <c r="K47">
        <v>43160.929687999997</v>
      </c>
      <c r="L47">
        <v>43160.929687999997</v>
      </c>
      <c r="M47">
        <v>30208048289</v>
      </c>
      <c r="N47">
        <v>1.0001230000000001</v>
      </c>
      <c r="O47">
        <v>1.0005980000000001</v>
      </c>
      <c r="P47">
        <v>0.99998100000000001</v>
      </c>
      <c r="Q47">
        <v>1.0001949999999999</v>
      </c>
      <c r="R47">
        <v>1.0001949999999999</v>
      </c>
      <c r="S47">
        <v>71751236899</v>
      </c>
      <c r="T47">
        <v>0.99975199999999997</v>
      </c>
      <c r="U47">
        <v>1.001172</v>
      </c>
      <c r="V47">
        <v>0.99927100000000002</v>
      </c>
      <c r="W47">
        <v>0.99956</v>
      </c>
      <c r="X47">
        <v>0.99956</v>
      </c>
      <c r="Y47">
        <v>4569272674</v>
      </c>
      <c r="Z47">
        <v>1.235209</v>
      </c>
      <c r="AA47">
        <v>1.2945759999999999</v>
      </c>
      <c r="AB47">
        <v>1.193416</v>
      </c>
      <c r="AC47">
        <v>1.279782</v>
      </c>
      <c r="AD47">
        <v>1.279782</v>
      </c>
      <c r="AE47">
        <v>1559075484</v>
      </c>
      <c r="AK47" s="1">
        <v>44567</v>
      </c>
      <c r="AL47">
        <f t="shared" si="0"/>
        <v>3549.7089839999999</v>
      </c>
      <c r="AM47">
        <f>INDEX(A:AE,MATCH(AK47,worksheet!A:A,0),MATCH(worksheet!AM46,worksheet!A46:AE46,0))</f>
        <v>43565.511719000002</v>
      </c>
      <c r="AN47">
        <f>INDEX(A:AE,MATCH(AK47,worksheet!A:A,0),MATCH(worksheet!AN46,worksheet!A46:AE46,0))</f>
        <v>1.235209</v>
      </c>
      <c r="AO47">
        <f>INDEX(A:AE,MATCH(AK47,worksheet!A:A,0),MATCH(worksheet!AO46,worksheet!A46:AE46,0))</f>
        <v>1.0001230000000001</v>
      </c>
      <c r="AP47">
        <f>INDEX(A:AE,MATCH(AK47,worksheet!A:A,0),MATCH(worksheet!AP46,worksheet!A46:AE46,0))</f>
        <v>0.99975199999999997</v>
      </c>
    </row>
    <row r="48" spans="1:42" x14ac:dyDescent="0.25">
      <c r="A48" s="1">
        <v>44568</v>
      </c>
      <c r="B48">
        <v>3417.8378910000001</v>
      </c>
      <c r="C48">
        <v>3420.461914</v>
      </c>
      <c r="D48">
        <v>3117.3813479999999</v>
      </c>
      <c r="E48">
        <v>3193.2104490000002</v>
      </c>
      <c r="F48">
        <v>3193.2104490000002</v>
      </c>
      <c r="G48">
        <v>24494179209</v>
      </c>
      <c r="H48">
        <v>43153.570312999997</v>
      </c>
      <c r="I48">
        <v>43153.570312999997</v>
      </c>
      <c r="J48">
        <v>41077.445312999997</v>
      </c>
      <c r="K48">
        <v>41557.902344000002</v>
      </c>
      <c r="L48">
        <v>41557.902344000002</v>
      </c>
      <c r="M48">
        <v>84196607520</v>
      </c>
      <c r="N48">
        <v>1.000208</v>
      </c>
      <c r="O48">
        <v>1.0006280000000001</v>
      </c>
      <c r="P48">
        <v>0.99984499999999998</v>
      </c>
      <c r="Q48">
        <v>1.0002519999999999</v>
      </c>
      <c r="R48">
        <v>1.0002519999999999</v>
      </c>
      <c r="S48">
        <v>82344370614</v>
      </c>
      <c r="T48">
        <v>0.999525</v>
      </c>
      <c r="U48">
        <v>1.0008699999999999</v>
      </c>
      <c r="V48">
        <v>0.99940200000000001</v>
      </c>
      <c r="W48">
        <v>1.0004770000000001</v>
      </c>
      <c r="X48">
        <v>1.0004770000000001</v>
      </c>
      <c r="Y48">
        <v>4710183601</v>
      </c>
      <c r="Z48">
        <v>1.279917</v>
      </c>
      <c r="AA48">
        <v>1.282408</v>
      </c>
      <c r="AB48">
        <v>1.1932370000000001</v>
      </c>
      <c r="AC48">
        <v>1.2115469999999999</v>
      </c>
      <c r="AD48">
        <v>1.2115469999999999</v>
      </c>
      <c r="AE48">
        <v>1751707653</v>
      </c>
      <c r="AK48" s="1">
        <v>44568</v>
      </c>
      <c r="AL48">
        <f t="shared" si="0"/>
        <v>3417.8378910000001</v>
      </c>
      <c r="AM48">
        <f>INDEX(A:AE,MATCH(AK48,worksheet!A:A,0),MATCH(worksheet!AM47,worksheet!A47:AE47,0))</f>
        <v>43153.570312999997</v>
      </c>
      <c r="AN48">
        <f>INDEX(A:AE,MATCH(AK48,worksheet!A:A,0),MATCH(worksheet!AN47,worksheet!A47:AE47,0))</f>
        <v>1.279917</v>
      </c>
      <c r="AO48">
        <f>INDEX(A:AE,MATCH(AK48,worksheet!A:A,0),MATCH(worksheet!AO47,worksheet!A47:AE47,0))</f>
        <v>1.000208</v>
      </c>
      <c r="AP48">
        <f>INDEX(A:AE,MATCH(AK48,worksheet!A:A,0),MATCH(worksheet!AP47,worksheet!A47:AE47,0))</f>
        <v>0.999525</v>
      </c>
    </row>
    <row r="49" spans="1:42" x14ac:dyDescent="0.25">
      <c r="A49" s="1">
        <v>44569</v>
      </c>
      <c r="B49">
        <v>3193.5024410000001</v>
      </c>
      <c r="C49">
        <v>3240.304443</v>
      </c>
      <c r="D49">
        <v>3020.8808589999999</v>
      </c>
      <c r="E49">
        <v>3091.9726559999999</v>
      </c>
      <c r="F49">
        <v>3091.9726559999999</v>
      </c>
      <c r="G49">
        <v>16037732700</v>
      </c>
      <c r="H49">
        <v>41561.464844000002</v>
      </c>
      <c r="I49">
        <v>42228.941405999998</v>
      </c>
      <c r="J49">
        <v>40672.277344000002</v>
      </c>
      <c r="K49">
        <v>41733.941405999998</v>
      </c>
      <c r="L49">
        <v>41733.941405999998</v>
      </c>
      <c r="M49">
        <v>28066355845</v>
      </c>
      <c r="N49">
        <v>1.0002599999999999</v>
      </c>
      <c r="O49">
        <v>1.0004440000000001</v>
      </c>
      <c r="P49">
        <v>0.99987899999999996</v>
      </c>
      <c r="Q49">
        <v>1.000097</v>
      </c>
      <c r="R49">
        <v>1.000097</v>
      </c>
      <c r="S49">
        <v>62394894090</v>
      </c>
      <c r="T49">
        <v>1.0004740000000001</v>
      </c>
      <c r="U49">
        <v>1.0009969999999999</v>
      </c>
      <c r="V49">
        <v>0.99944999999999995</v>
      </c>
      <c r="W49">
        <v>0.99951199999999996</v>
      </c>
      <c r="X49">
        <v>0.99951199999999996</v>
      </c>
      <c r="Y49">
        <v>4278836552</v>
      </c>
      <c r="Z49">
        <v>1.211468</v>
      </c>
      <c r="AA49">
        <v>1.25267</v>
      </c>
      <c r="AB49">
        <v>1.1381159999999999</v>
      </c>
      <c r="AC49">
        <v>1.1875119999999999</v>
      </c>
      <c r="AD49">
        <v>1.1875119999999999</v>
      </c>
      <c r="AE49">
        <v>1499054949</v>
      </c>
      <c r="AK49" s="1">
        <v>44569</v>
      </c>
      <c r="AL49">
        <f t="shared" si="0"/>
        <v>3193.5024410000001</v>
      </c>
      <c r="AM49">
        <f>INDEX(A:AE,MATCH(AK49,worksheet!A:A,0),MATCH(worksheet!AM48,worksheet!A48:AE48,0))</f>
        <v>41561.464844000002</v>
      </c>
      <c r="AN49">
        <f>INDEX(A:AE,MATCH(AK49,worksheet!A:A,0),MATCH(worksheet!AN48,worksheet!A48:AE48,0))</f>
        <v>1.211468</v>
      </c>
      <c r="AO49">
        <f>INDEX(A:AE,MATCH(AK49,worksheet!A:A,0),MATCH(worksheet!AO48,worksheet!A48:AE48,0))</f>
        <v>1.0002599999999999</v>
      </c>
      <c r="AP49">
        <f>INDEX(A:AE,MATCH(AK49,worksheet!A:A,0),MATCH(worksheet!AP48,worksheet!A48:AE48,0))</f>
        <v>1.0004740000000001</v>
      </c>
    </row>
    <row r="50" spans="1:42" x14ac:dyDescent="0.25">
      <c r="A50" s="1">
        <v>44570</v>
      </c>
      <c r="B50">
        <v>3091.696289</v>
      </c>
      <c r="C50">
        <v>3206.7907709999999</v>
      </c>
      <c r="D50">
        <v>3075.9113769999999</v>
      </c>
      <c r="E50">
        <v>3157.7514649999998</v>
      </c>
      <c r="F50">
        <v>3157.7514649999998</v>
      </c>
      <c r="G50">
        <v>12334683863</v>
      </c>
      <c r="H50">
        <v>41734.726562999997</v>
      </c>
      <c r="I50">
        <v>42663.949219000002</v>
      </c>
      <c r="J50">
        <v>41338.160155999998</v>
      </c>
      <c r="K50">
        <v>41911.601562999997</v>
      </c>
      <c r="L50">
        <v>41911.601562999997</v>
      </c>
      <c r="M50">
        <v>21294384372</v>
      </c>
      <c r="N50">
        <v>1.000097</v>
      </c>
      <c r="O50">
        <v>1.0003139999999999</v>
      </c>
      <c r="P50">
        <v>1.000008</v>
      </c>
      <c r="Q50">
        <v>1.000257</v>
      </c>
      <c r="R50">
        <v>1.000257</v>
      </c>
      <c r="S50">
        <v>49109221960</v>
      </c>
      <c r="T50">
        <v>0.99950600000000001</v>
      </c>
      <c r="U50">
        <v>1.00112</v>
      </c>
      <c r="V50">
        <v>0.99947600000000003</v>
      </c>
      <c r="W50">
        <v>0.99983599999999995</v>
      </c>
      <c r="X50">
        <v>0.99983599999999995</v>
      </c>
      <c r="Y50">
        <v>2921877299</v>
      </c>
      <c r="Z50">
        <v>1.1876930000000001</v>
      </c>
      <c r="AA50">
        <v>1.2040360000000001</v>
      </c>
      <c r="AB50">
        <v>1.1534789999999999</v>
      </c>
      <c r="AC50">
        <v>1.1738599999999999</v>
      </c>
      <c r="AD50">
        <v>1.1738599999999999</v>
      </c>
      <c r="AE50">
        <v>1088569809</v>
      </c>
      <c r="AK50" s="1">
        <v>44570</v>
      </c>
      <c r="AL50">
        <f t="shared" si="0"/>
        <v>3091.696289</v>
      </c>
      <c r="AM50">
        <f>INDEX(A:AE,MATCH(AK50,worksheet!A:A,0),MATCH(worksheet!AM49,worksheet!A49:AE49,0))</f>
        <v>41734.726562999997</v>
      </c>
      <c r="AN50">
        <f>INDEX(A:AE,MATCH(AK50,worksheet!A:A,0),MATCH(worksheet!AN49,worksheet!A49:AE49,0))</f>
        <v>1.1876930000000001</v>
      </c>
      <c r="AO50">
        <f>INDEX(A:AE,MATCH(AK50,worksheet!A:A,0),MATCH(worksheet!AO49,worksheet!A49:AE49,0))</f>
        <v>1.000097</v>
      </c>
      <c r="AP50">
        <f>INDEX(A:AE,MATCH(AK50,worksheet!A:A,0),MATCH(worksheet!AP49,worksheet!A49:AE49,0))</f>
        <v>0.99950600000000001</v>
      </c>
    </row>
    <row r="51" spans="1:42" x14ac:dyDescent="0.25">
      <c r="A51" s="1">
        <v>44571</v>
      </c>
      <c r="B51">
        <v>3157.570557</v>
      </c>
      <c r="C51">
        <v>3177.2133789999998</v>
      </c>
      <c r="D51">
        <v>2947.6835940000001</v>
      </c>
      <c r="E51">
        <v>3083.0979000000002</v>
      </c>
      <c r="F51">
        <v>3083.0979000000002</v>
      </c>
      <c r="G51">
        <v>19535744145</v>
      </c>
      <c r="H51">
        <v>41910.230469000002</v>
      </c>
      <c r="I51">
        <v>42199.484375</v>
      </c>
      <c r="J51">
        <v>39796.570312999997</v>
      </c>
      <c r="K51">
        <v>41821.261719000002</v>
      </c>
      <c r="L51">
        <v>41821.261719000002</v>
      </c>
      <c r="M51">
        <v>32104232331</v>
      </c>
      <c r="N51">
        <v>1.000256</v>
      </c>
      <c r="O51">
        <v>1.0003040000000001</v>
      </c>
      <c r="P51">
        <v>1.0000199999999999</v>
      </c>
      <c r="Q51">
        <v>1.000181</v>
      </c>
      <c r="R51">
        <v>1.000181</v>
      </c>
      <c r="S51">
        <v>68455690767</v>
      </c>
      <c r="T51">
        <v>0.99983</v>
      </c>
      <c r="U51">
        <v>1.0011270000000001</v>
      </c>
      <c r="V51">
        <v>0.99930399999999997</v>
      </c>
      <c r="W51">
        <v>1.000381</v>
      </c>
      <c r="X51">
        <v>1.000381</v>
      </c>
      <c r="Y51">
        <v>4659945891</v>
      </c>
      <c r="Z51">
        <v>1.173786</v>
      </c>
      <c r="AA51">
        <v>1.1788590000000001</v>
      </c>
      <c r="AB51">
        <v>1.0801529999999999</v>
      </c>
      <c r="AC51">
        <v>1.1280520000000001</v>
      </c>
      <c r="AD51">
        <v>1.1280520000000001</v>
      </c>
      <c r="AE51">
        <v>1481621292</v>
      </c>
      <c r="AK51" s="1">
        <v>44571</v>
      </c>
      <c r="AL51">
        <f t="shared" si="0"/>
        <v>3157.570557</v>
      </c>
      <c r="AM51">
        <f>INDEX(A:AE,MATCH(AK51,worksheet!A:A,0),MATCH(worksheet!AM50,worksheet!A50:AE50,0))</f>
        <v>41910.230469000002</v>
      </c>
      <c r="AN51">
        <f>INDEX(A:AE,MATCH(AK51,worksheet!A:A,0),MATCH(worksheet!AN50,worksheet!A50:AE50,0))</f>
        <v>1.173786</v>
      </c>
      <c r="AO51">
        <f>INDEX(A:AE,MATCH(AK51,worksheet!A:A,0),MATCH(worksheet!AO50,worksheet!A50:AE50,0))</f>
        <v>1.000256</v>
      </c>
      <c r="AP51">
        <f>INDEX(A:AE,MATCH(AK51,worksheet!A:A,0),MATCH(worksheet!AP50,worksheet!A50:AE50,0))</f>
        <v>0.99983</v>
      </c>
    </row>
    <row r="52" spans="1:42" x14ac:dyDescent="0.25">
      <c r="A52" s="1">
        <v>44572</v>
      </c>
      <c r="B52">
        <v>3082.9909670000002</v>
      </c>
      <c r="C52">
        <v>3247.5119629999999</v>
      </c>
      <c r="D52">
        <v>3061.140625</v>
      </c>
      <c r="E52">
        <v>3238.1115719999998</v>
      </c>
      <c r="F52">
        <v>3238.1115719999998</v>
      </c>
      <c r="G52">
        <v>15211447193</v>
      </c>
      <c r="H52">
        <v>41819.507812999997</v>
      </c>
      <c r="I52">
        <v>43001.15625</v>
      </c>
      <c r="J52">
        <v>41407.753905999998</v>
      </c>
      <c r="K52">
        <v>42735.855469000002</v>
      </c>
      <c r="L52">
        <v>42735.855469000002</v>
      </c>
      <c r="M52">
        <v>26327648900</v>
      </c>
      <c r="N52">
        <v>1.0001789999999999</v>
      </c>
      <c r="O52">
        <v>1.0005200000000001</v>
      </c>
      <c r="P52">
        <v>1.000019</v>
      </c>
      <c r="Q52">
        <v>1.000362</v>
      </c>
      <c r="R52">
        <v>1.000362</v>
      </c>
      <c r="S52">
        <v>59061400900</v>
      </c>
      <c r="T52">
        <v>1.000354</v>
      </c>
      <c r="U52">
        <v>1.001161</v>
      </c>
      <c r="V52">
        <v>0.99907500000000005</v>
      </c>
      <c r="W52">
        <v>1.000216</v>
      </c>
      <c r="X52">
        <v>1.000216</v>
      </c>
      <c r="Y52">
        <v>3645526457</v>
      </c>
      <c r="Z52">
        <v>1.1278570000000001</v>
      </c>
      <c r="AA52">
        <v>1.1936150000000001</v>
      </c>
      <c r="AB52">
        <v>1.125648</v>
      </c>
      <c r="AC52">
        <v>1.1851100000000001</v>
      </c>
      <c r="AD52">
        <v>1.1851100000000001</v>
      </c>
      <c r="AE52">
        <v>1089929557</v>
      </c>
      <c r="AK52" s="1">
        <v>44572</v>
      </c>
      <c r="AL52">
        <f t="shared" si="0"/>
        <v>3082.9909670000002</v>
      </c>
      <c r="AM52">
        <f>INDEX(A:AE,MATCH(AK52,worksheet!A:A,0),MATCH(worksheet!AM51,worksheet!A51:AE51,0))</f>
        <v>41819.507812999997</v>
      </c>
      <c r="AN52">
        <f>INDEX(A:AE,MATCH(AK52,worksheet!A:A,0),MATCH(worksheet!AN51,worksheet!A51:AE51,0))</f>
        <v>1.1278570000000001</v>
      </c>
      <c r="AO52">
        <f>INDEX(A:AE,MATCH(AK52,worksheet!A:A,0),MATCH(worksheet!AO51,worksheet!A51:AE51,0))</f>
        <v>1.0001789999999999</v>
      </c>
      <c r="AP52">
        <f>INDEX(A:AE,MATCH(AK52,worksheet!A:A,0),MATCH(worksheet!AP51,worksheet!A51:AE51,0))</f>
        <v>1.000354</v>
      </c>
    </row>
    <row r="53" spans="1:42" x14ac:dyDescent="0.25">
      <c r="A53" s="1">
        <v>44573</v>
      </c>
      <c r="B53">
        <v>3238.4499510000001</v>
      </c>
      <c r="C53">
        <v>3401.219971</v>
      </c>
      <c r="D53">
        <v>3216.718018</v>
      </c>
      <c r="E53">
        <v>3372.2583009999998</v>
      </c>
      <c r="F53">
        <v>3372.2583009999998</v>
      </c>
      <c r="G53">
        <v>16662871689</v>
      </c>
      <c r="H53">
        <v>42742.179687999997</v>
      </c>
      <c r="I53">
        <v>44135.367187999997</v>
      </c>
      <c r="J53">
        <v>42528.988280999998</v>
      </c>
      <c r="K53">
        <v>43949.101562999997</v>
      </c>
      <c r="L53">
        <v>43949.101562999997</v>
      </c>
      <c r="M53">
        <v>33499938689</v>
      </c>
      <c r="N53">
        <v>1.0003690000000001</v>
      </c>
      <c r="O53">
        <v>1.000713</v>
      </c>
      <c r="P53">
        <v>1.00021</v>
      </c>
      <c r="Q53">
        <v>1.0002899999999999</v>
      </c>
      <c r="R53">
        <v>1.0002899999999999</v>
      </c>
      <c r="S53">
        <v>62300703831</v>
      </c>
      <c r="T53">
        <v>1.0002249999999999</v>
      </c>
      <c r="U53">
        <v>1.000821</v>
      </c>
      <c r="V53">
        <v>0.99915500000000002</v>
      </c>
      <c r="W53">
        <v>0.99979899999999999</v>
      </c>
      <c r="X53">
        <v>0.99979899999999999</v>
      </c>
      <c r="Y53">
        <v>3486307844</v>
      </c>
      <c r="Z53">
        <v>1.185551</v>
      </c>
      <c r="AA53">
        <v>1.306346</v>
      </c>
      <c r="AB53">
        <v>1.185551</v>
      </c>
      <c r="AC53">
        <v>1.304535</v>
      </c>
      <c r="AD53">
        <v>1.304535</v>
      </c>
      <c r="AE53">
        <v>1651269250</v>
      </c>
      <c r="AK53" s="1">
        <v>44573</v>
      </c>
      <c r="AL53">
        <f t="shared" si="0"/>
        <v>3238.4499510000001</v>
      </c>
      <c r="AM53">
        <f>INDEX(A:AE,MATCH(AK53,worksheet!A:A,0),MATCH(worksheet!AM52,worksheet!A52:AE52,0))</f>
        <v>42742.179687999997</v>
      </c>
      <c r="AN53">
        <f>INDEX(A:AE,MATCH(AK53,worksheet!A:A,0),MATCH(worksheet!AN52,worksheet!A52:AE52,0))</f>
        <v>1.185551</v>
      </c>
      <c r="AO53">
        <f>INDEX(A:AE,MATCH(AK53,worksheet!A:A,0),MATCH(worksheet!AO52,worksheet!A52:AE52,0))</f>
        <v>1.0003690000000001</v>
      </c>
      <c r="AP53">
        <f>INDEX(A:AE,MATCH(AK53,worksheet!A:A,0),MATCH(worksheet!AP52,worksheet!A52:AE52,0))</f>
        <v>1.0002249999999999</v>
      </c>
    </row>
    <row r="54" spans="1:42" x14ac:dyDescent="0.25">
      <c r="A54" s="1">
        <v>44574</v>
      </c>
      <c r="B54">
        <v>3372.1049800000001</v>
      </c>
      <c r="C54">
        <v>3396.9697270000001</v>
      </c>
      <c r="D54">
        <v>3247.9174800000001</v>
      </c>
      <c r="E54">
        <v>3248.2885740000002</v>
      </c>
      <c r="F54">
        <v>3248.2885740000002</v>
      </c>
      <c r="G54">
        <v>15294466275</v>
      </c>
      <c r="H54">
        <v>43946.742187999997</v>
      </c>
      <c r="I54">
        <v>44278.421875</v>
      </c>
      <c r="J54">
        <v>42447.042969000002</v>
      </c>
      <c r="K54">
        <v>42591.570312999997</v>
      </c>
      <c r="L54">
        <v>42591.570312999997</v>
      </c>
      <c r="M54">
        <v>47691135082</v>
      </c>
      <c r="N54">
        <v>1.0002869999999999</v>
      </c>
      <c r="O54">
        <v>1.0007630000000001</v>
      </c>
      <c r="P54">
        <v>1.000262</v>
      </c>
      <c r="Q54">
        <v>1.000405</v>
      </c>
      <c r="R54">
        <v>1.000405</v>
      </c>
      <c r="S54">
        <v>63231903910</v>
      </c>
      <c r="T54">
        <v>0.99978599999999995</v>
      </c>
      <c r="U54">
        <v>1.0009779999999999</v>
      </c>
      <c r="V54">
        <v>0.99899700000000002</v>
      </c>
      <c r="W54">
        <v>0.99902500000000005</v>
      </c>
      <c r="X54">
        <v>0.99902500000000005</v>
      </c>
      <c r="Y54">
        <v>3601566982</v>
      </c>
      <c r="Z54">
        <v>1.304656</v>
      </c>
      <c r="AA54">
        <v>1.3509949999999999</v>
      </c>
      <c r="AB54">
        <v>1.233161</v>
      </c>
      <c r="AC54">
        <v>1.233161</v>
      </c>
      <c r="AD54">
        <v>1.233161</v>
      </c>
      <c r="AE54">
        <v>2022506483</v>
      </c>
      <c r="AK54" s="1">
        <v>44574</v>
      </c>
      <c r="AL54">
        <f t="shared" si="0"/>
        <v>3372.1049800000001</v>
      </c>
      <c r="AM54">
        <f>INDEX(A:AE,MATCH(AK54,worksheet!A:A,0),MATCH(worksheet!AM53,worksheet!A53:AE53,0))</f>
        <v>43946.742187999997</v>
      </c>
      <c r="AN54">
        <f>INDEX(A:AE,MATCH(AK54,worksheet!A:A,0),MATCH(worksheet!AN53,worksheet!A53:AE53,0))</f>
        <v>1.304656</v>
      </c>
      <c r="AO54">
        <f>INDEX(A:AE,MATCH(AK54,worksheet!A:A,0),MATCH(worksheet!AO53,worksheet!A53:AE53,0))</f>
        <v>1.0002869999999999</v>
      </c>
      <c r="AP54">
        <f>INDEX(A:AE,MATCH(AK54,worksheet!A:A,0),MATCH(worksheet!AP53,worksheet!A53:AE53,0))</f>
        <v>0.99978599999999995</v>
      </c>
    </row>
    <row r="55" spans="1:42" x14ac:dyDescent="0.25">
      <c r="A55" s="1">
        <v>44575</v>
      </c>
      <c r="B55">
        <v>3248.648682</v>
      </c>
      <c r="C55">
        <v>3330.7661130000001</v>
      </c>
      <c r="D55">
        <v>3203.8237300000001</v>
      </c>
      <c r="E55">
        <v>3310.0014649999998</v>
      </c>
      <c r="F55">
        <v>3310.0014649999998</v>
      </c>
      <c r="G55">
        <v>13562957230</v>
      </c>
      <c r="H55">
        <v>42598.871094000002</v>
      </c>
      <c r="I55">
        <v>43346.6875</v>
      </c>
      <c r="J55">
        <v>41982.617187999997</v>
      </c>
      <c r="K55">
        <v>43099.699219000002</v>
      </c>
      <c r="L55">
        <v>43099.699219000002</v>
      </c>
      <c r="M55">
        <v>23577403399</v>
      </c>
      <c r="N55">
        <v>1.0004109999999999</v>
      </c>
      <c r="O55">
        <v>1.0007569999999999</v>
      </c>
      <c r="P55">
        <v>1.000162</v>
      </c>
      <c r="Q55">
        <v>1.000283</v>
      </c>
      <c r="R55">
        <v>1.000283</v>
      </c>
      <c r="S55">
        <v>60503324000</v>
      </c>
      <c r="T55">
        <v>0.99909499999999996</v>
      </c>
      <c r="U55">
        <v>1.0007550000000001</v>
      </c>
      <c r="V55">
        <v>0.99909499999999996</v>
      </c>
      <c r="W55">
        <v>1.0000340000000001</v>
      </c>
      <c r="X55">
        <v>1.0000340000000001</v>
      </c>
      <c r="Y55">
        <v>4005995393</v>
      </c>
      <c r="Z55">
        <v>1.2333700000000001</v>
      </c>
      <c r="AA55">
        <v>1.306503</v>
      </c>
      <c r="AB55">
        <v>1.2271049999999999</v>
      </c>
      <c r="AC55">
        <v>1.290926</v>
      </c>
      <c r="AD55">
        <v>1.290926</v>
      </c>
      <c r="AE55">
        <v>1855980787</v>
      </c>
      <c r="AK55" s="1">
        <v>44575</v>
      </c>
      <c r="AL55">
        <f t="shared" si="0"/>
        <v>3248.648682</v>
      </c>
      <c r="AM55">
        <f>INDEX(A:AE,MATCH(AK55,worksheet!A:A,0),MATCH(worksheet!AM54,worksheet!A54:AE54,0))</f>
        <v>42598.871094000002</v>
      </c>
      <c r="AN55">
        <f>INDEX(A:AE,MATCH(AK55,worksheet!A:A,0),MATCH(worksheet!AN54,worksheet!A54:AE54,0))</f>
        <v>1.2333700000000001</v>
      </c>
      <c r="AO55">
        <f>INDEX(A:AE,MATCH(AK55,worksheet!A:A,0),MATCH(worksheet!AO54,worksheet!A54:AE54,0))</f>
        <v>1.0004109999999999</v>
      </c>
      <c r="AP55">
        <f>INDEX(A:AE,MATCH(AK55,worksheet!A:A,0),MATCH(worksheet!AP54,worksheet!A54:AE54,0))</f>
        <v>0.99909499999999996</v>
      </c>
    </row>
    <row r="56" spans="1:42" x14ac:dyDescent="0.25">
      <c r="A56" s="1">
        <v>44576</v>
      </c>
      <c r="B56">
        <v>3309.8442380000001</v>
      </c>
      <c r="C56">
        <v>3364.5378420000002</v>
      </c>
      <c r="D56">
        <v>3278.6708979999999</v>
      </c>
      <c r="E56">
        <v>3330.5307619999999</v>
      </c>
      <c r="F56">
        <v>3330.5307619999999</v>
      </c>
      <c r="G56">
        <v>9619999078</v>
      </c>
      <c r="H56">
        <v>43101.898437999997</v>
      </c>
      <c r="I56">
        <v>43724.671875</v>
      </c>
      <c r="J56">
        <v>42669.035155999998</v>
      </c>
      <c r="K56">
        <v>43177.398437999997</v>
      </c>
      <c r="L56">
        <v>43177.398437999997</v>
      </c>
      <c r="M56">
        <v>18371348298</v>
      </c>
      <c r="N56">
        <v>1.0003010000000001</v>
      </c>
      <c r="O56">
        <v>1.0009399999999999</v>
      </c>
      <c r="P56">
        <v>1.0002219999999999</v>
      </c>
      <c r="Q56">
        <v>1.000642</v>
      </c>
      <c r="R56">
        <v>1.000642</v>
      </c>
      <c r="S56">
        <v>41922988280</v>
      </c>
      <c r="T56">
        <v>1.000054</v>
      </c>
      <c r="U56">
        <v>1.000623</v>
      </c>
      <c r="V56">
        <v>0.99913300000000005</v>
      </c>
      <c r="W56">
        <v>0.99948199999999998</v>
      </c>
      <c r="X56">
        <v>0.99948199999999998</v>
      </c>
      <c r="Y56">
        <v>2837817560</v>
      </c>
      <c r="Z56">
        <v>1.2910889999999999</v>
      </c>
      <c r="AA56">
        <v>1.3155870000000001</v>
      </c>
      <c r="AB56">
        <v>1.257258</v>
      </c>
      <c r="AC56">
        <v>1.2962629999999999</v>
      </c>
      <c r="AD56">
        <v>1.2962629999999999</v>
      </c>
      <c r="AE56">
        <v>967735764</v>
      </c>
      <c r="AK56" s="1">
        <v>44576</v>
      </c>
      <c r="AL56">
        <f t="shared" si="0"/>
        <v>3309.8442380000001</v>
      </c>
      <c r="AM56">
        <f>INDEX(A:AE,MATCH(AK56,worksheet!A:A,0),MATCH(worksheet!AM55,worksheet!A55:AE55,0))</f>
        <v>43101.898437999997</v>
      </c>
      <c r="AN56">
        <f>INDEX(A:AE,MATCH(AK56,worksheet!A:A,0),MATCH(worksheet!AN55,worksheet!A55:AE55,0))</f>
        <v>1.2910889999999999</v>
      </c>
      <c r="AO56">
        <f>INDEX(A:AE,MATCH(AK56,worksheet!A:A,0),MATCH(worksheet!AO55,worksheet!A55:AE55,0))</f>
        <v>1.0003010000000001</v>
      </c>
      <c r="AP56">
        <f>INDEX(A:AE,MATCH(AK56,worksheet!A:A,0),MATCH(worksheet!AP55,worksheet!A55:AE55,0))</f>
        <v>1.000054</v>
      </c>
    </row>
    <row r="57" spans="1:42" x14ac:dyDescent="0.25">
      <c r="A57" s="1">
        <v>44577</v>
      </c>
      <c r="B57">
        <v>3330.3872070000002</v>
      </c>
      <c r="C57">
        <v>3376.4011230000001</v>
      </c>
      <c r="D57">
        <v>3291.563721</v>
      </c>
      <c r="E57">
        <v>3350.921875</v>
      </c>
      <c r="F57">
        <v>3350.921875</v>
      </c>
      <c r="G57">
        <v>9505934874</v>
      </c>
      <c r="H57">
        <v>43172.039062999997</v>
      </c>
      <c r="I57">
        <v>43436.808594000002</v>
      </c>
      <c r="J57">
        <v>42691.023437999997</v>
      </c>
      <c r="K57">
        <v>43113.878905999998</v>
      </c>
      <c r="L57">
        <v>43113.878905999998</v>
      </c>
      <c r="M57">
        <v>17902097845</v>
      </c>
      <c r="N57">
        <v>1.0007269999999999</v>
      </c>
      <c r="O57">
        <v>1.000818</v>
      </c>
      <c r="P57">
        <v>1.000243</v>
      </c>
      <c r="Q57">
        <v>1.0004169999999999</v>
      </c>
      <c r="R57">
        <v>1.0004169999999999</v>
      </c>
      <c r="S57">
        <v>41551382127</v>
      </c>
      <c r="T57">
        <v>0.99949399999999999</v>
      </c>
      <c r="U57">
        <v>1.0007550000000001</v>
      </c>
      <c r="V57">
        <v>0.99907199999999996</v>
      </c>
      <c r="W57">
        <v>0.99969200000000003</v>
      </c>
      <c r="X57">
        <v>0.99969200000000003</v>
      </c>
      <c r="Y57">
        <v>2296999988</v>
      </c>
      <c r="Z57">
        <v>1.295933</v>
      </c>
      <c r="AA57">
        <v>1.420641</v>
      </c>
      <c r="AB57">
        <v>1.2911589999999999</v>
      </c>
      <c r="AC57">
        <v>1.407251</v>
      </c>
      <c r="AD57">
        <v>1.407251</v>
      </c>
      <c r="AE57">
        <v>2436680646</v>
      </c>
      <c r="AK57" s="1">
        <v>44577</v>
      </c>
      <c r="AL57">
        <f t="shared" si="0"/>
        <v>3330.3872070000002</v>
      </c>
      <c r="AM57">
        <f>INDEX(A:AE,MATCH(AK57,worksheet!A:A,0),MATCH(worksheet!AM56,worksheet!A56:AE56,0))</f>
        <v>43172.039062999997</v>
      </c>
      <c r="AN57">
        <f>INDEX(A:AE,MATCH(AK57,worksheet!A:A,0),MATCH(worksheet!AN56,worksheet!A56:AE56,0))</f>
        <v>1.295933</v>
      </c>
      <c r="AO57">
        <f>INDEX(A:AE,MATCH(AK57,worksheet!A:A,0),MATCH(worksheet!AO56,worksheet!A56:AE56,0))</f>
        <v>1.0007269999999999</v>
      </c>
      <c r="AP57">
        <f>INDEX(A:AE,MATCH(AK57,worksheet!A:A,0),MATCH(worksheet!AP56,worksheet!A56:AE56,0))</f>
        <v>0.99949399999999999</v>
      </c>
    </row>
    <row r="58" spans="1:42" x14ac:dyDescent="0.25">
      <c r="A58" s="1">
        <v>44578</v>
      </c>
      <c r="B58">
        <v>3350.9472660000001</v>
      </c>
      <c r="C58">
        <v>3355.819336</v>
      </c>
      <c r="D58">
        <v>3157.2241210000002</v>
      </c>
      <c r="E58">
        <v>3212.304932</v>
      </c>
      <c r="F58">
        <v>3212.304932</v>
      </c>
      <c r="G58">
        <v>12344309617</v>
      </c>
      <c r="H58">
        <v>43118.121094000002</v>
      </c>
      <c r="I58">
        <v>43179.390625</v>
      </c>
      <c r="J58">
        <v>41680.320312999997</v>
      </c>
      <c r="K58">
        <v>42250.550780999998</v>
      </c>
      <c r="L58">
        <v>42250.550780999998</v>
      </c>
      <c r="M58">
        <v>21690904261</v>
      </c>
      <c r="N58">
        <v>1.000434</v>
      </c>
      <c r="O58">
        <v>1.0006489999999999</v>
      </c>
      <c r="P58">
        <v>1.0002180000000001</v>
      </c>
      <c r="Q58">
        <v>1.0003679999999999</v>
      </c>
      <c r="R58">
        <v>1.0003679999999999</v>
      </c>
      <c r="S58">
        <v>51430977642</v>
      </c>
      <c r="T58">
        <v>0.99975000000000003</v>
      </c>
      <c r="U58">
        <v>1.0008999999999999</v>
      </c>
      <c r="V58">
        <v>0.99920500000000001</v>
      </c>
      <c r="W58">
        <v>0.99967899999999998</v>
      </c>
      <c r="X58">
        <v>0.99967899999999998</v>
      </c>
      <c r="Y58">
        <v>3025152126</v>
      </c>
      <c r="Z58">
        <v>1.40821</v>
      </c>
      <c r="AA58">
        <v>1.594131</v>
      </c>
      <c r="AB58">
        <v>1.390763</v>
      </c>
      <c r="AC58">
        <v>1.594131</v>
      </c>
      <c r="AD58">
        <v>1.594131</v>
      </c>
      <c r="AE58">
        <v>5285117130</v>
      </c>
      <c r="AK58" s="1">
        <v>44578</v>
      </c>
      <c r="AL58">
        <f t="shared" si="0"/>
        <v>3350.9472660000001</v>
      </c>
      <c r="AM58">
        <f>INDEX(A:AE,MATCH(AK58,worksheet!A:A,0),MATCH(worksheet!AM57,worksheet!A57:AE57,0))</f>
        <v>43118.121094000002</v>
      </c>
      <c r="AN58">
        <f>INDEX(A:AE,MATCH(AK58,worksheet!A:A,0),MATCH(worksheet!AN57,worksheet!A57:AE57,0))</f>
        <v>1.40821</v>
      </c>
      <c r="AO58">
        <f>INDEX(A:AE,MATCH(AK58,worksheet!A:A,0),MATCH(worksheet!AO57,worksheet!A57:AE57,0))</f>
        <v>1.000434</v>
      </c>
      <c r="AP58">
        <f>INDEX(A:AE,MATCH(AK58,worksheet!A:A,0),MATCH(worksheet!AP57,worksheet!A57:AE57,0))</f>
        <v>0.99975000000000003</v>
      </c>
    </row>
    <row r="59" spans="1:42" x14ac:dyDescent="0.25">
      <c r="A59" s="1">
        <v>44579</v>
      </c>
      <c r="B59">
        <v>3212.2875979999999</v>
      </c>
      <c r="C59">
        <v>3236.0161130000001</v>
      </c>
      <c r="D59">
        <v>3096.1235350000002</v>
      </c>
      <c r="E59">
        <v>3164.0251459999999</v>
      </c>
      <c r="F59">
        <v>3164.0251459999999</v>
      </c>
      <c r="G59">
        <v>13024154091</v>
      </c>
      <c r="H59">
        <v>42250.074219000002</v>
      </c>
      <c r="I59">
        <v>42534.402344000002</v>
      </c>
      <c r="J59">
        <v>41392.214844000002</v>
      </c>
      <c r="K59">
        <v>42375.632812999997</v>
      </c>
      <c r="L59">
        <v>42375.632812999997</v>
      </c>
      <c r="M59">
        <v>22417209227</v>
      </c>
      <c r="N59">
        <v>1.000351</v>
      </c>
      <c r="O59">
        <v>1.0009969999999999</v>
      </c>
      <c r="P59">
        <v>1.0001739999999999</v>
      </c>
      <c r="Q59">
        <v>1.0004200000000001</v>
      </c>
      <c r="R59">
        <v>1.0004200000000001</v>
      </c>
      <c r="S59">
        <v>52799723207</v>
      </c>
      <c r="T59">
        <v>0.99966900000000003</v>
      </c>
      <c r="U59">
        <v>1.000953</v>
      </c>
      <c r="V59">
        <v>0.99916000000000005</v>
      </c>
      <c r="W59">
        <v>1.000105</v>
      </c>
      <c r="X59">
        <v>1.000105</v>
      </c>
      <c r="Y59">
        <v>3223501722</v>
      </c>
      <c r="Z59">
        <v>1.5964799999999999</v>
      </c>
      <c r="AA59">
        <v>1.6312979999999999</v>
      </c>
      <c r="AB59">
        <v>1.418237</v>
      </c>
      <c r="AC59">
        <v>1.465541</v>
      </c>
      <c r="AD59">
        <v>1.465541</v>
      </c>
      <c r="AE59">
        <v>4287066351</v>
      </c>
      <c r="AK59" s="1">
        <v>44579</v>
      </c>
      <c r="AL59">
        <f t="shared" si="0"/>
        <v>3212.2875979999999</v>
      </c>
      <c r="AM59">
        <f>INDEX(A:AE,MATCH(AK59,worksheet!A:A,0),MATCH(worksheet!AM58,worksheet!A58:AE58,0))</f>
        <v>42250.074219000002</v>
      </c>
      <c r="AN59">
        <f>INDEX(A:AE,MATCH(AK59,worksheet!A:A,0),MATCH(worksheet!AN58,worksheet!A58:AE58,0))</f>
        <v>1.5964799999999999</v>
      </c>
      <c r="AO59">
        <f>INDEX(A:AE,MATCH(AK59,worksheet!A:A,0),MATCH(worksheet!AO58,worksheet!A58:AE58,0))</f>
        <v>1.000351</v>
      </c>
      <c r="AP59">
        <f>INDEX(A:AE,MATCH(AK59,worksheet!A:A,0),MATCH(worksheet!AP58,worksheet!A58:AE58,0))</f>
        <v>0.99966900000000003</v>
      </c>
    </row>
    <row r="60" spans="1:42" x14ac:dyDescent="0.25">
      <c r="A60" s="1">
        <v>44580</v>
      </c>
      <c r="B60">
        <v>3163.8503420000002</v>
      </c>
      <c r="C60">
        <v>3171.1584469999998</v>
      </c>
      <c r="D60">
        <v>3055.2124020000001</v>
      </c>
      <c r="E60">
        <v>3095.8259280000002</v>
      </c>
      <c r="F60">
        <v>3095.8259280000002</v>
      </c>
      <c r="G60">
        <v>13187424144</v>
      </c>
      <c r="H60">
        <v>42374.039062999997</v>
      </c>
      <c r="I60">
        <v>42478.304687999997</v>
      </c>
      <c r="J60">
        <v>41242.914062999997</v>
      </c>
      <c r="K60">
        <v>41744.328125</v>
      </c>
      <c r="L60">
        <v>41744.328125</v>
      </c>
      <c r="M60">
        <v>23091543258</v>
      </c>
      <c r="N60">
        <v>1.000413</v>
      </c>
      <c r="O60">
        <v>1.0010410000000001</v>
      </c>
      <c r="P60">
        <v>1.0001899999999999</v>
      </c>
      <c r="Q60">
        <v>1.0004900000000001</v>
      </c>
      <c r="R60">
        <v>1.0004900000000001</v>
      </c>
      <c r="S60">
        <v>50127231375</v>
      </c>
      <c r="T60">
        <v>1.0000979999999999</v>
      </c>
      <c r="U60">
        <v>1.000758</v>
      </c>
      <c r="V60">
        <v>0.99913799999999997</v>
      </c>
      <c r="W60">
        <v>1.0003310000000001</v>
      </c>
      <c r="X60">
        <v>1.0003310000000001</v>
      </c>
      <c r="Y60">
        <v>3239858099</v>
      </c>
      <c r="Z60">
        <v>1.4649460000000001</v>
      </c>
      <c r="AA60">
        <v>1.5311110000000001</v>
      </c>
      <c r="AB60">
        <v>1.3314779999999999</v>
      </c>
      <c r="AC60">
        <v>1.3417570000000001</v>
      </c>
      <c r="AD60">
        <v>1.3417570000000001</v>
      </c>
      <c r="AE60">
        <v>3304139176</v>
      </c>
      <c r="AK60" s="1">
        <v>44580</v>
      </c>
      <c r="AL60">
        <f t="shared" si="0"/>
        <v>3163.8503420000002</v>
      </c>
      <c r="AM60">
        <f>INDEX(A:AE,MATCH(AK60,worksheet!A:A,0),MATCH(worksheet!AM59,worksheet!A59:AE59,0))</f>
        <v>42374.039062999997</v>
      </c>
      <c r="AN60">
        <f>INDEX(A:AE,MATCH(AK60,worksheet!A:A,0),MATCH(worksheet!AN59,worksheet!A59:AE59,0))</f>
        <v>1.4649460000000001</v>
      </c>
      <c r="AO60">
        <f>INDEX(A:AE,MATCH(AK60,worksheet!A:A,0),MATCH(worksheet!AO59,worksheet!A59:AE59,0))</f>
        <v>1.000413</v>
      </c>
      <c r="AP60">
        <f>INDEX(A:AE,MATCH(AK60,worksheet!A:A,0),MATCH(worksheet!AP59,worksheet!A59:AE59,0))</f>
        <v>1.0000979999999999</v>
      </c>
    </row>
    <row r="61" spans="1:42" x14ac:dyDescent="0.25">
      <c r="A61" s="1">
        <v>44581</v>
      </c>
      <c r="B61">
        <v>3095.2717290000001</v>
      </c>
      <c r="C61">
        <v>3265.336914</v>
      </c>
      <c r="D61">
        <v>3000.908203</v>
      </c>
      <c r="E61">
        <v>3001.1201169999999</v>
      </c>
      <c r="F61">
        <v>3001.1201169999999</v>
      </c>
      <c r="G61">
        <v>10645922764</v>
      </c>
      <c r="H61">
        <v>41744.027344000002</v>
      </c>
      <c r="I61">
        <v>43413.023437999997</v>
      </c>
      <c r="J61">
        <v>40672.824219000002</v>
      </c>
      <c r="K61">
        <v>40680.417969000002</v>
      </c>
      <c r="L61">
        <v>40680.417969000002</v>
      </c>
      <c r="M61">
        <v>20382033940</v>
      </c>
      <c r="N61">
        <v>1.00048</v>
      </c>
      <c r="O61">
        <v>1.0008900000000001</v>
      </c>
      <c r="P61">
        <v>1.0000709999999999</v>
      </c>
      <c r="Q61">
        <v>1.000257</v>
      </c>
      <c r="R61">
        <v>1.000257</v>
      </c>
      <c r="S61">
        <v>38591713522</v>
      </c>
      <c r="T61">
        <v>1.0003359999999999</v>
      </c>
      <c r="U61">
        <v>1.0013019999999999</v>
      </c>
      <c r="V61">
        <v>0.99892599999999998</v>
      </c>
      <c r="W61">
        <v>1.0004120000000001</v>
      </c>
      <c r="X61">
        <v>1.0004120000000001</v>
      </c>
      <c r="Y61">
        <v>3125580294</v>
      </c>
      <c r="Z61">
        <v>1.3416539999999999</v>
      </c>
      <c r="AA61">
        <v>1.423338</v>
      </c>
      <c r="AB61">
        <v>1.257876</v>
      </c>
      <c r="AC61">
        <v>1.2580549999999999</v>
      </c>
      <c r="AD61">
        <v>1.2580549999999999</v>
      </c>
      <c r="AE61">
        <v>1686210420</v>
      </c>
      <c r="AK61" s="1">
        <v>44581</v>
      </c>
      <c r="AL61">
        <f t="shared" si="0"/>
        <v>3095.2717290000001</v>
      </c>
      <c r="AM61">
        <f>INDEX(A:AE,MATCH(AK61,worksheet!A:A,0),MATCH(worksheet!AM60,worksheet!A60:AE60,0))</f>
        <v>41744.027344000002</v>
      </c>
      <c r="AN61">
        <f>INDEX(A:AE,MATCH(AK61,worksheet!A:A,0),MATCH(worksheet!AN60,worksheet!A60:AE60,0))</f>
        <v>1.3416539999999999</v>
      </c>
      <c r="AO61">
        <f>INDEX(A:AE,MATCH(AK61,worksheet!A:A,0),MATCH(worksheet!AO60,worksheet!A60:AE60,0))</f>
        <v>1.00048</v>
      </c>
      <c r="AP61">
        <f>INDEX(A:AE,MATCH(AK61,worksheet!A:A,0),MATCH(worksheet!AP60,worksheet!A60:AE60,0))</f>
        <v>1.0003359999999999</v>
      </c>
    </row>
    <row r="62" spans="1:42" x14ac:dyDescent="0.25">
      <c r="A62" s="1">
        <v>44582</v>
      </c>
      <c r="B62">
        <v>3002.9567870000001</v>
      </c>
      <c r="C62">
        <v>3029.0810550000001</v>
      </c>
      <c r="D62">
        <v>2496.8129880000001</v>
      </c>
      <c r="E62">
        <v>2557.9316410000001</v>
      </c>
      <c r="F62">
        <v>2557.9316410000001</v>
      </c>
      <c r="G62">
        <v>26796291874</v>
      </c>
      <c r="H62">
        <v>40699.605469000002</v>
      </c>
      <c r="I62">
        <v>41060.527344000002</v>
      </c>
      <c r="J62">
        <v>35791.425780999998</v>
      </c>
      <c r="K62">
        <v>36457.316405999998</v>
      </c>
      <c r="L62">
        <v>36457.316405999998</v>
      </c>
      <c r="M62">
        <v>43011992031</v>
      </c>
      <c r="N62">
        <v>1.0002500000000001</v>
      </c>
      <c r="O62">
        <v>1.0007200000000001</v>
      </c>
      <c r="P62">
        <v>1.000013</v>
      </c>
      <c r="Q62">
        <v>1.0001770000000001</v>
      </c>
      <c r="R62">
        <v>1.0001770000000001</v>
      </c>
      <c r="S62">
        <v>86570105642</v>
      </c>
      <c r="T62">
        <v>1.000488</v>
      </c>
      <c r="U62">
        <v>1.001214</v>
      </c>
      <c r="V62">
        <v>0.998996</v>
      </c>
      <c r="W62">
        <v>1.0004409999999999</v>
      </c>
      <c r="X62">
        <v>1.0004409999999999</v>
      </c>
      <c r="Y62">
        <v>7940219543</v>
      </c>
      <c r="Z62">
        <v>1.2588029999999999</v>
      </c>
      <c r="AA62">
        <v>1.2797780000000001</v>
      </c>
      <c r="AB62">
        <v>1.1091660000000001</v>
      </c>
      <c r="AC62">
        <v>1.1232329999999999</v>
      </c>
      <c r="AD62">
        <v>1.1232329999999999</v>
      </c>
      <c r="AE62">
        <v>3009627794</v>
      </c>
      <c r="AK62" s="1">
        <v>44582</v>
      </c>
      <c r="AL62">
        <f t="shared" si="0"/>
        <v>3002.9567870000001</v>
      </c>
      <c r="AM62">
        <f>INDEX(A:AE,MATCH(AK62,worksheet!A:A,0),MATCH(worksheet!AM61,worksheet!A61:AE61,0))</f>
        <v>40699.605469000002</v>
      </c>
      <c r="AN62">
        <f>INDEX(A:AE,MATCH(AK62,worksheet!A:A,0),MATCH(worksheet!AN61,worksheet!A61:AE61,0))</f>
        <v>1.2588029999999999</v>
      </c>
      <c r="AO62">
        <f>INDEX(A:AE,MATCH(AK62,worksheet!A:A,0),MATCH(worksheet!AO61,worksheet!A61:AE61,0))</f>
        <v>1.0002500000000001</v>
      </c>
      <c r="AP62">
        <f>INDEX(A:AE,MATCH(AK62,worksheet!A:A,0),MATCH(worksheet!AP61,worksheet!A61:AE61,0))</f>
        <v>1.000488</v>
      </c>
    </row>
    <row r="63" spans="1:42" x14ac:dyDescent="0.25">
      <c r="A63" s="1">
        <v>44583</v>
      </c>
      <c r="B63">
        <v>2561.1452640000002</v>
      </c>
      <c r="C63">
        <v>2615.2473140000002</v>
      </c>
      <c r="D63">
        <v>2330.2473140000002</v>
      </c>
      <c r="E63">
        <v>2405.1811520000001</v>
      </c>
      <c r="F63">
        <v>2405.1811520000001</v>
      </c>
      <c r="G63">
        <v>27369692036</v>
      </c>
      <c r="H63">
        <v>36471.589844000002</v>
      </c>
      <c r="I63">
        <v>36688.8125</v>
      </c>
      <c r="J63">
        <v>34349.25</v>
      </c>
      <c r="K63">
        <v>35030.25</v>
      </c>
      <c r="L63">
        <v>35030.25</v>
      </c>
      <c r="M63">
        <v>39714385405</v>
      </c>
      <c r="N63">
        <v>1.0001819999999999</v>
      </c>
      <c r="O63">
        <v>1.0009410000000001</v>
      </c>
      <c r="P63">
        <v>1.000073</v>
      </c>
      <c r="Q63">
        <v>1.0001580000000001</v>
      </c>
      <c r="R63">
        <v>1.0001580000000001</v>
      </c>
      <c r="S63">
        <v>90441827607</v>
      </c>
      <c r="T63">
        <v>1.0004390000000001</v>
      </c>
      <c r="U63">
        <v>1.0007550000000001</v>
      </c>
      <c r="V63">
        <v>0.99898500000000001</v>
      </c>
      <c r="W63">
        <v>1.000032</v>
      </c>
      <c r="X63">
        <v>1.000032</v>
      </c>
      <c r="Y63">
        <v>6945199430</v>
      </c>
      <c r="Z63">
        <v>1.1230789999999999</v>
      </c>
      <c r="AA63">
        <v>1.1521950000000001</v>
      </c>
      <c r="AB63">
        <v>0.93339700000000003</v>
      </c>
      <c r="AC63">
        <v>1.066716</v>
      </c>
      <c r="AD63">
        <v>1.066716</v>
      </c>
      <c r="AE63">
        <v>3930474859</v>
      </c>
      <c r="AK63" s="1">
        <v>44583</v>
      </c>
      <c r="AL63">
        <f t="shared" si="0"/>
        <v>2561.1452640000002</v>
      </c>
      <c r="AM63">
        <f>INDEX(A:AE,MATCH(AK63,worksheet!A:A,0),MATCH(worksheet!AM62,worksheet!A62:AE62,0))</f>
        <v>36471.589844000002</v>
      </c>
      <c r="AN63">
        <f>INDEX(A:AE,MATCH(AK63,worksheet!A:A,0),MATCH(worksheet!AN62,worksheet!A62:AE62,0))</f>
        <v>1.1230789999999999</v>
      </c>
      <c r="AO63">
        <f>INDEX(A:AE,MATCH(AK63,worksheet!A:A,0),MATCH(worksheet!AO62,worksheet!A62:AE62,0))</f>
        <v>1.0001819999999999</v>
      </c>
      <c r="AP63">
        <f>INDEX(A:AE,MATCH(AK63,worksheet!A:A,0),MATCH(worksheet!AP62,worksheet!A62:AE62,0))</f>
        <v>1.0004390000000001</v>
      </c>
    </row>
    <row r="64" spans="1:42" x14ac:dyDescent="0.25">
      <c r="A64" s="1">
        <v>44584</v>
      </c>
      <c r="B64">
        <v>2406.9243160000001</v>
      </c>
      <c r="C64">
        <v>2542.1447750000002</v>
      </c>
      <c r="D64">
        <v>2381.5151369999999</v>
      </c>
      <c r="E64">
        <v>2535.0390630000002</v>
      </c>
      <c r="F64">
        <v>2535.0390630000002</v>
      </c>
      <c r="G64">
        <v>16481489511</v>
      </c>
      <c r="H64">
        <v>35047.359375</v>
      </c>
      <c r="I64">
        <v>36433.3125</v>
      </c>
      <c r="J64">
        <v>34784.96875</v>
      </c>
      <c r="K64">
        <v>36276.804687999997</v>
      </c>
      <c r="L64">
        <v>36276.804687999997</v>
      </c>
      <c r="M64">
        <v>26017975951</v>
      </c>
      <c r="N64">
        <v>1.0001549999999999</v>
      </c>
      <c r="O64">
        <v>1.0010079999999999</v>
      </c>
      <c r="P64">
        <v>1.0001070000000001</v>
      </c>
      <c r="Q64">
        <v>1.000491</v>
      </c>
      <c r="R64">
        <v>1.000491</v>
      </c>
      <c r="S64">
        <v>57296666670</v>
      </c>
      <c r="T64">
        <v>1.0000899999999999</v>
      </c>
      <c r="U64">
        <v>1.0011319999999999</v>
      </c>
      <c r="V64">
        <v>0.999089</v>
      </c>
      <c r="W64">
        <v>1.0001450000000001</v>
      </c>
      <c r="X64">
        <v>1.0001450000000001</v>
      </c>
      <c r="Y64">
        <v>4572234577</v>
      </c>
      <c r="Z64">
        <v>1.067661</v>
      </c>
      <c r="AA64">
        <v>1.164873</v>
      </c>
      <c r="AB64">
        <v>1.056932</v>
      </c>
      <c r="AC64">
        <v>1.122371</v>
      </c>
      <c r="AD64">
        <v>1.122371</v>
      </c>
      <c r="AE64">
        <v>2362627205</v>
      </c>
      <c r="AK64" s="1">
        <v>44584</v>
      </c>
      <c r="AL64">
        <f t="shared" si="0"/>
        <v>2406.9243160000001</v>
      </c>
      <c r="AM64">
        <f>INDEX(A:AE,MATCH(AK64,worksheet!A:A,0),MATCH(worksheet!AM63,worksheet!A63:AE63,0))</f>
        <v>35047.359375</v>
      </c>
      <c r="AN64">
        <f>INDEX(A:AE,MATCH(AK64,worksheet!A:A,0),MATCH(worksheet!AN63,worksheet!A63:AE63,0))</f>
        <v>1.067661</v>
      </c>
      <c r="AO64">
        <f>INDEX(A:AE,MATCH(AK64,worksheet!A:A,0),MATCH(worksheet!AO63,worksheet!A63:AE63,0))</f>
        <v>1.0001549999999999</v>
      </c>
      <c r="AP64">
        <f>INDEX(A:AE,MATCH(AK64,worksheet!A:A,0),MATCH(worksheet!AP63,worksheet!A63:AE63,0))</f>
        <v>1.0000899999999999</v>
      </c>
    </row>
    <row r="65" spans="1:42" x14ac:dyDescent="0.25">
      <c r="A65" s="1">
        <v>44585</v>
      </c>
      <c r="B65">
        <v>2535.8911130000001</v>
      </c>
      <c r="C65">
        <v>2537.2084960000002</v>
      </c>
      <c r="D65">
        <v>2172.3012699999999</v>
      </c>
      <c r="E65">
        <v>2440.3522950000001</v>
      </c>
      <c r="F65">
        <v>2440.3522950000001</v>
      </c>
      <c r="G65">
        <v>28220804648</v>
      </c>
      <c r="H65">
        <v>36275.734375</v>
      </c>
      <c r="I65">
        <v>37247.519530999998</v>
      </c>
      <c r="J65">
        <v>33184.058594000002</v>
      </c>
      <c r="K65">
        <v>36654.328125</v>
      </c>
      <c r="L65">
        <v>36654.328125</v>
      </c>
      <c r="M65">
        <v>41856658597</v>
      </c>
      <c r="N65">
        <v>1.0004980000000001</v>
      </c>
      <c r="O65">
        <v>1.0010619999999999</v>
      </c>
      <c r="P65">
        <v>1.000108</v>
      </c>
      <c r="Q65">
        <v>1.0004390000000001</v>
      </c>
      <c r="R65">
        <v>1.0004390000000001</v>
      </c>
      <c r="S65">
        <v>88845381041</v>
      </c>
      <c r="T65">
        <v>1.00017</v>
      </c>
      <c r="U65">
        <v>1.00099</v>
      </c>
      <c r="V65">
        <v>0.99913099999999999</v>
      </c>
      <c r="W65">
        <v>1.000305</v>
      </c>
      <c r="X65">
        <v>1.000305</v>
      </c>
      <c r="Y65">
        <v>7468827146</v>
      </c>
      <c r="Z65">
        <v>1.1227819999999999</v>
      </c>
      <c r="AA65">
        <v>1.1243380000000001</v>
      </c>
      <c r="AB65">
        <v>0.95912399999999998</v>
      </c>
      <c r="AC65">
        <v>1.0665979999999999</v>
      </c>
      <c r="AD65">
        <v>1.0665979999999999</v>
      </c>
      <c r="AE65">
        <v>3237316963</v>
      </c>
      <c r="AK65" s="1">
        <v>44585</v>
      </c>
      <c r="AL65">
        <f t="shared" si="0"/>
        <v>2535.8911130000001</v>
      </c>
      <c r="AM65">
        <f>INDEX(A:AE,MATCH(AK65,worksheet!A:A,0),MATCH(worksheet!AM64,worksheet!A64:AE64,0))</f>
        <v>36275.734375</v>
      </c>
      <c r="AN65">
        <f>INDEX(A:AE,MATCH(AK65,worksheet!A:A,0),MATCH(worksheet!AN64,worksheet!A64:AE64,0))</f>
        <v>1.1227819999999999</v>
      </c>
      <c r="AO65">
        <f>INDEX(A:AE,MATCH(AK65,worksheet!A:A,0),MATCH(worksheet!AO64,worksheet!A64:AE64,0))</f>
        <v>1.0004980000000001</v>
      </c>
      <c r="AP65">
        <f>INDEX(A:AE,MATCH(AK65,worksheet!A:A,0),MATCH(worksheet!AP64,worksheet!A64:AE64,0))</f>
        <v>1.00017</v>
      </c>
    </row>
    <row r="66" spans="1:42" x14ac:dyDescent="0.25">
      <c r="A66" s="1">
        <v>44586</v>
      </c>
      <c r="B66">
        <v>2440.3935550000001</v>
      </c>
      <c r="C66">
        <v>2498.5070799999999</v>
      </c>
      <c r="D66">
        <v>2359.3847660000001</v>
      </c>
      <c r="E66">
        <v>2455.9350589999999</v>
      </c>
      <c r="F66">
        <v>2455.9350589999999</v>
      </c>
      <c r="G66">
        <v>16179776932</v>
      </c>
      <c r="H66">
        <v>36654.804687999997</v>
      </c>
      <c r="I66">
        <v>37444.570312999997</v>
      </c>
      <c r="J66">
        <v>35779.429687999997</v>
      </c>
      <c r="K66">
        <v>36954.003905999998</v>
      </c>
      <c r="L66">
        <v>36954.003905999998</v>
      </c>
      <c r="M66">
        <v>26428189594</v>
      </c>
      <c r="N66">
        <v>1.0004420000000001</v>
      </c>
      <c r="O66">
        <v>1.000902</v>
      </c>
      <c r="P66">
        <v>1.0001690000000001</v>
      </c>
      <c r="Q66">
        <v>1.000604</v>
      </c>
      <c r="R66">
        <v>1.000604</v>
      </c>
      <c r="S66">
        <v>58560287216</v>
      </c>
      <c r="T66">
        <v>1.000318</v>
      </c>
      <c r="U66">
        <v>1.00109</v>
      </c>
      <c r="V66">
        <v>0.999031</v>
      </c>
      <c r="W66">
        <v>1.000429</v>
      </c>
      <c r="X66">
        <v>1.000429</v>
      </c>
      <c r="Y66">
        <v>4146328235</v>
      </c>
      <c r="Z66">
        <v>1.066519</v>
      </c>
      <c r="AA66">
        <v>1.0720240000000001</v>
      </c>
      <c r="AB66">
        <v>0.99821199999999999</v>
      </c>
      <c r="AC66">
        <v>1.043574</v>
      </c>
      <c r="AD66">
        <v>1.043574</v>
      </c>
      <c r="AE66">
        <v>1766326155</v>
      </c>
      <c r="AK66" s="1">
        <v>44586</v>
      </c>
      <c r="AL66">
        <f t="shared" si="0"/>
        <v>2440.3935550000001</v>
      </c>
      <c r="AM66">
        <f>INDEX(A:AE,MATCH(AK66,worksheet!A:A,0),MATCH(worksheet!AM65,worksheet!A65:AE65,0))</f>
        <v>36654.804687999997</v>
      </c>
      <c r="AN66">
        <f>INDEX(A:AE,MATCH(AK66,worksheet!A:A,0),MATCH(worksheet!AN65,worksheet!A65:AE65,0))</f>
        <v>1.066519</v>
      </c>
      <c r="AO66">
        <f>INDEX(A:AE,MATCH(AK66,worksheet!A:A,0),MATCH(worksheet!AO65,worksheet!A65:AE65,0))</f>
        <v>1.0004420000000001</v>
      </c>
      <c r="AP66">
        <f>INDEX(A:AE,MATCH(AK66,worksheet!A:A,0),MATCH(worksheet!AP65,worksheet!A65:AE65,0))</f>
        <v>1.000318</v>
      </c>
    </row>
    <row r="67" spans="1:42" x14ac:dyDescent="0.25">
      <c r="A67" s="1">
        <v>44587</v>
      </c>
      <c r="B67">
        <v>2455.5791020000001</v>
      </c>
      <c r="C67">
        <v>2705.7841800000001</v>
      </c>
      <c r="D67">
        <v>2417.6831050000001</v>
      </c>
      <c r="E67">
        <v>2468.0302729999999</v>
      </c>
      <c r="F67">
        <v>2468.0302729999999</v>
      </c>
      <c r="G67">
        <v>21229909340</v>
      </c>
      <c r="H67">
        <v>36950.515625</v>
      </c>
      <c r="I67">
        <v>38825.410155999998</v>
      </c>
      <c r="J67">
        <v>36374.90625</v>
      </c>
      <c r="K67">
        <v>36852.121094000002</v>
      </c>
      <c r="L67">
        <v>36852.121094000002</v>
      </c>
      <c r="M67">
        <v>31324598034</v>
      </c>
      <c r="N67">
        <v>1.0005949999999999</v>
      </c>
      <c r="O67">
        <v>1.001117</v>
      </c>
      <c r="P67">
        <v>1.0002899999999999</v>
      </c>
      <c r="Q67">
        <v>1.0006299999999999</v>
      </c>
      <c r="R67">
        <v>1.0006299999999999</v>
      </c>
      <c r="S67">
        <v>70750980627</v>
      </c>
      <c r="T67">
        <v>1.0004200000000001</v>
      </c>
      <c r="U67">
        <v>1.0008859999999999</v>
      </c>
      <c r="V67">
        <v>0.99885299999999999</v>
      </c>
      <c r="W67">
        <v>0.99993500000000002</v>
      </c>
      <c r="X67">
        <v>0.99993500000000002</v>
      </c>
      <c r="Y67">
        <v>83252070566791</v>
      </c>
      <c r="Z67">
        <v>1.04362</v>
      </c>
      <c r="AA67">
        <v>1.149648</v>
      </c>
      <c r="AB67">
        <v>1.026486</v>
      </c>
      <c r="AC67">
        <v>1.0790470000000001</v>
      </c>
      <c r="AD67">
        <v>1.0790470000000001</v>
      </c>
      <c r="AE67">
        <v>2437592239</v>
      </c>
      <c r="AK67" s="1">
        <v>44587</v>
      </c>
      <c r="AL67">
        <f t="shared" ref="AL67:AL130" si="1">INDEX($A:$AE,MATCH(AK67,$A:$A,0),MATCH($AL66,$A66:$AE66,0))</f>
        <v>2455.5791020000001</v>
      </c>
      <c r="AM67">
        <f>INDEX(A:AE,MATCH(AK67,worksheet!A:A,0),MATCH(worksheet!AM66,worksheet!A66:AE66,0))</f>
        <v>36950.515625</v>
      </c>
      <c r="AN67">
        <f>INDEX(A:AE,MATCH(AK67,worksheet!A:A,0),MATCH(worksheet!AN66,worksheet!A66:AE66,0))</f>
        <v>1.04362</v>
      </c>
      <c r="AO67">
        <f>INDEX(A:AE,MATCH(AK67,worksheet!A:A,0),MATCH(worksheet!AO66,worksheet!A66:AE66,0))</f>
        <v>1.0005949999999999</v>
      </c>
      <c r="AP67">
        <f>INDEX(A:AE,MATCH(AK67,worksheet!A:A,0),MATCH(worksheet!AP66,worksheet!A66:AE66,0))</f>
        <v>1.0004200000000001</v>
      </c>
    </row>
    <row r="68" spans="1:42" x14ac:dyDescent="0.25">
      <c r="A68" s="1">
        <v>44588</v>
      </c>
      <c r="B68">
        <v>2467.1884770000001</v>
      </c>
      <c r="C68">
        <v>2510.4516600000002</v>
      </c>
      <c r="D68">
        <v>2328.4521479999999</v>
      </c>
      <c r="E68">
        <v>2423.001221</v>
      </c>
      <c r="F68">
        <v>2423.001221</v>
      </c>
      <c r="G68">
        <v>16126522783</v>
      </c>
      <c r="H68">
        <v>36841.878905999998</v>
      </c>
      <c r="I68">
        <v>37148.324219000002</v>
      </c>
      <c r="J68">
        <v>35629.28125</v>
      </c>
      <c r="K68">
        <v>37138.234375</v>
      </c>
      <c r="L68">
        <v>37138.234375</v>
      </c>
      <c r="M68">
        <v>25041426629</v>
      </c>
      <c r="N68">
        <v>1.000632</v>
      </c>
      <c r="O68">
        <v>1.0008589999999999</v>
      </c>
      <c r="P68">
        <v>1.0002070000000001</v>
      </c>
      <c r="Q68">
        <v>1.0003439999999999</v>
      </c>
      <c r="R68">
        <v>1.0003439999999999</v>
      </c>
      <c r="S68">
        <v>53950927548</v>
      </c>
      <c r="T68">
        <v>0.99985000000000002</v>
      </c>
      <c r="U68">
        <v>1.0011829999999999</v>
      </c>
      <c r="V68">
        <v>0.99892300000000001</v>
      </c>
      <c r="W68">
        <v>0.999776</v>
      </c>
      <c r="X68">
        <v>0.999776</v>
      </c>
      <c r="Y68">
        <v>5023632111</v>
      </c>
      <c r="Z68">
        <v>1.078735</v>
      </c>
      <c r="AA68">
        <v>1.078735</v>
      </c>
      <c r="AB68">
        <v>1.009166</v>
      </c>
      <c r="AC68">
        <v>1.043533</v>
      </c>
      <c r="AD68">
        <v>1.043533</v>
      </c>
      <c r="AE68">
        <v>1519972359</v>
      </c>
      <c r="AK68" s="1">
        <v>44588</v>
      </c>
      <c r="AL68">
        <f t="shared" si="1"/>
        <v>2467.1884770000001</v>
      </c>
      <c r="AM68">
        <f>INDEX(A:AE,MATCH(AK68,worksheet!A:A,0),MATCH(worksheet!AM67,worksheet!A67:AE67,0))</f>
        <v>36841.878905999998</v>
      </c>
      <c r="AN68">
        <f>INDEX(A:AE,MATCH(AK68,worksheet!A:A,0),MATCH(worksheet!AN67,worksheet!A67:AE67,0))</f>
        <v>1.078735</v>
      </c>
      <c r="AO68">
        <f>INDEX(A:AE,MATCH(AK68,worksheet!A:A,0),MATCH(worksheet!AO67,worksheet!A67:AE67,0))</f>
        <v>1.000632</v>
      </c>
      <c r="AP68">
        <f>INDEX(A:AE,MATCH(AK68,worksheet!A:A,0),MATCH(worksheet!AP67,worksheet!A67:AE67,0))</f>
        <v>0.99985000000000002</v>
      </c>
    </row>
    <row r="69" spans="1:42" x14ac:dyDescent="0.25">
      <c r="A69" s="1">
        <v>44589</v>
      </c>
      <c r="B69">
        <v>2421.6469729999999</v>
      </c>
      <c r="C69">
        <v>2548.7785640000002</v>
      </c>
      <c r="D69">
        <v>2367.83374</v>
      </c>
      <c r="E69">
        <v>2547.0920409999999</v>
      </c>
      <c r="F69">
        <v>2547.0920409999999</v>
      </c>
      <c r="G69">
        <v>14666227351</v>
      </c>
      <c r="H69">
        <v>37128.445312999997</v>
      </c>
      <c r="I69">
        <v>37952.878905999998</v>
      </c>
      <c r="J69">
        <v>36211.109375</v>
      </c>
      <c r="K69">
        <v>37784.332030999998</v>
      </c>
      <c r="L69">
        <v>37784.332030999998</v>
      </c>
      <c r="M69">
        <v>22238830523</v>
      </c>
      <c r="N69">
        <v>1.000343</v>
      </c>
      <c r="O69">
        <v>1.000723</v>
      </c>
      <c r="P69">
        <v>1.000151</v>
      </c>
      <c r="Q69">
        <v>1.000345</v>
      </c>
      <c r="R69">
        <v>1.000345</v>
      </c>
      <c r="S69">
        <v>50688257403</v>
      </c>
      <c r="T69">
        <v>0.999749</v>
      </c>
      <c r="U69">
        <v>1.0012760000000001</v>
      </c>
      <c r="V69">
        <v>0.998969</v>
      </c>
      <c r="W69">
        <v>0.99965099999999996</v>
      </c>
      <c r="X69">
        <v>0.99965099999999996</v>
      </c>
      <c r="Y69">
        <v>4809047239</v>
      </c>
      <c r="Z69">
        <v>1.043234</v>
      </c>
      <c r="AA69">
        <v>1.058343</v>
      </c>
      <c r="AB69">
        <v>1.0140960000000001</v>
      </c>
      <c r="AC69">
        <v>1.0506059999999999</v>
      </c>
      <c r="AD69">
        <v>1.0506059999999999</v>
      </c>
      <c r="AE69">
        <v>1206550586</v>
      </c>
      <c r="AK69" s="1">
        <v>44589</v>
      </c>
      <c r="AL69">
        <f t="shared" si="1"/>
        <v>2421.6469729999999</v>
      </c>
      <c r="AM69">
        <f>INDEX(A:AE,MATCH(AK69,worksheet!A:A,0),MATCH(worksheet!AM68,worksheet!A68:AE68,0))</f>
        <v>37128.445312999997</v>
      </c>
      <c r="AN69">
        <f>INDEX(A:AE,MATCH(AK69,worksheet!A:A,0),MATCH(worksheet!AN68,worksheet!A68:AE68,0))</f>
        <v>1.043234</v>
      </c>
      <c r="AO69">
        <f>INDEX(A:AE,MATCH(AK69,worksheet!A:A,0),MATCH(worksheet!AO68,worksheet!A68:AE68,0))</f>
        <v>1.000343</v>
      </c>
      <c r="AP69">
        <f>INDEX(A:AE,MATCH(AK69,worksheet!A:A,0),MATCH(worksheet!AP68,worksheet!A68:AE68,0))</f>
        <v>0.999749</v>
      </c>
    </row>
    <row r="70" spans="1:42" x14ac:dyDescent="0.25">
      <c r="A70" s="1">
        <v>44590</v>
      </c>
      <c r="B70">
        <v>2546.5905760000001</v>
      </c>
      <c r="C70">
        <v>2627.609375</v>
      </c>
      <c r="D70">
        <v>2526.9897460000002</v>
      </c>
      <c r="E70">
        <v>2597.0847170000002</v>
      </c>
      <c r="F70">
        <v>2597.0847170000002</v>
      </c>
      <c r="G70">
        <v>11172062661</v>
      </c>
      <c r="H70">
        <v>37780.714844000002</v>
      </c>
      <c r="I70">
        <v>38576.261719000002</v>
      </c>
      <c r="J70">
        <v>37406.472655999998</v>
      </c>
      <c r="K70">
        <v>38138.179687999997</v>
      </c>
      <c r="L70">
        <v>38138.179687999997</v>
      </c>
      <c r="M70">
        <v>17194183075</v>
      </c>
      <c r="N70">
        <v>1.00034</v>
      </c>
      <c r="O70">
        <v>1.0006330000000001</v>
      </c>
      <c r="P70">
        <v>1.000194</v>
      </c>
      <c r="Q70">
        <v>1.000362</v>
      </c>
      <c r="R70">
        <v>1.000362</v>
      </c>
      <c r="S70">
        <v>39357192812</v>
      </c>
      <c r="T70">
        <v>0.99966299999999997</v>
      </c>
      <c r="U70">
        <v>1.000804</v>
      </c>
      <c r="V70">
        <v>0.99895800000000001</v>
      </c>
      <c r="W70">
        <v>1.0003949999999999</v>
      </c>
      <c r="X70">
        <v>1.0003949999999999</v>
      </c>
      <c r="Y70">
        <v>77941755281506</v>
      </c>
      <c r="Z70">
        <v>1.050492</v>
      </c>
      <c r="AA70">
        <v>1.080614</v>
      </c>
      <c r="AB70">
        <v>1.041647</v>
      </c>
      <c r="AC70">
        <v>1.0595699999999999</v>
      </c>
      <c r="AD70">
        <v>1.0595699999999999</v>
      </c>
      <c r="AE70">
        <v>913122499</v>
      </c>
      <c r="AK70" s="1">
        <v>44590</v>
      </c>
      <c r="AL70">
        <f t="shared" si="1"/>
        <v>2546.5905760000001</v>
      </c>
      <c r="AM70">
        <f>INDEX(A:AE,MATCH(AK70,worksheet!A:A,0),MATCH(worksheet!AM69,worksheet!A69:AE69,0))</f>
        <v>37780.714844000002</v>
      </c>
      <c r="AN70">
        <f>INDEX(A:AE,MATCH(AK70,worksheet!A:A,0),MATCH(worksheet!AN69,worksheet!A69:AE69,0))</f>
        <v>1.050492</v>
      </c>
      <c r="AO70">
        <f>INDEX(A:AE,MATCH(AK70,worksheet!A:A,0),MATCH(worksheet!AO69,worksheet!A69:AE69,0))</f>
        <v>1.00034</v>
      </c>
      <c r="AP70">
        <f>INDEX(A:AE,MATCH(AK70,worksheet!A:A,0),MATCH(worksheet!AP69,worksheet!A69:AE69,0))</f>
        <v>0.99966299999999997</v>
      </c>
    </row>
    <row r="71" spans="1:42" x14ac:dyDescent="0.25">
      <c r="A71" s="1">
        <v>44591</v>
      </c>
      <c r="B71">
        <v>2598.5649410000001</v>
      </c>
      <c r="C71">
        <v>2631.4084469999998</v>
      </c>
      <c r="D71">
        <v>2550.4609380000002</v>
      </c>
      <c r="E71">
        <v>2603.4665530000002</v>
      </c>
      <c r="F71">
        <v>2603.4665530000002</v>
      </c>
      <c r="G71">
        <v>9501221177</v>
      </c>
      <c r="H71">
        <v>38151.917969000002</v>
      </c>
      <c r="I71">
        <v>38266.339844000002</v>
      </c>
      <c r="J71">
        <v>37437.710937999997</v>
      </c>
      <c r="K71">
        <v>37917.601562999997</v>
      </c>
      <c r="L71">
        <v>37917.601562999997</v>
      </c>
      <c r="M71">
        <v>14643548444</v>
      </c>
      <c r="N71">
        <v>1.0004550000000001</v>
      </c>
      <c r="O71">
        <v>1.000607</v>
      </c>
      <c r="P71">
        <v>1.0002340000000001</v>
      </c>
      <c r="Q71">
        <v>1.0003409999999999</v>
      </c>
      <c r="R71">
        <v>1.0003409999999999</v>
      </c>
      <c r="S71">
        <v>35043713256</v>
      </c>
      <c r="T71">
        <v>1.000405</v>
      </c>
      <c r="U71">
        <v>1.0007509999999999</v>
      </c>
      <c r="V71">
        <v>0.99919599999999997</v>
      </c>
      <c r="W71">
        <v>1.000065</v>
      </c>
      <c r="X71">
        <v>1.000065</v>
      </c>
      <c r="Y71">
        <v>2333906963</v>
      </c>
      <c r="Z71">
        <v>1.0597479999999999</v>
      </c>
      <c r="AA71">
        <v>1.0753459999999999</v>
      </c>
      <c r="AB71">
        <v>1.0284180000000001</v>
      </c>
      <c r="AC71">
        <v>1.0374730000000001</v>
      </c>
      <c r="AD71">
        <v>1.0374730000000001</v>
      </c>
      <c r="AE71">
        <v>748084610</v>
      </c>
      <c r="AK71" s="1">
        <v>44591</v>
      </c>
      <c r="AL71">
        <f t="shared" si="1"/>
        <v>2598.5649410000001</v>
      </c>
      <c r="AM71">
        <f>INDEX(A:AE,MATCH(AK71,worksheet!A:A,0),MATCH(worksheet!AM70,worksheet!A70:AE70,0))</f>
        <v>38151.917969000002</v>
      </c>
      <c r="AN71">
        <f>INDEX(A:AE,MATCH(AK71,worksheet!A:A,0),MATCH(worksheet!AN70,worksheet!A70:AE70,0))</f>
        <v>1.0597479999999999</v>
      </c>
      <c r="AO71">
        <f>INDEX(A:AE,MATCH(AK71,worksheet!A:A,0),MATCH(worksheet!AO70,worksheet!A70:AE70,0))</f>
        <v>1.0004550000000001</v>
      </c>
      <c r="AP71">
        <f>INDEX(A:AE,MATCH(AK71,worksheet!A:A,0),MATCH(worksheet!AP70,worksheet!A70:AE70,0))</f>
        <v>1.000405</v>
      </c>
    </row>
    <row r="72" spans="1:42" x14ac:dyDescent="0.25">
      <c r="A72" s="1">
        <v>44592</v>
      </c>
      <c r="B72">
        <v>2603.2634280000002</v>
      </c>
      <c r="C72">
        <v>2697.7353520000001</v>
      </c>
      <c r="D72">
        <v>2489.0722660000001</v>
      </c>
      <c r="E72">
        <v>2688.2788089999999</v>
      </c>
      <c r="F72">
        <v>2688.2788089999999</v>
      </c>
      <c r="G72">
        <v>13778234614</v>
      </c>
      <c r="H72">
        <v>37920.28125</v>
      </c>
      <c r="I72">
        <v>38647.261719000002</v>
      </c>
      <c r="J72">
        <v>36733.574219000002</v>
      </c>
      <c r="K72">
        <v>38483.125</v>
      </c>
      <c r="L72">
        <v>38483.125</v>
      </c>
      <c r="M72">
        <v>20734730465</v>
      </c>
      <c r="N72">
        <v>1.0003439999999999</v>
      </c>
      <c r="O72">
        <v>1.000677</v>
      </c>
      <c r="P72">
        <v>1.000265</v>
      </c>
      <c r="Q72">
        <v>1.0004850000000001</v>
      </c>
      <c r="R72">
        <v>1.0004850000000001</v>
      </c>
      <c r="S72">
        <v>45082693892</v>
      </c>
      <c r="T72">
        <v>1.0000849999999999</v>
      </c>
      <c r="U72">
        <v>1.0010749999999999</v>
      </c>
      <c r="V72">
        <v>0.99908399999999997</v>
      </c>
      <c r="W72">
        <v>0.99953899999999996</v>
      </c>
      <c r="X72">
        <v>0.99953899999999996</v>
      </c>
      <c r="Y72">
        <v>2977541960</v>
      </c>
      <c r="Z72">
        <v>1.037615</v>
      </c>
      <c r="AA72">
        <v>1.057604</v>
      </c>
      <c r="AB72">
        <v>1.012046</v>
      </c>
      <c r="AC72">
        <v>1.052303</v>
      </c>
      <c r="AD72">
        <v>1.052303</v>
      </c>
      <c r="AE72">
        <v>925666321</v>
      </c>
      <c r="AK72" s="1">
        <v>44592</v>
      </c>
      <c r="AL72">
        <f t="shared" si="1"/>
        <v>2603.2634280000002</v>
      </c>
      <c r="AM72">
        <f>INDEX(A:AE,MATCH(AK72,worksheet!A:A,0),MATCH(worksheet!AM71,worksheet!A71:AE71,0))</f>
        <v>37920.28125</v>
      </c>
      <c r="AN72">
        <f>INDEX(A:AE,MATCH(AK72,worksheet!A:A,0),MATCH(worksheet!AN71,worksheet!A71:AE71,0))</f>
        <v>1.037615</v>
      </c>
      <c r="AO72">
        <f>INDEX(A:AE,MATCH(AK72,worksheet!A:A,0),MATCH(worksheet!AO71,worksheet!A71:AE71,0))</f>
        <v>1.0003439999999999</v>
      </c>
      <c r="AP72">
        <f>INDEX(A:AE,MATCH(AK72,worksheet!A:A,0),MATCH(worksheet!AP71,worksheet!A71:AE71,0))</f>
        <v>1.0000849999999999</v>
      </c>
    </row>
    <row r="73" spans="1:42" x14ac:dyDescent="0.25">
      <c r="A73" s="1">
        <v>44593</v>
      </c>
      <c r="B73">
        <v>2687.8989259999998</v>
      </c>
      <c r="C73">
        <v>2802.3154300000001</v>
      </c>
      <c r="D73">
        <v>2682.6218260000001</v>
      </c>
      <c r="E73">
        <v>2792.1171880000002</v>
      </c>
      <c r="F73">
        <v>2792.1171880000002</v>
      </c>
      <c r="G73">
        <v>13194846235</v>
      </c>
      <c r="H73">
        <v>38481.765625</v>
      </c>
      <c r="I73">
        <v>39115.132812999997</v>
      </c>
      <c r="J73">
        <v>38113.664062999997</v>
      </c>
      <c r="K73">
        <v>38743.273437999997</v>
      </c>
      <c r="L73">
        <v>38743.273437999997</v>
      </c>
      <c r="M73">
        <v>20288500328</v>
      </c>
      <c r="N73">
        <v>1.000505</v>
      </c>
      <c r="O73">
        <v>1.0007410000000001</v>
      </c>
      <c r="P73">
        <v>1.000354</v>
      </c>
      <c r="Q73">
        <v>1.000426</v>
      </c>
      <c r="R73">
        <v>1.000426</v>
      </c>
      <c r="S73">
        <v>43193864245</v>
      </c>
      <c r="T73">
        <v>0.99951999999999996</v>
      </c>
      <c r="U73">
        <v>1.000467</v>
      </c>
      <c r="V73">
        <v>0.999089</v>
      </c>
      <c r="W73">
        <v>0.99968299999999999</v>
      </c>
      <c r="X73">
        <v>0.99968299999999999</v>
      </c>
      <c r="Y73">
        <v>3093316095</v>
      </c>
      <c r="Z73">
        <v>1.0522359999999999</v>
      </c>
      <c r="AA73">
        <v>1.092317</v>
      </c>
      <c r="AB73">
        <v>1.0378860000000001</v>
      </c>
      <c r="AC73">
        <v>1.088624</v>
      </c>
      <c r="AD73">
        <v>1.088624</v>
      </c>
      <c r="AE73">
        <v>1130552843</v>
      </c>
      <c r="AK73" s="1">
        <v>44593</v>
      </c>
      <c r="AL73">
        <f t="shared" si="1"/>
        <v>2687.8989259999998</v>
      </c>
      <c r="AM73">
        <f>INDEX(A:AE,MATCH(AK73,worksheet!A:A,0),MATCH(worksheet!AM72,worksheet!A72:AE72,0))</f>
        <v>38481.765625</v>
      </c>
      <c r="AN73">
        <f>INDEX(A:AE,MATCH(AK73,worksheet!A:A,0),MATCH(worksheet!AN72,worksheet!A72:AE72,0))</f>
        <v>1.0522359999999999</v>
      </c>
      <c r="AO73">
        <f>INDEX(A:AE,MATCH(AK73,worksheet!A:A,0),MATCH(worksheet!AO72,worksheet!A72:AE72,0))</f>
        <v>1.000505</v>
      </c>
      <c r="AP73">
        <f>INDEX(A:AE,MATCH(AK73,worksheet!A:A,0),MATCH(worksheet!AP72,worksheet!A72:AE72,0))</f>
        <v>0.99951999999999996</v>
      </c>
    </row>
    <row r="74" spans="1:42" x14ac:dyDescent="0.25">
      <c r="A74" s="1">
        <v>44594</v>
      </c>
      <c r="B74">
        <v>2791.9589839999999</v>
      </c>
      <c r="C74">
        <v>2802.2121579999998</v>
      </c>
      <c r="D74">
        <v>2630.1203609999998</v>
      </c>
      <c r="E74">
        <v>2682.8540039999998</v>
      </c>
      <c r="F74">
        <v>2682.8540039999998</v>
      </c>
      <c r="G74">
        <v>13876301217</v>
      </c>
      <c r="H74">
        <v>38743.714844000002</v>
      </c>
      <c r="I74">
        <v>38834.617187999997</v>
      </c>
      <c r="J74">
        <v>36832.730469000002</v>
      </c>
      <c r="K74">
        <v>36952.984375</v>
      </c>
      <c r="L74">
        <v>36952.984375</v>
      </c>
      <c r="M74">
        <v>19155189416</v>
      </c>
      <c r="N74">
        <v>1.000427</v>
      </c>
      <c r="O74">
        <v>1.000664</v>
      </c>
      <c r="P74">
        <v>1.000308</v>
      </c>
      <c r="Q74">
        <v>1.00038</v>
      </c>
      <c r="R74">
        <v>1.00038</v>
      </c>
      <c r="S74">
        <v>44198324772</v>
      </c>
      <c r="T74">
        <v>0.99970599999999998</v>
      </c>
      <c r="U74">
        <v>1.000726</v>
      </c>
      <c r="V74">
        <v>0.99917500000000004</v>
      </c>
      <c r="W74">
        <v>0.99996700000000005</v>
      </c>
      <c r="X74">
        <v>0.99996700000000005</v>
      </c>
      <c r="Y74">
        <v>2735917325</v>
      </c>
      <c r="Z74">
        <v>1.090309</v>
      </c>
      <c r="AA74">
        <v>1.1002400000000001</v>
      </c>
      <c r="AB74">
        <v>1.0277499999999999</v>
      </c>
      <c r="AC74">
        <v>1.0289060000000001</v>
      </c>
      <c r="AD74">
        <v>1.0289060000000001</v>
      </c>
      <c r="AE74">
        <v>1086043481</v>
      </c>
      <c r="AK74" s="1">
        <v>44594</v>
      </c>
      <c r="AL74">
        <f t="shared" si="1"/>
        <v>2791.9589839999999</v>
      </c>
      <c r="AM74">
        <f>INDEX(A:AE,MATCH(AK74,worksheet!A:A,0),MATCH(worksheet!AM73,worksheet!A73:AE73,0))</f>
        <v>38743.714844000002</v>
      </c>
      <c r="AN74">
        <f>INDEX(A:AE,MATCH(AK74,worksheet!A:A,0),MATCH(worksheet!AN73,worksheet!A73:AE73,0))</f>
        <v>1.090309</v>
      </c>
      <c r="AO74">
        <f>INDEX(A:AE,MATCH(AK74,worksheet!A:A,0),MATCH(worksheet!AO73,worksheet!A73:AE73,0))</f>
        <v>1.000427</v>
      </c>
      <c r="AP74">
        <f>INDEX(A:AE,MATCH(AK74,worksheet!A:A,0),MATCH(worksheet!AP73,worksheet!A73:AE73,0))</f>
        <v>0.99970599999999998</v>
      </c>
    </row>
    <row r="75" spans="1:42" x14ac:dyDescent="0.25">
      <c r="A75" s="1">
        <v>44595</v>
      </c>
      <c r="B75">
        <v>2682.2260740000002</v>
      </c>
      <c r="C75">
        <v>2712.4826659999999</v>
      </c>
      <c r="D75">
        <v>2587.7834469999998</v>
      </c>
      <c r="E75">
        <v>2679.1625979999999</v>
      </c>
      <c r="F75">
        <v>2679.1625979999999</v>
      </c>
      <c r="G75">
        <v>12755505065</v>
      </c>
      <c r="H75">
        <v>36944.804687999997</v>
      </c>
      <c r="I75">
        <v>37154.601562999997</v>
      </c>
      <c r="J75">
        <v>36375.539062999997</v>
      </c>
      <c r="K75">
        <v>37154.601562999997</v>
      </c>
      <c r="L75">
        <v>37154.601562999997</v>
      </c>
      <c r="M75">
        <v>18591534769</v>
      </c>
      <c r="N75">
        <v>1.00038</v>
      </c>
      <c r="O75">
        <v>1.0007619999999999</v>
      </c>
      <c r="P75">
        <v>1.0002880000000001</v>
      </c>
      <c r="Q75">
        <v>1.000386</v>
      </c>
      <c r="R75">
        <v>1.000386</v>
      </c>
      <c r="S75">
        <v>41979444063</v>
      </c>
      <c r="T75">
        <v>0.99990100000000004</v>
      </c>
      <c r="U75">
        <v>1.0006269999999999</v>
      </c>
      <c r="V75">
        <v>0.99905999999999995</v>
      </c>
      <c r="W75">
        <v>1.0002310000000001</v>
      </c>
      <c r="X75">
        <v>1.0002310000000001</v>
      </c>
      <c r="Y75">
        <v>2639131315</v>
      </c>
      <c r="Z75">
        <v>1.028688</v>
      </c>
      <c r="AA75">
        <v>1.0572250000000001</v>
      </c>
      <c r="AB75">
        <v>1.019261</v>
      </c>
      <c r="AC75">
        <v>1.0564439999999999</v>
      </c>
      <c r="AD75">
        <v>1.0564439999999999</v>
      </c>
      <c r="AE75">
        <v>873675008</v>
      </c>
      <c r="AK75" s="1">
        <v>44595</v>
      </c>
      <c r="AL75">
        <f t="shared" si="1"/>
        <v>2682.2260740000002</v>
      </c>
      <c r="AM75">
        <f>INDEX(A:AE,MATCH(AK75,worksheet!A:A,0),MATCH(worksheet!AM74,worksheet!A74:AE74,0))</f>
        <v>36944.804687999997</v>
      </c>
      <c r="AN75">
        <f>INDEX(A:AE,MATCH(AK75,worksheet!A:A,0),MATCH(worksheet!AN74,worksheet!A74:AE74,0))</f>
        <v>1.028688</v>
      </c>
      <c r="AO75">
        <f>INDEX(A:AE,MATCH(AK75,worksheet!A:A,0),MATCH(worksheet!AO74,worksheet!A74:AE74,0))</f>
        <v>1.00038</v>
      </c>
      <c r="AP75">
        <f>INDEX(A:AE,MATCH(AK75,worksheet!A:A,0),MATCH(worksheet!AP74,worksheet!A74:AE74,0))</f>
        <v>0.99990100000000004</v>
      </c>
    </row>
    <row r="76" spans="1:42" x14ac:dyDescent="0.25">
      <c r="A76" s="1">
        <v>44596</v>
      </c>
      <c r="B76">
        <v>2681.0576169999999</v>
      </c>
      <c r="C76">
        <v>2983.586914</v>
      </c>
      <c r="D76">
        <v>2675.4438479999999</v>
      </c>
      <c r="E76">
        <v>2983.586914</v>
      </c>
      <c r="F76">
        <v>2983.586914</v>
      </c>
      <c r="G76">
        <v>18987223729</v>
      </c>
      <c r="H76">
        <v>37149.265625</v>
      </c>
      <c r="I76">
        <v>41527.785155999998</v>
      </c>
      <c r="J76">
        <v>37093.628905999998</v>
      </c>
      <c r="K76">
        <v>41500.875</v>
      </c>
      <c r="L76">
        <v>41500.875</v>
      </c>
      <c r="M76">
        <v>29412210792</v>
      </c>
      <c r="N76">
        <v>1.0003869999999999</v>
      </c>
      <c r="O76">
        <v>1.0009939999999999</v>
      </c>
      <c r="P76">
        <v>1.000278</v>
      </c>
      <c r="Q76">
        <v>1.0005630000000001</v>
      </c>
      <c r="R76">
        <v>1.0005630000000001</v>
      </c>
      <c r="S76">
        <v>59154422463</v>
      </c>
      <c r="T76">
        <v>1.0001869999999999</v>
      </c>
      <c r="U76">
        <v>1.0006759999999999</v>
      </c>
      <c r="V76">
        <v>0.99923200000000001</v>
      </c>
      <c r="W76">
        <v>0.999533</v>
      </c>
      <c r="X76">
        <v>0.999533</v>
      </c>
      <c r="Y76">
        <v>5446795900</v>
      </c>
      <c r="Z76">
        <v>1.056243</v>
      </c>
      <c r="AA76">
        <v>1.135624</v>
      </c>
      <c r="AB76">
        <v>1.0472969999999999</v>
      </c>
      <c r="AC76">
        <v>1.135624</v>
      </c>
      <c r="AD76">
        <v>1.135624</v>
      </c>
      <c r="AE76">
        <v>1178757518</v>
      </c>
      <c r="AK76" s="1">
        <v>44596</v>
      </c>
      <c r="AL76">
        <f t="shared" si="1"/>
        <v>2681.0576169999999</v>
      </c>
      <c r="AM76">
        <f>INDEX(A:AE,MATCH(AK76,worksheet!A:A,0),MATCH(worksheet!AM75,worksheet!A75:AE75,0))</f>
        <v>37149.265625</v>
      </c>
      <c r="AN76">
        <f>INDEX(A:AE,MATCH(AK76,worksheet!A:A,0),MATCH(worksheet!AN75,worksheet!A75:AE75,0))</f>
        <v>1.056243</v>
      </c>
      <c r="AO76">
        <f>INDEX(A:AE,MATCH(AK76,worksheet!A:A,0),MATCH(worksheet!AO75,worksheet!A75:AE75,0))</f>
        <v>1.0003869999999999</v>
      </c>
      <c r="AP76">
        <f>INDEX(A:AE,MATCH(AK76,worksheet!A:A,0),MATCH(worksheet!AP75,worksheet!A75:AE75,0))</f>
        <v>1.0001869999999999</v>
      </c>
    </row>
    <row r="77" spans="1:42" x14ac:dyDescent="0.25">
      <c r="A77" s="1">
        <v>44597</v>
      </c>
      <c r="B77">
        <v>2984.4460450000001</v>
      </c>
      <c r="C77">
        <v>3054.1301269999999</v>
      </c>
      <c r="D77">
        <v>2966.7810060000002</v>
      </c>
      <c r="E77">
        <v>3014.648193</v>
      </c>
      <c r="F77">
        <v>3014.648193</v>
      </c>
      <c r="G77">
        <v>13102093957</v>
      </c>
      <c r="H77">
        <v>41501.480469000002</v>
      </c>
      <c r="I77">
        <v>41847.164062999997</v>
      </c>
      <c r="J77">
        <v>41038.097655999998</v>
      </c>
      <c r="K77">
        <v>41441.164062999997</v>
      </c>
      <c r="L77">
        <v>41441.164062999997</v>
      </c>
      <c r="M77">
        <v>19652846215</v>
      </c>
      <c r="N77">
        <v>1.000564</v>
      </c>
      <c r="O77">
        <v>1.000807</v>
      </c>
      <c r="P77">
        <v>1.000378</v>
      </c>
      <c r="Q77">
        <v>1.0005949999999999</v>
      </c>
      <c r="R77">
        <v>1.0005949999999999</v>
      </c>
      <c r="S77">
        <v>50686325002</v>
      </c>
      <c r="T77">
        <v>0.99958499999999995</v>
      </c>
      <c r="U77">
        <v>1.0004789999999999</v>
      </c>
      <c r="V77">
        <v>0.998865</v>
      </c>
      <c r="W77">
        <v>1.0001169999999999</v>
      </c>
      <c r="X77">
        <v>1.0001169999999999</v>
      </c>
      <c r="Y77">
        <v>5767688766</v>
      </c>
      <c r="Z77">
        <v>1.136061</v>
      </c>
      <c r="AA77">
        <v>1.172885</v>
      </c>
      <c r="AB77">
        <v>1.1026180000000001</v>
      </c>
      <c r="AC77">
        <v>1.127345</v>
      </c>
      <c r="AD77">
        <v>1.127345</v>
      </c>
      <c r="AE77">
        <v>1363912644</v>
      </c>
      <c r="AK77" s="1">
        <v>44597</v>
      </c>
      <c r="AL77">
        <f t="shared" si="1"/>
        <v>2984.4460450000001</v>
      </c>
      <c r="AM77">
        <f>INDEX(A:AE,MATCH(AK77,worksheet!A:A,0),MATCH(worksheet!AM76,worksheet!A76:AE76,0))</f>
        <v>41501.480469000002</v>
      </c>
      <c r="AN77">
        <f>INDEX(A:AE,MATCH(AK77,worksheet!A:A,0),MATCH(worksheet!AN76,worksheet!A76:AE76,0))</f>
        <v>1.136061</v>
      </c>
      <c r="AO77">
        <f>INDEX(A:AE,MATCH(AK77,worksheet!A:A,0),MATCH(worksheet!AO76,worksheet!A76:AE76,0))</f>
        <v>1.000564</v>
      </c>
      <c r="AP77">
        <f>INDEX(A:AE,MATCH(AK77,worksheet!A:A,0),MATCH(worksheet!AP76,worksheet!A76:AE76,0))</f>
        <v>0.99958499999999995</v>
      </c>
    </row>
    <row r="78" spans="1:42" x14ac:dyDescent="0.25">
      <c r="A78" s="1">
        <v>44598</v>
      </c>
      <c r="B78">
        <v>3014.9597170000002</v>
      </c>
      <c r="C78">
        <v>3061.2612300000001</v>
      </c>
      <c r="D78">
        <v>2965.429932</v>
      </c>
      <c r="E78">
        <v>3057.4760740000002</v>
      </c>
      <c r="F78">
        <v>3057.4760740000002</v>
      </c>
      <c r="G78">
        <v>9466018022</v>
      </c>
      <c r="H78">
        <v>41441.121094000002</v>
      </c>
      <c r="I78">
        <v>42500.785155999998</v>
      </c>
      <c r="J78">
        <v>41244.90625</v>
      </c>
      <c r="K78">
        <v>42412.433594000002</v>
      </c>
      <c r="L78">
        <v>42412.433594000002</v>
      </c>
      <c r="M78">
        <v>16142097334</v>
      </c>
      <c r="N78">
        <v>1.0005869999999999</v>
      </c>
      <c r="O78">
        <v>1.000829</v>
      </c>
      <c r="P78">
        <v>1.0003629999999999</v>
      </c>
      <c r="Q78">
        <v>1.0006790000000001</v>
      </c>
      <c r="R78">
        <v>1.0006790000000001</v>
      </c>
      <c r="S78">
        <v>40572292703</v>
      </c>
      <c r="T78">
        <v>1.0000910000000001</v>
      </c>
      <c r="U78">
        <v>1.000494</v>
      </c>
      <c r="V78">
        <v>0.99904099999999996</v>
      </c>
      <c r="W78">
        <v>1.0003569999999999</v>
      </c>
      <c r="X78">
        <v>1.0003569999999999</v>
      </c>
      <c r="Y78">
        <v>2185135025</v>
      </c>
      <c r="Z78">
        <v>1.127235</v>
      </c>
      <c r="AA78">
        <v>1.1478029999999999</v>
      </c>
      <c r="AB78">
        <v>1.1031679999999999</v>
      </c>
      <c r="AC78">
        <v>1.144547</v>
      </c>
      <c r="AD78">
        <v>1.144547</v>
      </c>
      <c r="AE78">
        <v>911521818</v>
      </c>
      <c r="AK78" s="1">
        <v>44598</v>
      </c>
      <c r="AL78">
        <f t="shared" si="1"/>
        <v>3014.9597170000002</v>
      </c>
      <c r="AM78">
        <f>INDEX(A:AE,MATCH(AK78,worksheet!A:A,0),MATCH(worksheet!AM77,worksheet!A77:AE77,0))</f>
        <v>41441.121094000002</v>
      </c>
      <c r="AN78">
        <f>INDEX(A:AE,MATCH(AK78,worksheet!A:A,0),MATCH(worksheet!AN77,worksheet!A77:AE77,0))</f>
        <v>1.127235</v>
      </c>
      <c r="AO78">
        <f>INDEX(A:AE,MATCH(AK78,worksheet!A:A,0),MATCH(worksheet!AO77,worksheet!A77:AE77,0))</f>
        <v>1.0005869999999999</v>
      </c>
      <c r="AP78">
        <f>INDEX(A:AE,MATCH(AK78,worksheet!A:A,0),MATCH(worksheet!AP77,worksheet!A77:AE77,0))</f>
        <v>1.0000910000000001</v>
      </c>
    </row>
    <row r="79" spans="1:42" x14ac:dyDescent="0.25">
      <c r="A79" s="1">
        <v>44599</v>
      </c>
      <c r="B79">
        <v>3057.4221189999998</v>
      </c>
      <c r="C79">
        <v>3182.5283199999999</v>
      </c>
      <c r="D79">
        <v>3002.9270019999999</v>
      </c>
      <c r="E79">
        <v>3142.470703</v>
      </c>
      <c r="F79">
        <v>3142.470703</v>
      </c>
      <c r="G79">
        <v>15197063785</v>
      </c>
      <c r="H79">
        <v>42406.78125</v>
      </c>
      <c r="I79">
        <v>44401.863280999998</v>
      </c>
      <c r="J79">
        <v>41748.15625</v>
      </c>
      <c r="K79">
        <v>43840.285155999998</v>
      </c>
      <c r="L79">
        <v>43840.285155999998</v>
      </c>
      <c r="M79">
        <v>28641855926</v>
      </c>
      <c r="N79">
        <v>1.000677</v>
      </c>
      <c r="O79">
        <v>1.000853</v>
      </c>
      <c r="P79">
        <v>1.000397</v>
      </c>
      <c r="Q79">
        <v>1.0005550000000001</v>
      </c>
      <c r="R79">
        <v>1.0005550000000001</v>
      </c>
      <c r="S79">
        <v>64635714287</v>
      </c>
      <c r="T79">
        <v>1.0003120000000001</v>
      </c>
      <c r="U79">
        <v>1.001153</v>
      </c>
      <c r="V79">
        <v>0.99899800000000005</v>
      </c>
      <c r="W79">
        <v>0.99902199999999997</v>
      </c>
      <c r="X79">
        <v>0.99902199999999997</v>
      </c>
      <c r="Y79">
        <v>3534437072</v>
      </c>
      <c r="Z79">
        <v>1.1443559999999999</v>
      </c>
      <c r="AA79">
        <v>1.2068540000000001</v>
      </c>
      <c r="AB79">
        <v>1.1282639999999999</v>
      </c>
      <c r="AC79">
        <v>1.1973069999999999</v>
      </c>
      <c r="AD79">
        <v>1.1973069999999999</v>
      </c>
      <c r="AE79">
        <v>2107219347</v>
      </c>
      <c r="AK79" s="1">
        <v>44599</v>
      </c>
      <c r="AL79">
        <f t="shared" si="1"/>
        <v>3057.4221189999998</v>
      </c>
      <c r="AM79">
        <f>INDEX(A:AE,MATCH(AK79,worksheet!A:A,0),MATCH(worksheet!AM78,worksheet!A78:AE78,0))</f>
        <v>42406.78125</v>
      </c>
      <c r="AN79">
        <f>INDEX(A:AE,MATCH(AK79,worksheet!A:A,0),MATCH(worksheet!AN78,worksheet!A78:AE78,0))</f>
        <v>1.1443559999999999</v>
      </c>
      <c r="AO79">
        <f>INDEX(A:AE,MATCH(AK79,worksheet!A:A,0),MATCH(worksheet!AO78,worksheet!A78:AE78,0))</f>
        <v>1.000677</v>
      </c>
      <c r="AP79">
        <f>INDEX(A:AE,MATCH(AK79,worksheet!A:A,0),MATCH(worksheet!AP78,worksheet!A78:AE78,0))</f>
        <v>1.0003120000000001</v>
      </c>
    </row>
    <row r="80" spans="1:42" x14ac:dyDescent="0.25">
      <c r="A80" s="1">
        <v>44600</v>
      </c>
      <c r="B80">
        <v>3143.0085450000001</v>
      </c>
      <c r="C80">
        <v>3219.4726559999999</v>
      </c>
      <c r="D80">
        <v>3038.3779300000001</v>
      </c>
      <c r="E80">
        <v>3122.608643</v>
      </c>
      <c r="F80">
        <v>3122.608643</v>
      </c>
      <c r="G80">
        <v>17136080906</v>
      </c>
      <c r="H80">
        <v>43854.652344000002</v>
      </c>
      <c r="I80">
        <v>45293.867187999997</v>
      </c>
      <c r="J80">
        <v>42807.835937999997</v>
      </c>
      <c r="K80">
        <v>44118.445312999997</v>
      </c>
      <c r="L80">
        <v>44118.445312999997</v>
      </c>
      <c r="M80">
        <v>33079398868</v>
      </c>
      <c r="N80">
        <v>1.0005539999999999</v>
      </c>
      <c r="O80">
        <v>1.000991</v>
      </c>
      <c r="P80">
        <v>1.0004919999999999</v>
      </c>
      <c r="Q80">
        <v>1.0006189999999999</v>
      </c>
      <c r="R80">
        <v>1.0006189999999999</v>
      </c>
      <c r="S80">
        <v>72230569455</v>
      </c>
      <c r="T80">
        <v>0.99907699999999999</v>
      </c>
      <c r="U80">
        <v>1.0005679999999999</v>
      </c>
      <c r="V80">
        <v>0.99799099999999996</v>
      </c>
      <c r="W80">
        <v>0.99917100000000003</v>
      </c>
      <c r="X80">
        <v>0.99917100000000003</v>
      </c>
      <c r="Y80">
        <v>3736950599</v>
      </c>
      <c r="Z80">
        <v>1.1976500000000001</v>
      </c>
      <c r="AA80">
        <v>1.257816</v>
      </c>
      <c r="AB80">
        <v>1.135913</v>
      </c>
      <c r="AC80">
        <v>1.17872</v>
      </c>
      <c r="AD80">
        <v>1.17872</v>
      </c>
      <c r="AE80">
        <v>2267265855</v>
      </c>
      <c r="AK80" s="1">
        <v>44600</v>
      </c>
      <c r="AL80">
        <f t="shared" si="1"/>
        <v>3143.0085450000001</v>
      </c>
      <c r="AM80">
        <f>INDEX(A:AE,MATCH(AK80,worksheet!A:A,0),MATCH(worksheet!AM79,worksheet!A79:AE79,0))</f>
        <v>43854.652344000002</v>
      </c>
      <c r="AN80">
        <f>INDEX(A:AE,MATCH(AK80,worksheet!A:A,0),MATCH(worksheet!AN79,worksheet!A79:AE79,0))</f>
        <v>1.1976500000000001</v>
      </c>
      <c r="AO80">
        <f>INDEX(A:AE,MATCH(AK80,worksheet!A:A,0),MATCH(worksheet!AO79,worksheet!A79:AE79,0))</f>
        <v>1.0005539999999999</v>
      </c>
      <c r="AP80">
        <f>INDEX(A:AE,MATCH(AK80,worksheet!A:A,0),MATCH(worksheet!AP79,worksheet!A79:AE79,0))</f>
        <v>0.99907699999999999</v>
      </c>
    </row>
    <row r="81" spans="1:42" x14ac:dyDescent="0.25">
      <c r="A81" s="1">
        <v>44601</v>
      </c>
      <c r="B81">
        <v>3121.1826169999999</v>
      </c>
      <c r="C81">
        <v>3263.1557619999999</v>
      </c>
      <c r="D81">
        <v>3063.1601559999999</v>
      </c>
      <c r="E81">
        <v>3239.4570309999999</v>
      </c>
      <c r="F81">
        <v>3239.4570309999999</v>
      </c>
      <c r="G81">
        <v>13951308490</v>
      </c>
      <c r="H81">
        <v>44096.703125</v>
      </c>
      <c r="I81">
        <v>44727.800780999998</v>
      </c>
      <c r="J81">
        <v>43232.96875</v>
      </c>
      <c r="K81">
        <v>44338.796875</v>
      </c>
      <c r="L81">
        <v>44338.796875</v>
      </c>
      <c r="M81">
        <v>23245887300</v>
      </c>
      <c r="N81">
        <v>1.000605</v>
      </c>
      <c r="O81">
        <v>1.000999</v>
      </c>
      <c r="P81">
        <v>1.000545</v>
      </c>
      <c r="Q81">
        <v>1.0007440000000001</v>
      </c>
      <c r="R81">
        <v>1.0007440000000001</v>
      </c>
      <c r="S81">
        <v>53386706331</v>
      </c>
      <c r="T81">
        <v>0.99911300000000003</v>
      </c>
      <c r="U81">
        <v>1.000564</v>
      </c>
      <c r="V81">
        <v>0.99900900000000004</v>
      </c>
      <c r="W81">
        <v>0.999587</v>
      </c>
      <c r="X81">
        <v>0.999587</v>
      </c>
      <c r="Y81">
        <v>2902479207</v>
      </c>
      <c r="Z81">
        <v>1.1779580000000001</v>
      </c>
      <c r="AA81">
        <v>1.2121569999999999</v>
      </c>
      <c r="AB81">
        <v>1.1547499999999999</v>
      </c>
      <c r="AC81">
        <v>1.1948099999999999</v>
      </c>
      <c r="AD81">
        <v>1.1948099999999999</v>
      </c>
      <c r="AE81">
        <v>1239455609</v>
      </c>
      <c r="AK81" s="1">
        <v>44601</v>
      </c>
      <c r="AL81">
        <f t="shared" si="1"/>
        <v>3121.1826169999999</v>
      </c>
      <c r="AM81">
        <f>INDEX(A:AE,MATCH(AK81,worksheet!A:A,0),MATCH(worksheet!AM80,worksheet!A80:AE80,0))</f>
        <v>44096.703125</v>
      </c>
      <c r="AN81">
        <f>INDEX(A:AE,MATCH(AK81,worksheet!A:A,0),MATCH(worksheet!AN80,worksheet!A80:AE80,0))</f>
        <v>1.1779580000000001</v>
      </c>
      <c r="AO81">
        <f>INDEX(A:AE,MATCH(AK81,worksheet!A:A,0),MATCH(worksheet!AO80,worksheet!A80:AE80,0))</f>
        <v>1.000605</v>
      </c>
      <c r="AP81">
        <f>INDEX(A:AE,MATCH(AK81,worksheet!A:A,0),MATCH(worksheet!AP80,worksheet!A80:AE80,0))</f>
        <v>0.99911300000000003</v>
      </c>
    </row>
    <row r="82" spans="1:42" x14ac:dyDescent="0.25">
      <c r="A82" s="1">
        <v>44602</v>
      </c>
      <c r="B82">
        <v>3240.1130370000001</v>
      </c>
      <c r="C82">
        <v>3271.3161620000001</v>
      </c>
      <c r="D82">
        <v>3070.3781739999999</v>
      </c>
      <c r="E82">
        <v>3077.4821780000002</v>
      </c>
      <c r="F82">
        <v>3077.4821780000002</v>
      </c>
      <c r="G82">
        <v>18629485080</v>
      </c>
      <c r="H82">
        <v>44347.800780999998</v>
      </c>
      <c r="I82">
        <v>45661.171875</v>
      </c>
      <c r="J82">
        <v>43402.808594000002</v>
      </c>
      <c r="K82">
        <v>43565.113280999998</v>
      </c>
      <c r="L82">
        <v>43565.113280999998</v>
      </c>
      <c r="M82">
        <v>32142048537</v>
      </c>
      <c r="N82">
        <v>1.0007299999999999</v>
      </c>
      <c r="O82">
        <v>1.0010540000000001</v>
      </c>
      <c r="P82">
        <v>1.000507</v>
      </c>
      <c r="Q82">
        <v>1.000726</v>
      </c>
      <c r="R82">
        <v>1.000726</v>
      </c>
      <c r="S82">
        <v>77334791717</v>
      </c>
      <c r="T82">
        <v>0.99959200000000004</v>
      </c>
      <c r="U82">
        <v>1.000821</v>
      </c>
      <c r="V82">
        <v>0.99888299999999997</v>
      </c>
      <c r="W82">
        <v>1.000103</v>
      </c>
      <c r="X82">
        <v>1.000103</v>
      </c>
      <c r="Y82">
        <v>4195499895</v>
      </c>
      <c r="Z82">
        <v>1.194636</v>
      </c>
      <c r="AA82">
        <v>1.2186669999999999</v>
      </c>
      <c r="AB82">
        <v>1.1491819999999999</v>
      </c>
      <c r="AC82">
        <v>1.1524779999999999</v>
      </c>
      <c r="AD82">
        <v>1.1524779999999999</v>
      </c>
      <c r="AE82">
        <v>1810255178</v>
      </c>
      <c r="AK82" s="1">
        <v>44602</v>
      </c>
      <c r="AL82">
        <f t="shared" si="1"/>
        <v>3240.1130370000001</v>
      </c>
      <c r="AM82">
        <f>INDEX(A:AE,MATCH(AK82,worksheet!A:A,0),MATCH(worksheet!AM81,worksheet!A81:AE81,0))</f>
        <v>44347.800780999998</v>
      </c>
      <c r="AN82">
        <f>INDEX(A:AE,MATCH(AK82,worksheet!A:A,0),MATCH(worksheet!AN81,worksheet!A81:AE81,0))</f>
        <v>1.194636</v>
      </c>
      <c r="AO82">
        <f>INDEX(A:AE,MATCH(AK82,worksheet!A:A,0),MATCH(worksheet!AO81,worksheet!A81:AE81,0))</f>
        <v>1.0007299999999999</v>
      </c>
      <c r="AP82">
        <f>INDEX(A:AE,MATCH(AK82,worksheet!A:A,0),MATCH(worksheet!AP81,worksheet!A81:AE81,0))</f>
        <v>0.99959200000000004</v>
      </c>
    </row>
    <row r="83" spans="1:42" x14ac:dyDescent="0.25">
      <c r="A83" s="1">
        <v>44603</v>
      </c>
      <c r="B83">
        <v>3077.413086</v>
      </c>
      <c r="C83">
        <v>3127.4506839999999</v>
      </c>
      <c r="D83">
        <v>2888.7077640000002</v>
      </c>
      <c r="E83">
        <v>2927.3835450000001</v>
      </c>
      <c r="F83">
        <v>2927.3835450000001</v>
      </c>
      <c r="G83">
        <v>16043881065</v>
      </c>
      <c r="H83">
        <v>43571.128905999998</v>
      </c>
      <c r="I83">
        <v>43810.832030999998</v>
      </c>
      <c r="J83">
        <v>42114.539062999997</v>
      </c>
      <c r="K83">
        <v>42407.9375</v>
      </c>
      <c r="L83">
        <v>42407.9375</v>
      </c>
      <c r="M83">
        <v>26954925781</v>
      </c>
      <c r="N83">
        <v>1.0007299999999999</v>
      </c>
      <c r="O83">
        <v>1.002683</v>
      </c>
      <c r="P83">
        <v>1.0005040000000001</v>
      </c>
      <c r="Q83">
        <v>1.0007219999999999</v>
      </c>
      <c r="R83">
        <v>1.0007219999999999</v>
      </c>
      <c r="S83">
        <v>66753002645</v>
      </c>
      <c r="T83">
        <v>1.0001439999999999</v>
      </c>
      <c r="U83">
        <v>1.000532</v>
      </c>
      <c r="V83">
        <v>0.99868400000000002</v>
      </c>
      <c r="W83">
        <v>0.99936800000000003</v>
      </c>
      <c r="X83">
        <v>0.99936800000000003</v>
      </c>
      <c r="Y83">
        <v>4014217487</v>
      </c>
      <c r="Z83">
        <v>1.152571</v>
      </c>
      <c r="AA83">
        <v>1.1625730000000001</v>
      </c>
      <c r="AB83">
        <v>1.072568</v>
      </c>
      <c r="AC83">
        <v>1.0803469999999999</v>
      </c>
      <c r="AD83">
        <v>1.0803469999999999</v>
      </c>
      <c r="AE83">
        <v>1395763170</v>
      </c>
      <c r="AK83" s="1">
        <v>44603</v>
      </c>
      <c r="AL83">
        <f t="shared" si="1"/>
        <v>3077.413086</v>
      </c>
      <c r="AM83">
        <f>INDEX(A:AE,MATCH(AK83,worksheet!A:A,0),MATCH(worksheet!AM82,worksheet!A82:AE82,0))</f>
        <v>43571.128905999998</v>
      </c>
      <c r="AN83">
        <f>INDEX(A:AE,MATCH(AK83,worksheet!A:A,0),MATCH(worksheet!AN82,worksheet!A82:AE82,0))</f>
        <v>1.152571</v>
      </c>
      <c r="AO83">
        <f>INDEX(A:AE,MATCH(AK83,worksheet!A:A,0),MATCH(worksheet!AO82,worksheet!A82:AE82,0))</f>
        <v>1.0007299999999999</v>
      </c>
      <c r="AP83">
        <f>INDEX(A:AE,MATCH(AK83,worksheet!A:A,0),MATCH(worksheet!AP82,worksheet!A82:AE82,0))</f>
        <v>1.0001439999999999</v>
      </c>
    </row>
    <row r="84" spans="1:42" x14ac:dyDescent="0.25">
      <c r="A84" s="1">
        <v>44604</v>
      </c>
      <c r="B84">
        <v>2927.3864749999998</v>
      </c>
      <c r="C84">
        <v>2980.079346</v>
      </c>
      <c r="D84">
        <v>2870.1770019999999</v>
      </c>
      <c r="E84">
        <v>2917.3627929999998</v>
      </c>
      <c r="F84">
        <v>2917.3627929999998</v>
      </c>
      <c r="G84">
        <v>11254355757</v>
      </c>
      <c r="H84">
        <v>42412.300780999998</v>
      </c>
      <c r="I84">
        <v>42992.550780999998</v>
      </c>
      <c r="J84">
        <v>41852.574219000002</v>
      </c>
      <c r="K84">
        <v>42244.46875</v>
      </c>
      <c r="L84">
        <v>42244.46875</v>
      </c>
      <c r="M84">
        <v>18152390304</v>
      </c>
      <c r="N84">
        <v>1.0007200000000001</v>
      </c>
      <c r="O84">
        <v>1.0010730000000001</v>
      </c>
      <c r="P84">
        <v>1.000472</v>
      </c>
      <c r="Q84">
        <v>1.0006010000000001</v>
      </c>
      <c r="R84">
        <v>1.0006010000000001</v>
      </c>
      <c r="S84">
        <v>49138854287</v>
      </c>
      <c r="T84">
        <v>0.99938300000000002</v>
      </c>
      <c r="U84">
        <v>1.000678</v>
      </c>
      <c r="V84">
        <v>0.99882599999999999</v>
      </c>
      <c r="W84">
        <v>1.0001770000000001</v>
      </c>
      <c r="X84">
        <v>1.0001770000000001</v>
      </c>
      <c r="Y84">
        <v>2817156195</v>
      </c>
      <c r="Z84">
        <v>1.080511</v>
      </c>
      <c r="AA84">
        <v>1.091407</v>
      </c>
      <c r="AB84">
        <v>1.0347170000000001</v>
      </c>
      <c r="AC84">
        <v>1.0581989999999999</v>
      </c>
      <c r="AD84">
        <v>1.0581989999999999</v>
      </c>
      <c r="AE84">
        <v>1401190670</v>
      </c>
      <c r="AK84" s="1">
        <v>44604</v>
      </c>
      <c r="AL84">
        <f t="shared" si="1"/>
        <v>2927.3864749999998</v>
      </c>
      <c r="AM84">
        <f>INDEX(A:AE,MATCH(AK84,worksheet!A:A,0),MATCH(worksheet!AM83,worksheet!A83:AE83,0))</f>
        <v>42412.300780999998</v>
      </c>
      <c r="AN84">
        <f>INDEX(A:AE,MATCH(AK84,worksheet!A:A,0),MATCH(worksheet!AN83,worksheet!A83:AE83,0))</f>
        <v>1.080511</v>
      </c>
      <c r="AO84">
        <f>INDEX(A:AE,MATCH(AK84,worksheet!A:A,0),MATCH(worksheet!AO83,worksheet!A83:AE83,0))</f>
        <v>1.0007200000000001</v>
      </c>
      <c r="AP84">
        <f>INDEX(A:AE,MATCH(AK84,worksheet!A:A,0),MATCH(worksheet!AP83,worksheet!A83:AE83,0))</f>
        <v>0.99938300000000002</v>
      </c>
    </row>
    <row r="85" spans="1:42" x14ac:dyDescent="0.25">
      <c r="A85" s="1">
        <v>44605</v>
      </c>
      <c r="B85">
        <v>2916.7895509999998</v>
      </c>
      <c r="C85">
        <v>2947.7766109999998</v>
      </c>
      <c r="D85">
        <v>2845.3977049999999</v>
      </c>
      <c r="E85">
        <v>2883.4633789999998</v>
      </c>
      <c r="F85">
        <v>2883.4633789999998</v>
      </c>
      <c r="G85">
        <v>9054963563</v>
      </c>
      <c r="H85">
        <v>42236.566405999998</v>
      </c>
      <c r="I85">
        <v>42693.054687999997</v>
      </c>
      <c r="J85">
        <v>41950.941405999998</v>
      </c>
      <c r="K85">
        <v>42197.515625</v>
      </c>
      <c r="L85">
        <v>42197.515625</v>
      </c>
      <c r="M85">
        <v>14741589015</v>
      </c>
      <c r="N85">
        <v>1.000597</v>
      </c>
      <c r="O85">
        <v>1.000864</v>
      </c>
      <c r="P85">
        <v>1.0004169999999999</v>
      </c>
      <c r="Q85">
        <v>1.000456</v>
      </c>
      <c r="R85">
        <v>1.000456</v>
      </c>
      <c r="S85">
        <v>41277090178</v>
      </c>
      <c r="T85">
        <v>1.0001549999999999</v>
      </c>
      <c r="U85">
        <v>1.0006219999999999</v>
      </c>
      <c r="V85">
        <v>0.99876799999999999</v>
      </c>
      <c r="W85">
        <v>0.99998299999999996</v>
      </c>
      <c r="X85">
        <v>0.99998299999999996</v>
      </c>
      <c r="Y85">
        <v>2123450728</v>
      </c>
      <c r="Z85">
        <v>1.0580080000000001</v>
      </c>
      <c r="AA85">
        <v>1.0709439999999999</v>
      </c>
      <c r="AB85">
        <v>1.0356289999999999</v>
      </c>
      <c r="AC85">
        <v>1.0458190000000001</v>
      </c>
      <c r="AD85">
        <v>1.0458190000000001</v>
      </c>
      <c r="AE85">
        <v>1066206015</v>
      </c>
      <c r="AK85" s="1">
        <v>44605</v>
      </c>
      <c r="AL85">
        <f t="shared" si="1"/>
        <v>2916.7895509999998</v>
      </c>
      <c r="AM85">
        <f>INDEX(A:AE,MATCH(AK85,worksheet!A:A,0),MATCH(worksheet!AM84,worksheet!A84:AE84,0))</f>
        <v>42236.566405999998</v>
      </c>
      <c r="AN85">
        <f>INDEX(A:AE,MATCH(AK85,worksheet!A:A,0),MATCH(worksheet!AN84,worksheet!A84:AE84,0))</f>
        <v>1.0580080000000001</v>
      </c>
      <c r="AO85">
        <f>INDEX(A:AE,MATCH(AK85,worksheet!A:A,0),MATCH(worksheet!AO84,worksheet!A84:AE84,0))</f>
        <v>1.000597</v>
      </c>
      <c r="AP85">
        <f>INDEX(A:AE,MATCH(AK85,worksheet!A:A,0),MATCH(worksheet!AP84,worksheet!A84:AE84,0))</f>
        <v>1.0001549999999999</v>
      </c>
    </row>
    <row r="86" spans="1:42" x14ac:dyDescent="0.25">
      <c r="A86" s="1">
        <v>44606</v>
      </c>
      <c r="B86">
        <v>2880.1877439999998</v>
      </c>
      <c r="C86">
        <v>2957.9636230000001</v>
      </c>
      <c r="D86">
        <v>2840.257568</v>
      </c>
      <c r="E86">
        <v>2933.4790039999998</v>
      </c>
      <c r="F86">
        <v>2933.4790039999998</v>
      </c>
      <c r="G86">
        <v>12164552172</v>
      </c>
      <c r="H86">
        <v>42157.398437999997</v>
      </c>
      <c r="I86">
        <v>42775.777344000002</v>
      </c>
      <c r="J86">
        <v>41681.957030999998</v>
      </c>
      <c r="K86">
        <v>42586.917969000002</v>
      </c>
      <c r="L86">
        <v>42586.917969000002</v>
      </c>
      <c r="M86">
        <v>20827783012</v>
      </c>
      <c r="N86">
        <v>1.0004440000000001</v>
      </c>
      <c r="O86">
        <v>1.0008649999999999</v>
      </c>
      <c r="P86">
        <v>1.000326</v>
      </c>
      <c r="Q86">
        <v>1.000513</v>
      </c>
      <c r="R86">
        <v>1.000513</v>
      </c>
      <c r="S86">
        <v>48318327792</v>
      </c>
      <c r="T86">
        <v>0.99998500000000001</v>
      </c>
      <c r="U86">
        <v>1.000691</v>
      </c>
      <c r="V86">
        <v>0.99897800000000003</v>
      </c>
      <c r="W86">
        <v>0.99936499999999995</v>
      </c>
      <c r="X86">
        <v>0.99936499999999995</v>
      </c>
      <c r="Y86">
        <v>2963505590</v>
      </c>
      <c r="Z86">
        <v>1.045469</v>
      </c>
      <c r="AA86">
        <v>1.052781</v>
      </c>
      <c r="AB86">
        <v>1.0215289999999999</v>
      </c>
      <c r="AC86">
        <v>1.0502670000000001</v>
      </c>
      <c r="AD86">
        <v>1.0502670000000001</v>
      </c>
      <c r="AE86">
        <v>1261583495</v>
      </c>
      <c r="AK86" s="1">
        <v>44606</v>
      </c>
      <c r="AL86">
        <f t="shared" si="1"/>
        <v>2880.1877439999998</v>
      </c>
      <c r="AM86">
        <f>INDEX(A:AE,MATCH(AK86,worksheet!A:A,0),MATCH(worksheet!AM85,worksheet!A85:AE85,0))</f>
        <v>42157.398437999997</v>
      </c>
      <c r="AN86">
        <f>INDEX(A:AE,MATCH(AK86,worksheet!A:A,0),MATCH(worksheet!AN85,worksheet!A85:AE85,0))</f>
        <v>1.045469</v>
      </c>
      <c r="AO86">
        <f>INDEX(A:AE,MATCH(AK86,worksheet!A:A,0),MATCH(worksheet!AO85,worksheet!A85:AE85,0))</f>
        <v>1.0004440000000001</v>
      </c>
      <c r="AP86">
        <f>INDEX(A:AE,MATCH(AK86,worksheet!A:A,0),MATCH(worksheet!AP85,worksheet!A85:AE85,0))</f>
        <v>0.99998500000000001</v>
      </c>
    </row>
    <row r="87" spans="1:42" x14ac:dyDescent="0.25">
      <c r="A87" s="1">
        <v>44607</v>
      </c>
      <c r="B87">
        <v>2933.7290039999998</v>
      </c>
      <c r="C87">
        <v>3185.5207519999999</v>
      </c>
      <c r="D87">
        <v>2917.8571780000002</v>
      </c>
      <c r="E87">
        <v>3179.8771969999998</v>
      </c>
      <c r="F87">
        <v>3179.8771969999998</v>
      </c>
      <c r="G87">
        <v>13921257873</v>
      </c>
      <c r="H87">
        <v>42586.464844000002</v>
      </c>
      <c r="I87">
        <v>44667.21875</v>
      </c>
      <c r="J87">
        <v>42491.035155999998</v>
      </c>
      <c r="K87">
        <v>44575.203125</v>
      </c>
      <c r="L87">
        <v>44575.203125</v>
      </c>
      <c r="M87">
        <v>22721659051</v>
      </c>
      <c r="N87">
        <v>1.000513</v>
      </c>
      <c r="O87">
        <v>1.00074</v>
      </c>
      <c r="P87">
        <v>1.000364</v>
      </c>
      <c r="Q87">
        <v>1.0005850000000001</v>
      </c>
      <c r="R87">
        <v>1.0005850000000001</v>
      </c>
      <c r="S87">
        <v>53542330209</v>
      </c>
      <c r="T87">
        <v>0.99933000000000005</v>
      </c>
      <c r="U87">
        <v>1.0004150000000001</v>
      </c>
      <c r="V87">
        <v>0.998861</v>
      </c>
      <c r="W87">
        <v>0.99957099999999999</v>
      </c>
      <c r="X87">
        <v>0.99957099999999999</v>
      </c>
      <c r="Y87">
        <v>3303759191</v>
      </c>
      <c r="Z87">
        <v>1.0502180000000001</v>
      </c>
      <c r="AA87">
        <v>1.1133660000000001</v>
      </c>
      <c r="AB87">
        <v>1.0500179999999999</v>
      </c>
      <c r="AC87">
        <v>1.107586</v>
      </c>
      <c r="AD87">
        <v>1.107586</v>
      </c>
      <c r="AE87">
        <v>1370174980</v>
      </c>
      <c r="AK87" s="1">
        <v>44607</v>
      </c>
      <c r="AL87">
        <f t="shared" si="1"/>
        <v>2933.7290039999998</v>
      </c>
      <c r="AM87">
        <f>INDEX(A:AE,MATCH(AK87,worksheet!A:A,0),MATCH(worksheet!AM86,worksheet!A86:AE86,0))</f>
        <v>42586.464844000002</v>
      </c>
      <c r="AN87">
        <f>INDEX(A:AE,MATCH(AK87,worksheet!A:A,0),MATCH(worksheet!AN86,worksheet!A86:AE86,0))</f>
        <v>1.0502180000000001</v>
      </c>
      <c r="AO87">
        <f>INDEX(A:AE,MATCH(AK87,worksheet!A:A,0),MATCH(worksheet!AO86,worksheet!A86:AE86,0))</f>
        <v>1.000513</v>
      </c>
      <c r="AP87">
        <f>INDEX(A:AE,MATCH(AK87,worksheet!A:A,0),MATCH(worksheet!AP86,worksheet!A86:AE86,0))</f>
        <v>0.99933000000000005</v>
      </c>
    </row>
    <row r="88" spans="1:42" x14ac:dyDescent="0.25">
      <c r="A88" s="1">
        <v>44608</v>
      </c>
      <c r="B88">
        <v>3180.4467770000001</v>
      </c>
      <c r="C88">
        <v>3181.616943</v>
      </c>
      <c r="D88">
        <v>3055.1682129999999</v>
      </c>
      <c r="E88">
        <v>3127.830078</v>
      </c>
      <c r="F88">
        <v>3127.830078</v>
      </c>
      <c r="G88">
        <v>12352406833</v>
      </c>
      <c r="H88">
        <v>44578.277344000002</v>
      </c>
      <c r="I88">
        <v>44578.277344000002</v>
      </c>
      <c r="J88">
        <v>43456.691405999998</v>
      </c>
      <c r="K88">
        <v>43961.859375</v>
      </c>
      <c r="L88">
        <v>43961.859375</v>
      </c>
      <c r="M88">
        <v>19792547657</v>
      </c>
      <c r="N88">
        <v>1.0005999999999999</v>
      </c>
      <c r="O88">
        <v>1.000699</v>
      </c>
      <c r="P88">
        <v>1.00034</v>
      </c>
      <c r="Q88">
        <v>1.000397</v>
      </c>
      <c r="R88">
        <v>1.000397</v>
      </c>
      <c r="S88">
        <v>48729582312</v>
      </c>
      <c r="T88">
        <v>0.99960899999999997</v>
      </c>
      <c r="U88">
        <v>1.0006660000000001</v>
      </c>
      <c r="V88">
        <v>0.99892199999999998</v>
      </c>
      <c r="W88">
        <v>0.999776</v>
      </c>
      <c r="X88">
        <v>0.999776</v>
      </c>
      <c r="Y88">
        <v>3231224663</v>
      </c>
      <c r="Z88">
        <v>1.107631</v>
      </c>
      <c r="AA88">
        <v>1.110541</v>
      </c>
      <c r="AB88">
        <v>1.0692889999999999</v>
      </c>
      <c r="AC88">
        <v>1.084981</v>
      </c>
      <c r="AD88">
        <v>1.084981</v>
      </c>
      <c r="AE88">
        <v>1028924852</v>
      </c>
      <c r="AK88" s="1">
        <v>44608</v>
      </c>
      <c r="AL88">
        <f t="shared" si="1"/>
        <v>3180.4467770000001</v>
      </c>
      <c r="AM88">
        <f>INDEX(A:AE,MATCH(AK88,worksheet!A:A,0),MATCH(worksheet!AM87,worksheet!A87:AE87,0))</f>
        <v>44578.277344000002</v>
      </c>
      <c r="AN88">
        <f>INDEX(A:AE,MATCH(AK88,worksheet!A:A,0),MATCH(worksheet!AN87,worksheet!A87:AE87,0))</f>
        <v>1.107631</v>
      </c>
      <c r="AO88">
        <f>INDEX(A:AE,MATCH(AK88,worksheet!A:A,0),MATCH(worksheet!AO87,worksheet!A87:AE87,0))</f>
        <v>1.0005999999999999</v>
      </c>
      <c r="AP88">
        <f>INDEX(A:AE,MATCH(AK88,worksheet!A:A,0),MATCH(worksheet!AP87,worksheet!A87:AE87,0))</f>
        <v>0.99960899999999997</v>
      </c>
    </row>
    <row r="89" spans="1:42" x14ac:dyDescent="0.25">
      <c r="A89" s="1">
        <v>44609</v>
      </c>
      <c r="B89">
        <v>3126.8583979999999</v>
      </c>
      <c r="C89">
        <v>3154.6152339999999</v>
      </c>
      <c r="D89">
        <v>2861.8520509999998</v>
      </c>
      <c r="E89">
        <v>2881.4819339999999</v>
      </c>
      <c r="F89">
        <v>2881.4819339999999</v>
      </c>
      <c r="G89">
        <v>15860206214</v>
      </c>
      <c r="H89">
        <v>43937.070312999997</v>
      </c>
      <c r="I89">
        <v>44132.972655999998</v>
      </c>
      <c r="J89">
        <v>40249.371094000002</v>
      </c>
      <c r="K89">
        <v>40538.011719000002</v>
      </c>
      <c r="L89">
        <v>40538.011719000002</v>
      </c>
      <c r="M89">
        <v>26246662813</v>
      </c>
      <c r="N89">
        <v>1.0004029999999999</v>
      </c>
      <c r="O89">
        <v>1.0006010000000001</v>
      </c>
      <c r="P89">
        <v>1.0003249999999999</v>
      </c>
      <c r="Q89">
        <v>1.000515</v>
      </c>
      <c r="R89">
        <v>1.000515</v>
      </c>
      <c r="S89">
        <v>59426477844</v>
      </c>
      <c r="T89">
        <v>0.99969699999999995</v>
      </c>
      <c r="U89">
        <v>1.0004550000000001</v>
      </c>
      <c r="V89">
        <v>0.99888399999999999</v>
      </c>
      <c r="W89">
        <v>0.99940200000000001</v>
      </c>
      <c r="X89">
        <v>0.99940200000000001</v>
      </c>
      <c r="Y89">
        <v>3964363431</v>
      </c>
      <c r="Z89">
        <v>1.0843179999999999</v>
      </c>
      <c r="AA89">
        <v>1.091512</v>
      </c>
      <c r="AB89">
        <v>1.012222</v>
      </c>
      <c r="AC89">
        <v>1.019895</v>
      </c>
      <c r="AD89">
        <v>1.019895</v>
      </c>
      <c r="AE89">
        <v>1093325576</v>
      </c>
      <c r="AK89" s="1">
        <v>44609</v>
      </c>
      <c r="AL89">
        <f t="shared" si="1"/>
        <v>3126.8583979999999</v>
      </c>
      <c r="AM89">
        <f>INDEX(A:AE,MATCH(AK89,worksheet!A:A,0),MATCH(worksheet!AM88,worksheet!A88:AE88,0))</f>
        <v>43937.070312999997</v>
      </c>
      <c r="AN89">
        <f>INDEX(A:AE,MATCH(AK89,worksheet!A:A,0),MATCH(worksheet!AN88,worksheet!A88:AE88,0))</f>
        <v>1.0843179999999999</v>
      </c>
      <c r="AO89">
        <f>INDEX(A:AE,MATCH(AK89,worksheet!A:A,0),MATCH(worksheet!AO88,worksheet!A88:AE88,0))</f>
        <v>1.0004029999999999</v>
      </c>
      <c r="AP89">
        <f>INDEX(A:AE,MATCH(AK89,worksheet!A:A,0),MATCH(worksheet!AP88,worksheet!A88:AE88,0))</f>
        <v>0.99969699999999995</v>
      </c>
    </row>
    <row r="90" spans="1:42" x14ac:dyDescent="0.25">
      <c r="A90" s="1">
        <v>44610</v>
      </c>
      <c r="B90">
        <v>2884.3405760000001</v>
      </c>
      <c r="C90">
        <v>2937.3085940000001</v>
      </c>
      <c r="D90">
        <v>2761.6433109999998</v>
      </c>
      <c r="E90">
        <v>2785.727539</v>
      </c>
      <c r="F90">
        <v>2785.727539</v>
      </c>
      <c r="G90">
        <v>15748173433</v>
      </c>
      <c r="H90">
        <v>40552.132812999997</v>
      </c>
      <c r="I90">
        <v>40929.152344000002</v>
      </c>
      <c r="J90">
        <v>39637.617187999997</v>
      </c>
      <c r="K90">
        <v>40030.976562999997</v>
      </c>
      <c r="L90">
        <v>40030.976562999997</v>
      </c>
      <c r="M90">
        <v>23310007704</v>
      </c>
      <c r="N90">
        <v>1.0005040000000001</v>
      </c>
      <c r="O90">
        <v>1.000707</v>
      </c>
      <c r="P90">
        <v>1.000402</v>
      </c>
      <c r="Q90">
        <v>1.000559</v>
      </c>
      <c r="R90">
        <v>1.000559</v>
      </c>
      <c r="S90">
        <v>52679060916</v>
      </c>
      <c r="T90">
        <v>0.99940399999999996</v>
      </c>
      <c r="U90">
        <v>1.0005729999999999</v>
      </c>
      <c r="V90">
        <v>0.99889899999999998</v>
      </c>
      <c r="W90">
        <v>0.99977099999999997</v>
      </c>
      <c r="X90">
        <v>0.99977099999999997</v>
      </c>
      <c r="Y90">
        <v>3506445548</v>
      </c>
      <c r="Z90">
        <v>1.0202230000000001</v>
      </c>
      <c r="AA90">
        <v>1.0413110000000001</v>
      </c>
      <c r="AB90">
        <v>0.98947300000000005</v>
      </c>
      <c r="AC90">
        <v>0.99711300000000003</v>
      </c>
      <c r="AD90">
        <v>0.99711300000000003</v>
      </c>
      <c r="AE90">
        <v>1288743412</v>
      </c>
      <c r="AK90" s="1">
        <v>44610</v>
      </c>
      <c r="AL90">
        <f t="shared" si="1"/>
        <v>2884.3405760000001</v>
      </c>
      <c r="AM90">
        <f>INDEX(A:AE,MATCH(AK90,worksheet!A:A,0),MATCH(worksheet!AM89,worksheet!A89:AE89,0))</f>
        <v>40552.132812999997</v>
      </c>
      <c r="AN90">
        <f>INDEX(A:AE,MATCH(AK90,worksheet!A:A,0),MATCH(worksheet!AN89,worksheet!A89:AE89,0))</f>
        <v>1.0202230000000001</v>
      </c>
      <c r="AO90">
        <f>INDEX(A:AE,MATCH(AK90,worksheet!A:A,0),MATCH(worksheet!AO89,worksheet!A89:AE89,0))</f>
        <v>1.0005040000000001</v>
      </c>
      <c r="AP90">
        <f>INDEX(A:AE,MATCH(AK90,worksheet!A:A,0),MATCH(worksheet!AP89,worksheet!A89:AE89,0))</f>
        <v>0.99940399999999996</v>
      </c>
    </row>
    <row r="91" spans="1:42" x14ac:dyDescent="0.25">
      <c r="A91" s="1">
        <v>44611</v>
      </c>
      <c r="B91">
        <v>2784.8728030000002</v>
      </c>
      <c r="C91">
        <v>2826.3479000000002</v>
      </c>
      <c r="D91">
        <v>2707.3784179999998</v>
      </c>
      <c r="E91">
        <v>2763.701172</v>
      </c>
      <c r="F91">
        <v>2763.701172</v>
      </c>
      <c r="G91">
        <v>9774183169</v>
      </c>
      <c r="H91">
        <v>40026.023437999997</v>
      </c>
      <c r="I91">
        <v>40418.878905999998</v>
      </c>
      <c r="J91">
        <v>39713.058594000002</v>
      </c>
      <c r="K91">
        <v>40122.15625</v>
      </c>
      <c r="L91">
        <v>40122.15625</v>
      </c>
      <c r="M91">
        <v>13736557863</v>
      </c>
      <c r="N91">
        <v>1.0005459999999999</v>
      </c>
      <c r="O91">
        <v>1.0007699999999999</v>
      </c>
      <c r="P91">
        <v>1.000407</v>
      </c>
      <c r="Q91">
        <v>1.0005759999999999</v>
      </c>
      <c r="R91">
        <v>1.0005759999999999</v>
      </c>
      <c r="S91">
        <v>37278604791</v>
      </c>
      <c r="T91">
        <v>0.99973400000000001</v>
      </c>
      <c r="U91">
        <v>1.000507</v>
      </c>
      <c r="V91">
        <v>0.99901799999999996</v>
      </c>
      <c r="W91">
        <v>0.99987000000000004</v>
      </c>
      <c r="X91">
        <v>0.99987000000000004</v>
      </c>
      <c r="Y91">
        <v>2094832701</v>
      </c>
      <c r="Z91">
        <v>0.99700500000000003</v>
      </c>
      <c r="AA91">
        <v>1.017854</v>
      </c>
      <c r="AB91">
        <v>0.97751399999999999</v>
      </c>
      <c r="AC91">
        <v>0.99770300000000001</v>
      </c>
      <c r="AD91">
        <v>0.99770300000000001</v>
      </c>
      <c r="AE91">
        <v>1104597763</v>
      </c>
      <c r="AK91" s="1">
        <v>44611</v>
      </c>
      <c r="AL91">
        <f t="shared" si="1"/>
        <v>2784.8728030000002</v>
      </c>
      <c r="AM91">
        <f>INDEX(A:AE,MATCH(AK91,worksheet!A:A,0),MATCH(worksheet!AM90,worksheet!A90:AE90,0))</f>
        <v>40026.023437999997</v>
      </c>
      <c r="AN91">
        <f>INDEX(A:AE,MATCH(AK91,worksheet!A:A,0),MATCH(worksheet!AN90,worksheet!A90:AE90,0))</f>
        <v>0.99700500000000003</v>
      </c>
      <c r="AO91">
        <f>INDEX(A:AE,MATCH(AK91,worksheet!A:A,0),MATCH(worksheet!AO90,worksheet!A90:AE90,0))</f>
        <v>1.0005459999999999</v>
      </c>
      <c r="AP91">
        <f>INDEX(A:AE,MATCH(AK91,worksheet!A:A,0),MATCH(worksheet!AP90,worksheet!A90:AE90,0))</f>
        <v>0.99973400000000001</v>
      </c>
    </row>
    <row r="92" spans="1:42" x14ac:dyDescent="0.25">
      <c r="A92" s="1">
        <v>44612</v>
      </c>
      <c r="B92">
        <v>2763.7565920000002</v>
      </c>
      <c r="C92">
        <v>2763.7565920000002</v>
      </c>
      <c r="D92">
        <v>2585.946289</v>
      </c>
      <c r="E92">
        <v>2628.6484380000002</v>
      </c>
      <c r="F92">
        <v>2628.6484380000002</v>
      </c>
      <c r="G92">
        <v>11641437834</v>
      </c>
      <c r="H92">
        <v>40118.101562999997</v>
      </c>
      <c r="I92">
        <v>40119.890625</v>
      </c>
      <c r="J92">
        <v>38112.8125</v>
      </c>
      <c r="K92">
        <v>38431.378905999998</v>
      </c>
      <c r="L92">
        <v>38431.378905999998</v>
      </c>
      <c r="M92">
        <v>18340576452</v>
      </c>
      <c r="N92">
        <v>1.0005850000000001</v>
      </c>
      <c r="O92">
        <v>1.0007900000000001</v>
      </c>
      <c r="P92">
        <v>1.000318</v>
      </c>
      <c r="Q92">
        <v>1.000408</v>
      </c>
      <c r="R92">
        <v>1.000408</v>
      </c>
      <c r="S92">
        <v>45611091002</v>
      </c>
      <c r="T92">
        <v>0.99986399999999998</v>
      </c>
      <c r="U92">
        <v>1.0007109999999999</v>
      </c>
      <c r="V92">
        <v>0.99887800000000004</v>
      </c>
      <c r="W92">
        <v>1.000003</v>
      </c>
      <c r="X92">
        <v>1.000003</v>
      </c>
      <c r="Y92">
        <v>2869319070</v>
      </c>
      <c r="Z92">
        <v>0.99762899999999999</v>
      </c>
      <c r="AA92">
        <v>0.99762899999999999</v>
      </c>
      <c r="AB92">
        <v>0.92329499999999998</v>
      </c>
      <c r="AC92">
        <v>0.93290200000000001</v>
      </c>
      <c r="AD92">
        <v>0.93290200000000001</v>
      </c>
      <c r="AE92">
        <v>1429017666</v>
      </c>
      <c r="AK92" s="1">
        <v>44612</v>
      </c>
      <c r="AL92">
        <f t="shared" si="1"/>
        <v>2763.7565920000002</v>
      </c>
      <c r="AM92">
        <f>INDEX(A:AE,MATCH(AK92,worksheet!A:A,0),MATCH(worksheet!AM91,worksheet!A91:AE91,0))</f>
        <v>40118.101562999997</v>
      </c>
      <c r="AN92">
        <f>INDEX(A:AE,MATCH(AK92,worksheet!A:A,0),MATCH(worksheet!AN91,worksheet!A91:AE91,0))</f>
        <v>0.99762899999999999</v>
      </c>
      <c r="AO92">
        <f>INDEX(A:AE,MATCH(AK92,worksheet!A:A,0),MATCH(worksheet!AO91,worksheet!A91:AE91,0))</f>
        <v>1.0005850000000001</v>
      </c>
      <c r="AP92">
        <f>INDEX(A:AE,MATCH(AK92,worksheet!A:A,0),MATCH(worksheet!AP91,worksheet!A91:AE91,0))</f>
        <v>0.99986399999999998</v>
      </c>
    </row>
    <row r="93" spans="1:42" x14ac:dyDescent="0.25">
      <c r="A93" s="1">
        <v>44613</v>
      </c>
      <c r="B93">
        <v>2627.6655270000001</v>
      </c>
      <c r="C93">
        <v>2752.4584960000002</v>
      </c>
      <c r="D93">
        <v>2568.2543949999999</v>
      </c>
      <c r="E93">
        <v>2573.8161620000001</v>
      </c>
      <c r="F93">
        <v>2573.8161620000001</v>
      </c>
      <c r="G93">
        <v>18646392740</v>
      </c>
      <c r="H93">
        <v>38423.210937999997</v>
      </c>
      <c r="I93">
        <v>39394.4375</v>
      </c>
      <c r="J93">
        <v>36950.476562999997</v>
      </c>
      <c r="K93">
        <v>37075.28125</v>
      </c>
      <c r="L93">
        <v>37075.28125</v>
      </c>
      <c r="M93">
        <v>29280402798</v>
      </c>
      <c r="N93">
        <v>1.000402</v>
      </c>
      <c r="O93">
        <v>1.000874</v>
      </c>
      <c r="P93">
        <v>1.000319</v>
      </c>
      <c r="Q93">
        <v>1.000502</v>
      </c>
      <c r="R93">
        <v>1.000502</v>
      </c>
      <c r="S93">
        <v>72043746349</v>
      </c>
      <c r="T93">
        <v>1.0000009999999999</v>
      </c>
      <c r="U93">
        <v>1.000856</v>
      </c>
      <c r="V93">
        <v>0.99883500000000003</v>
      </c>
      <c r="W93">
        <v>0.99933499999999997</v>
      </c>
      <c r="X93">
        <v>0.99933499999999997</v>
      </c>
      <c r="Y93">
        <v>5035066514</v>
      </c>
      <c r="Z93">
        <v>0.93245199999999995</v>
      </c>
      <c r="AA93">
        <v>0.98624699999999998</v>
      </c>
      <c r="AB93">
        <v>0.85771399999999998</v>
      </c>
      <c r="AC93">
        <v>0.858236</v>
      </c>
      <c r="AD93">
        <v>0.858236</v>
      </c>
      <c r="AE93">
        <v>2072270994</v>
      </c>
      <c r="AK93" s="1">
        <v>44613</v>
      </c>
      <c r="AL93">
        <f t="shared" si="1"/>
        <v>2627.6655270000001</v>
      </c>
      <c r="AM93">
        <f>INDEX(A:AE,MATCH(AK93,worksheet!A:A,0),MATCH(worksheet!AM92,worksheet!A92:AE92,0))</f>
        <v>38423.210937999997</v>
      </c>
      <c r="AN93">
        <f>INDEX(A:AE,MATCH(AK93,worksheet!A:A,0),MATCH(worksheet!AN92,worksheet!A92:AE92,0))</f>
        <v>0.93245199999999995</v>
      </c>
      <c r="AO93">
        <f>INDEX(A:AE,MATCH(AK93,worksheet!A:A,0),MATCH(worksheet!AO92,worksheet!A92:AE92,0))</f>
        <v>1.000402</v>
      </c>
      <c r="AP93">
        <f>INDEX(A:AE,MATCH(AK93,worksheet!A:A,0),MATCH(worksheet!AP92,worksheet!A92:AE92,0))</f>
        <v>1.0000009999999999</v>
      </c>
    </row>
    <row r="94" spans="1:42" x14ac:dyDescent="0.25">
      <c r="A94" s="1">
        <v>44614</v>
      </c>
      <c r="B94">
        <v>2572.898682</v>
      </c>
      <c r="C94">
        <v>2648.9167480000001</v>
      </c>
      <c r="D94">
        <v>2510.678711</v>
      </c>
      <c r="E94">
        <v>2639.2993160000001</v>
      </c>
      <c r="F94">
        <v>2639.2993160000001</v>
      </c>
      <c r="G94">
        <v>16360200507</v>
      </c>
      <c r="H94">
        <v>37068.769530999998</v>
      </c>
      <c r="I94">
        <v>38359.855469000002</v>
      </c>
      <c r="J94">
        <v>36488.933594000002</v>
      </c>
      <c r="K94">
        <v>38286.027344000002</v>
      </c>
      <c r="L94">
        <v>38286.027344000002</v>
      </c>
      <c r="M94">
        <v>25493150450</v>
      </c>
      <c r="N94">
        <v>1.000459</v>
      </c>
      <c r="O94">
        <v>1.0008440000000001</v>
      </c>
      <c r="P94">
        <v>1.0003470000000001</v>
      </c>
      <c r="Q94">
        <v>1.000704</v>
      </c>
      <c r="R94">
        <v>1.000704</v>
      </c>
      <c r="S94">
        <v>60539262856</v>
      </c>
      <c r="T94">
        <v>0.999359</v>
      </c>
      <c r="U94">
        <v>1.001063</v>
      </c>
      <c r="V94">
        <v>0.99882400000000005</v>
      </c>
      <c r="W94">
        <v>1.0000450000000001</v>
      </c>
      <c r="X94">
        <v>1.0000450000000001</v>
      </c>
      <c r="Y94">
        <v>4311028906</v>
      </c>
      <c r="Z94">
        <v>0.85812999999999995</v>
      </c>
      <c r="AA94">
        <v>0.89375599999999999</v>
      </c>
      <c r="AB94">
        <v>0.81999</v>
      </c>
      <c r="AC94">
        <v>0.88901699999999995</v>
      </c>
      <c r="AD94">
        <v>0.88901699999999995</v>
      </c>
      <c r="AE94">
        <v>2058499639</v>
      </c>
      <c r="AK94" s="1">
        <v>44614</v>
      </c>
      <c r="AL94">
        <f t="shared" si="1"/>
        <v>2572.898682</v>
      </c>
      <c r="AM94">
        <f>INDEX(A:AE,MATCH(AK94,worksheet!A:A,0),MATCH(worksheet!AM93,worksheet!A93:AE93,0))</f>
        <v>37068.769530999998</v>
      </c>
      <c r="AN94">
        <f>INDEX(A:AE,MATCH(AK94,worksheet!A:A,0),MATCH(worksheet!AN93,worksheet!A93:AE93,0))</f>
        <v>0.85812999999999995</v>
      </c>
      <c r="AO94">
        <f>INDEX(A:AE,MATCH(AK94,worksheet!A:A,0),MATCH(worksheet!AO93,worksheet!A93:AE93,0))</f>
        <v>1.000459</v>
      </c>
      <c r="AP94">
        <f>INDEX(A:AE,MATCH(AK94,worksheet!A:A,0),MATCH(worksheet!AP93,worksheet!A93:AE93,0))</f>
        <v>0.999359</v>
      </c>
    </row>
    <row r="95" spans="1:42" x14ac:dyDescent="0.25">
      <c r="A95" s="1">
        <v>44615</v>
      </c>
      <c r="B95">
        <v>2639.4470209999999</v>
      </c>
      <c r="C95">
        <v>2741.3684079999998</v>
      </c>
      <c r="D95">
        <v>2587.4128420000002</v>
      </c>
      <c r="E95">
        <v>2590.3596189999998</v>
      </c>
      <c r="F95">
        <v>2590.3596189999998</v>
      </c>
      <c r="G95">
        <v>13382637240</v>
      </c>
      <c r="H95">
        <v>38285.28125</v>
      </c>
      <c r="I95">
        <v>39122.394530999998</v>
      </c>
      <c r="J95">
        <v>37201.816405999998</v>
      </c>
      <c r="K95">
        <v>37296.570312999997</v>
      </c>
      <c r="L95">
        <v>37296.570312999997</v>
      </c>
      <c r="M95">
        <v>21849073843</v>
      </c>
      <c r="N95">
        <v>1.000712</v>
      </c>
      <c r="O95">
        <v>1.000961</v>
      </c>
      <c r="P95">
        <v>1.000453</v>
      </c>
      <c r="Q95">
        <v>1.0004980000000001</v>
      </c>
      <c r="R95">
        <v>1.0004980000000001</v>
      </c>
      <c r="S95">
        <v>54845607157</v>
      </c>
      <c r="T95">
        <v>1.000046</v>
      </c>
      <c r="U95">
        <v>1.0006980000000001</v>
      </c>
      <c r="V95">
        <v>0.99888100000000002</v>
      </c>
      <c r="W95">
        <v>0.99951299999999998</v>
      </c>
      <c r="X95">
        <v>0.99951299999999998</v>
      </c>
      <c r="Y95">
        <v>4088593001</v>
      </c>
      <c r="Z95">
        <v>0.88898900000000003</v>
      </c>
      <c r="AA95">
        <v>0.95543100000000003</v>
      </c>
      <c r="AB95">
        <v>0.86916899999999997</v>
      </c>
      <c r="AC95">
        <v>0.86916899999999997</v>
      </c>
      <c r="AD95">
        <v>0.86916899999999997</v>
      </c>
      <c r="AE95">
        <v>1824386011</v>
      </c>
      <c r="AK95" s="1">
        <v>44615</v>
      </c>
      <c r="AL95">
        <f t="shared" si="1"/>
        <v>2639.4470209999999</v>
      </c>
      <c r="AM95">
        <f>INDEX(A:AE,MATCH(AK95,worksheet!A:A,0),MATCH(worksheet!AM94,worksheet!A94:AE94,0))</f>
        <v>38285.28125</v>
      </c>
      <c r="AN95">
        <f>INDEX(A:AE,MATCH(AK95,worksheet!A:A,0),MATCH(worksheet!AN94,worksheet!A94:AE94,0))</f>
        <v>0.88898900000000003</v>
      </c>
      <c r="AO95">
        <f>INDEX(A:AE,MATCH(AK95,worksheet!A:A,0),MATCH(worksheet!AO94,worksheet!A94:AE94,0))</f>
        <v>1.000712</v>
      </c>
      <c r="AP95">
        <f>INDEX(A:AE,MATCH(AK95,worksheet!A:A,0),MATCH(worksheet!AP94,worksheet!A94:AE94,0))</f>
        <v>1.000046</v>
      </c>
    </row>
    <row r="96" spans="1:42" x14ac:dyDescent="0.25">
      <c r="A96" s="1">
        <v>44616</v>
      </c>
      <c r="B96">
        <v>2588.16626</v>
      </c>
      <c r="C96">
        <v>2689.047607</v>
      </c>
      <c r="D96">
        <v>2308.9147950000001</v>
      </c>
      <c r="E96">
        <v>2598.0671390000002</v>
      </c>
      <c r="F96">
        <v>2598.0671390000002</v>
      </c>
      <c r="G96">
        <v>29312342666</v>
      </c>
      <c r="H96">
        <v>37278.566405999998</v>
      </c>
      <c r="I96">
        <v>38968.839844000002</v>
      </c>
      <c r="J96">
        <v>34459.21875</v>
      </c>
      <c r="K96">
        <v>38332.609375</v>
      </c>
      <c r="L96">
        <v>38332.609375</v>
      </c>
      <c r="M96">
        <v>46383802093</v>
      </c>
      <c r="N96">
        <v>1.0005809999999999</v>
      </c>
      <c r="O96">
        <v>1.0010250000000001</v>
      </c>
      <c r="P96">
        <v>1.000299</v>
      </c>
      <c r="Q96">
        <v>1.0006360000000001</v>
      </c>
      <c r="R96">
        <v>1.0006360000000001</v>
      </c>
      <c r="S96">
        <v>107952010250</v>
      </c>
      <c r="T96">
        <v>0.99952099999999999</v>
      </c>
      <c r="U96">
        <v>1.0007170000000001</v>
      </c>
      <c r="V96">
        <v>0.99883999999999995</v>
      </c>
      <c r="W96">
        <v>0.99996300000000005</v>
      </c>
      <c r="X96">
        <v>0.99996300000000005</v>
      </c>
      <c r="Y96">
        <v>9044960990</v>
      </c>
      <c r="Z96">
        <v>0.86851500000000004</v>
      </c>
      <c r="AA96">
        <v>0.88234199999999996</v>
      </c>
      <c r="AB96">
        <v>0.75280999999999998</v>
      </c>
      <c r="AC96">
        <v>0.85342499999999999</v>
      </c>
      <c r="AD96">
        <v>0.85342499999999999</v>
      </c>
      <c r="AE96">
        <v>3629367685</v>
      </c>
      <c r="AK96" s="1">
        <v>44616</v>
      </c>
      <c r="AL96">
        <f t="shared" si="1"/>
        <v>2588.16626</v>
      </c>
      <c r="AM96">
        <f>INDEX(A:AE,MATCH(AK96,worksheet!A:A,0),MATCH(worksheet!AM95,worksheet!A95:AE95,0))</f>
        <v>37278.566405999998</v>
      </c>
      <c r="AN96">
        <f>INDEX(A:AE,MATCH(AK96,worksheet!A:A,0),MATCH(worksheet!AN95,worksheet!A95:AE95,0))</f>
        <v>0.86851500000000004</v>
      </c>
      <c r="AO96">
        <f>INDEX(A:AE,MATCH(AK96,worksheet!A:A,0),MATCH(worksheet!AO95,worksheet!A95:AE95,0))</f>
        <v>1.0005809999999999</v>
      </c>
      <c r="AP96">
        <f>INDEX(A:AE,MATCH(AK96,worksheet!A:A,0),MATCH(worksheet!AP95,worksheet!A95:AE95,0))</f>
        <v>0.99952099999999999</v>
      </c>
    </row>
    <row r="97" spans="1:42" x14ac:dyDescent="0.25">
      <c r="A97" s="1">
        <v>44617</v>
      </c>
      <c r="B97">
        <v>2598.436279</v>
      </c>
      <c r="C97">
        <v>2821.9724120000001</v>
      </c>
      <c r="D97">
        <v>2579.2080080000001</v>
      </c>
      <c r="E97">
        <v>2764.5356449999999</v>
      </c>
      <c r="F97">
        <v>2764.5356449999999</v>
      </c>
      <c r="G97">
        <v>17208902048</v>
      </c>
      <c r="H97">
        <v>38333.746094000002</v>
      </c>
      <c r="I97">
        <v>39630.324219000002</v>
      </c>
      <c r="J97">
        <v>38111.34375</v>
      </c>
      <c r="K97">
        <v>39214.21875</v>
      </c>
      <c r="L97">
        <v>39214.21875</v>
      </c>
      <c r="M97">
        <v>26545599159</v>
      </c>
      <c r="N97">
        <v>1.0006409999999999</v>
      </c>
      <c r="O97">
        <v>1.001107</v>
      </c>
      <c r="P97">
        <v>1.00034</v>
      </c>
      <c r="Q97">
        <v>1.0004740000000001</v>
      </c>
      <c r="R97">
        <v>1.0004740000000001</v>
      </c>
      <c r="S97">
        <v>66025345539</v>
      </c>
      <c r="T97">
        <v>0.99994400000000006</v>
      </c>
      <c r="U97">
        <v>1.000912</v>
      </c>
      <c r="V97">
        <v>0.999282</v>
      </c>
      <c r="W97">
        <v>0.99994300000000003</v>
      </c>
      <c r="X97">
        <v>0.99994300000000003</v>
      </c>
      <c r="Y97">
        <v>5563465156</v>
      </c>
      <c r="Z97">
        <v>0.853572</v>
      </c>
      <c r="AA97">
        <v>0.90654100000000004</v>
      </c>
      <c r="AB97">
        <v>0.82924399999999998</v>
      </c>
      <c r="AC97">
        <v>0.89802700000000002</v>
      </c>
      <c r="AD97">
        <v>0.89802700000000002</v>
      </c>
      <c r="AE97">
        <v>1652894219</v>
      </c>
      <c r="AK97" s="1">
        <v>44617</v>
      </c>
      <c r="AL97">
        <f t="shared" si="1"/>
        <v>2598.436279</v>
      </c>
      <c r="AM97">
        <f>INDEX(A:AE,MATCH(AK97,worksheet!A:A,0),MATCH(worksheet!AM96,worksheet!A96:AE96,0))</f>
        <v>38333.746094000002</v>
      </c>
      <c r="AN97">
        <f>INDEX(A:AE,MATCH(AK97,worksheet!A:A,0),MATCH(worksheet!AN96,worksheet!A96:AE96,0))</f>
        <v>0.853572</v>
      </c>
      <c r="AO97">
        <f>INDEX(A:AE,MATCH(AK97,worksheet!A:A,0),MATCH(worksheet!AO96,worksheet!A96:AE96,0))</f>
        <v>1.0006409999999999</v>
      </c>
      <c r="AP97">
        <f>INDEX(A:AE,MATCH(AK97,worksheet!A:A,0),MATCH(worksheet!AP96,worksheet!A96:AE96,0))</f>
        <v>0.99994400000000006</v>
      </c>
    </row>
    <row r="98" spans="1:42" x14ac:dyDescent="0.25">
      <c r="A98" s="1">
        <v>44618</v>
      </c>
      <c r="B98">
        <v>2764.9895019999999</v>
      </c>
      <c r="C98">
        <v>2849.4240719999998</v>
      </c>
      <c r="D98">
        <v>2745.0090329999998</v>
      </c>
      <c r="E98">
        <v>2781.1118160000001</v>
      </c>
      <c r="F98">
        <v>2781.1118160000001</v>
      </c>
      <c r="G98">
        <v>11724648351</v>
      </c>
      <c r="H98">
        <v>39213.082030999998</v>
      </c>
      <c r="I98">
        <v>40005.347655999998</v>
      </c>
      <c r="J98">
        <v>38702.535155999998</v>
      </c>
      <c r="K98">
        <v>39105.148437999997</v>
      </c>
      <c r="L98">
        <v>39105.148437999997</v>
      </c>
      <c r="M98">
        <v>17467554129</v>
      </c>
      <c r="N98">
        <v>1.000486</v>
      </c>
      <c r="O98">
        <v>1.0007219999999999</v>
      </c>
      <c r="P98">
        <v>1.000291</v>
      </c>
      <c r="Q98">
        <v>1.000397</v>
      </c>
      <c r="R98">
        <v>1.000397</v>
      </c>
      <c r="S98">
        <v>46708690534</v>
      </c>
      <c r="T98">
        <v>0.99990400000000002</v>
      </c>
      <c r="U98">
        <v>1.000397</v>
      </c>
      <c r="V98">
        <v>0.999135</v>
      </c>
      <c r="W98">
        <v>0.99999199999999999</v>
      </c>
      <c r="X98">
        <v>0.99999199999999999</v>
      </c>
      <c r="Y98">
        <v>3262045031</v>
      </c>
      <c r="Z98">
        <v>0.89799600000000002</v>
      </c>
      <c r="AA98">
        <v>0.92829600000000001</v>
      </c>
      <c r="AB98">
        <v>0.88540099999999999</v>
      </c>
      <c r="AC98">
        <v>0.88791799999999999</v>
      </c>
      <c r="AD98">
        <v>0.88791799999999999</v>
      </c>
      <c r="AE98">
        <v>1099934921</v>
      </c>
      <c r="AK98" s="1">
        <v>44618</v>
      </c>
      <c r="AL98">
        <f t="shared" si="1"/>
        <v>2764.9895019999999</v>
      </c>
      <c r="AM98">
        <f>INDEX(A:AE,MATCH(AK98,worksheet!A:A,0),MATCH(worksheet!AM97,worksheet!A97:AE97,0))</f>
        <v>39213.082030999998</v>
      </c>
      <c r="AN98">
        <f>INDEX(A:AE,MATCH(AK98,worksheet!A:A,0),MATCH(worksheet!AN97,worksheet!A97:AE97,0))</f>
        <v>0.89799600000000002</v>
      </c>
      <c r="AO98">
        <f>INDEX(A:AE,MATCH(AK98,worksheet!A:A,0),MATCH(worksheet!AO97,worksheet!A97:AE97,0))</f>
        <v>1.000486</v>
      </c>
      <c r="AP98">
        <f>INDEX(A:AE,MATCH(AK98,worksheet!A:A,0),MATCH(worksheet!AP97,worksheet!A97:AE97,0))</f>
        <v>0.99990400000000002</v>
      </c>
    </row>
    <row r="99" spans="1:42" x14ac:dyDescent="0.25">
      <c r="A99" s="1">
        <v>44619</v>
      </c>
      <c r="B99">
        <v>2780.5043949999999</v>
      </c>
      <c r="C99">
        <v>2831.1254880000001</v>
      </c>
      <c r="D99">
        <v>2581.6157229999999</v>
      </c>
      <c r="E99">
        <v>2621.8017580000001</v>
      </c>
      <c r="F99">
        <v>2621.8017580000001</v>
      </c>
      <c r="G99">
        <v>16150857254</v>
      </c>
      <c r="H99">
        <v>39098.699219000002</v>
      </c>
      <c r="I99">
        <v>39778.941405999998</v>
      </c>
      <c r="J99">
        <v>37268.976562999997</v>
      </c>
      <c r="K99">
        <v>37709.785155999998</v>
      </c>
      <c r="L99">
        <v>37709.785155999998</v>
      </c>
      <c r="M99">
        <v>23450127612</v>
      </c>
      <c r="N99">
        <v>1.0003930000000001</v>
      </c>
      <c r="O99">
        <v>1.0007900000000001</v>
      </c>
      <c r="P99">
        <v>1.0002660000000001</v>
      </c>
      <c r="Q99">
        <v>1.000491</v>
      </c>
      <c r="R99">
        <v>1.000491</v>
      </c>
      <c r="S99">
        <v>57257598779</v>
      </c>
      <c r="T99">
        <v>0.99993500000000002</v>
      </c>
      <c r="U99">
        <v>1.0004200000000001</v>
      </c>
      <c r="V99">
        <v>0.99854500000000002</v>
      </c>
      <c r="W99">
        <v>0.999722</v>
      </c>
      <c r="X99">
        <v>0.999722</v>
      </c>
      <c r="Y99">
        <v>4352100239</v>
      </c>
      <c r="Z99">
        <v>0.88778800000000002</v>
      </c>
      <c r="AA99">
        <v>0.91267600000000004</v>
      </c>
      <c r="AB99">
        <v>0.84014599999999995</v>
      </c>
      <c r="AC99">
        <v>0.85833499999999996</v>
      </c>
      <c r="AD99">
        <v>0.85833499999999996</v>
      </c>
      <c r="AE99">
        <v>1278510571</v>
      </c>
      <c r="AK99" s="1">
        <v>44619</v>
      </c>
      <c r="AL99">
        <f t="shared" si="1"/>
        <v>2780.5043949999999</v>
      </c>
      <c r="AM99">
        <f>INDEX(A:AE,MATCH(AK99,worksheet!A:A,0),MATCH(worksheet!AM98,worksheet!A98:AE98,0))</f>
        <v>39098.699219000002</v>
      </c>
      <c r="AN99">
        <f>INDEX(A:AE,MATCH(AK99,worksheet!A:A,0),MATCH(worksheet!AN98,worksheet!A98:AE98,0))</f>
        <v>0.88778800000000002</v>
      </c>
      <c r="AO99">
        <f>INDEX(A:AE,MATCH(AK99,worksheet!A:A,0),MATCH(worksheet!AO98,worksheet!A98:AE98,0))</f>
        <v>1.0003930000000001</v>
      </c>
      <c r="AP99">
        <f>INDEX(A:AE,MATCH(AK99,worksheet!A:A,0),MATCH(worksheet!AP98,worksheet!A98:AE98,0))</f>
        <v>0.99993500000000002</v>
      </c>
    </row>
    <row r="100" spans="1:42" x14ac:dyDescent="0.25">
      <c r="A100" s="1">
        <v>44620</v>
      </c>
      <c r="B100">
        <v>2621.1721189999998</v>
      </c>
      <c r="C100">
        <v>2929.1804200000001</v>
      </c>
      <c r="D100">
        <v>2586.3881839999999</v>
      </c>
      <c r="E100">
        <v>2919.201172</v>
      </c>
      <c r="F100">
        <v>2919.201172</v>
      </c>
      <c r="G100">
        <v>19266124733</v>
      </c>
      <c r="H100">
        <v>37706</v>
      </c>
      <c r="I100">
        <v>43760.457030999998</v>
      </c>
      <c r="J100">
        <v>37518.214844000002</v>
      </c>
      <c r="K100">
        <v>43193.234375</v>
      </c>
      <c r="L100">
        <v>43193.234375</v>
      </c>
      <c r="M100">
        <v>35690014104</v>
      </c>
      <c r="N100">
        <v>1.000507</v>
      </c>
      <c r="O100">
        <v>1.0010140000000001</v>
      </c>
      <c r="P100">
        <v>1.0002230000000001</v>
      </c>
      <c r="Q100">
        <v>1.000351</v>
      </c>
      <c r="R100">
        <v>1.000351</v>
      </c>
      <c r="S100">
        <v>72330789600</v>
      </c>
      <c r="T100">
        <v>0.99968800000000002</v>
      </c>
      <c r="U100">
        <v>1.0005710000000001</v>
      </c>
      <c r="V100">
        <v>0.99887499999999996</v>
      </c>
      <c r="W100">
        <v>0.99985299999999999</v>
      </c>
      <c r="X100">
        <v>0.99985299999999999</v>
      </c>
      <c r="Y100">
        <v>5502186592</v>
      </c>
      <c r="Z100">
        <v>0.85787000000000002</v>
      </c>
      <c r="AA100">
        <v>0.96761299999999995</v>
      </c>
      <c r="AB100">
        <v>0.84504000000000001</v>
      </c>
      <c r="AC100">
        <v>0.95982800000000001</v>
      </c>
      <c r="AD100">
        <v>0.95982800000000001</v>
      </c>
      <c r="AE100">
        <v>1779202386</v>
      </c>
      <c r="AK100" s="1">
        <v>44620</v>
      </c>
      <c r="AL100">
        <f t="shared" si="1"/>
        <v>2621.1721189999998</v>
      </c>
      <c r="AM100">
        <f>INDEX(A:AE,MATCH(AK100,worksheet!A:A,0),MATCH(worksheet!AM99,worksheet!A99:AE99,0))</f>
        <v>37706</v>
      </c>
      <c r="AN100">
        <f>INDEX(A:AE,MATCH(AK100,worksheet!A:A,0),MATCH(worksheet!AN99,worksheet!A99:AE99,0))</f>
        <v>0.85787000000000002</v>
      </c>
      <c r="AO100">
        <f>INDEX(A:AE,MATCH(AK100,worksheet!A:A,0),MATCH(worksheet!AO99,worksheet!A99:AE99,0))</f>
        <v>1.000507</v>
      </c>
      <c r="AP100">
        <f>INDEX(A:AE,MATCH(AK100,worksheet!A:A,0),MATCH(worksheet!AP99,worksheet!A99:AE99,0))</f>
        <v>0.99968800000000002</v>
      </c>
    </row>
    <row r="101" spans="1:42" x14ac:dyDescent="0.25">
      <c r="A101" s="1">
        <v>44621</v>
      </c>
      <c r="B101">
        <v>2919.7758789999998</v>
      </c>
      <c r="C101">
        <v>3029.6516109999998</v>
      </c>
      <c r="D101">
        <v>2868.9389649999998</v>
      </c>
      <c r="E101">
        <v>2972.485107</v>
      </c>
      <c r="F101">
        <v>2972.485107</v>
      </c>
      <c r="G101">
        <v>18757425786</v>
      </c>
      <c r="H101">
        <v>43194.503905999998</v>
      </c>
      <c r="I101">
        <v>44793.601562999997</v>
      </c>
      <c r="J101">
        <v>42952.585937999997</v>
      </c>
      <c r="K101">
        <v>44354.636719000002</v>
      </c>
      <c r="L101">
        <v>44354.636719000002</v>
      </c>
      <c r="M101">
        <v>32479047645</v>
      </c>
      <c r="N101">
        <v>1.000359</v>
      </c>
      <c r="O101">
        <v>1.0006060000000001</v>
      </c>
      <c r="P101">
        <v>1.0001800000000001</v>
      </c>
      <c r="Q101">
        <v>1.0004519999999999</v>
      </c>
      <c r="R101">
        <v>1.0004519999999999</v>
      </c>
      <c r="S101">
        <v>75388694286</v>
      </c>
      <c r="T101">
        <v>0.99983999999999995</v>
      </c>
      <c r="U101">
        <v>1.0005230000000001</v>
      </c>
      <c r="V101">
        <v>0.99850499999999998</v>
      </c>
      <c r="W101">
        <v>0.99981399999999998</v>
      </c>
      <c r="X101">
        <v>0.99981399999999998</v>
      </c>
      <c r="Y101">
        <v>5617261430</v>
      </c>
      <c r="Z101">
        <v>0.95988600000000002</v>
      </c>
      <c r="AA101">
        <v>1.005403</v>
      </c>
      <c r="AB101">
        <v>0.94493499999999997</v>
      </c>
      <c r="AC101">
        <v>0.96234600000000003</v>
      </c>
      <c r="AD101">
        <v>0.96234600000000003</v>
      </c>
      <c r="AE101">
        <v>1778795527</v>
      </c>
      <c r="AK101" s="1">
        <v>44621</v>
      </c>
      <c r="AL101">
        <f t="shared" si="1"/>
        <v>2919.7758789999998</v>
      </c>
      <c r="AM101">
        <f>INDEX(A:AE,MATCH(AK101,worksheet!A:A,0),MATCH(worksheet!AM100,worksheet!A100:AE100,0))</f>
        <v>43194.503905999998</v>
      </c>
      <c r="AN101">
        <f>INDEX(A:AE,MATCH(AK101,worksheet!A:A,0),MATCH(worksheet!AN100,worksheet!A100:AE100,0))</f>
        <v>0.95988600000000002</v>
      </c>
      <c r="AO101">
        <f>INDEX(A:AE,MATCH(AK101,worksheet!A:A,0),MATCH(worksheet!AO100,worksheet!A100:AE100,0))</f>
        <v>1.000359</v>
      </c>
      <c r="AP101">
        <f>INDEX(A:AE,MATCH(AK101,worksheet!A:A,0),MATCH(worksheet!AP100,worksheet!A100:AE100,0))</f>
        <v>0.99983999999999995</v>
      </c>
    </row>
    <row r="102" spans="1:42" x14ac:dyDescent="0.25">
      <c r="A102" s="1">
        <v>44622</v>
      </c>
      <c r="B102">
        <v>2972.4719239999999</v>
      </c>
      <c r="C102">
        <v>3026.868164</v>
      </c>
      <c r="D102">
        <v>2919.943115</v>
      </c>
      <c r="E102">
        <v>2950.1184079999998</v>
      </c>
      <c r="F102">
        <v>2950.1184079999998</v>
      </c>
      <c r="G102">
        <v>16636517503</v>
      </c>
      <c r="H102">
        <v>44357.617187999997</v>
      </c>
      <c r="I102">
        <v>45077.578125</v>
      </c>
      <c r="J102">
        <v>43432.851562999997</v>
      </c>
      <c r="K102">
        <v>43924.117187999997</v>
      </c>
      <c r="L102">
        <v>43924.117187999997</v>
      </c>
      <c r="M102">
        <v>29183112630</v>
      </c>
      <c r="N102">
        <v>1.0004519999999999</v>
      </c>
      <c r="O102">
        <v>1.000667</v>
      </c>
      <c r="P102">
        <v>1.000243</v>
      </c>
      <c r="Q102">
        <v>1.000467</v>
      </c>
      <c r="R102">
        <v>1.000467</v>
      </c>
      <c r="S102">
        <v>68076385283</v>
      </c>
      <c r="T102">
        <v>0.999803</v>
      </c>
      <c r="U102">
        <v>1.0005850000000001</v>
      </c>
      <c r="V102">
        <v>0.99877000000000005</v>
      </c>
      <c r="W102">
        <v>0.99956900000000004</v>
      </c>
      <c r="X102">
        <v>0.99956900000000004</v>
      </c>
      <c r="Y102">
        <v>5351706956</v>
      </c>
      <c r="Z102">
        <v>0.96242499999999997</v>
      </c>
      <c r="AA102">
        <v>0.97362899999999997</v>
      </c>
      <c r="AB102">
        <v>0.92906200000000005</v>
      </c>
      <c r="AC102">
        <v>0.938662</v>
      </c>
      <c r="AD102">
        <v>0.938662</v>
      </c>
      <c r="AE102">
        <v>1262681262</v>
      </c>
      <c r="AK102" s="1">
        <v>44622</v>
      </c>
      <c r="AL102">
        <f t="shared" si="1"/>
        <v>2972.4719239999999</v>
      </c>
      <c r="AM102">
        <f>INDEX(A:AE,MATCH(AK102,worksheet!A:A,0),MATCH(worksheet!AM101,worksheet!A101:AE101,0))</f>
        <v>44357.617187999997</v>
      </c>
      <c r="AN102">
        <f>INDEX(A:AE,MATCH(AK102,worksheet!A:A,0),MATCH(worksheet!AN101,worksheet!A101:AE101,0))</f>
        <v>0.96242499999999997</v>
      </c>
      <c r="AO102">
        <f>INDEX(A:AE,MATCH(AK102,worksheet!A:A,0),MATCH(worksheet!AO101,worksheet!A101:AE101,0))</f>
        <v>1.0004519999999999</v>
      </c>
      <c r="AP102">
        <f>INDEX(A:AE,MATCH(AK102,worksheet!A:A,0),MATCH(worksheet!AP101,worksheet!A101:AE101,0))</f>
        <v>0.999803</v>
      </c>
    </row>
    <row r="103" spans="1:42" x14ac:dyDescent="0.25">
      <c r="A103" s="1">
        <v>44623</v>
      </c>
      <c r="B103">
        <v>2950.1567380000001</v>
      </c>
      <c r="C103">
        <v>2964.6733399999998</v>
      </c>
      <c r="D103">
        <v>2797.319336</v>
      </c>
      <c r="E103">
        <v>2834.4689939999998</v>
      </c>
      <c r="F103">
        <v>2834.4689939999998</v>
      </c>
      <c r="G103">
        <v>13091199728</v>
      </c>
      <c r="H103">
        <v>43925.195312999997</v>
      </c>
      <c r="I103">
        <v>44021.578125</v>
      </c>
      <c r="J103">
        <v>41914.75</v>
      </c>
      <c r="K103">
        <v>42451.789062999997</v>
      </c>
      <c r="L103">
        <v>42451.789062999997</v>
      </c>
      <c r="M103">
        <v>24967782593</v>
      </c>
      <c r="N103">
        <v>1.0004729999999999</v>
      </c>
      <c r="O103">
        <v>1.0005649999999999</v>
      </c>
      <c r="P103">
        <v>0.99995800000000001</v>
      </c>
      <c r="Q103">
        <v>1.0000169999999999</v>
      </c>
      <c r="R103">
        <v>1.0000169999999999</v>
      </c>
      <c r="S103">
        <v>57033279685</v>
      </c>
      <c r="T103">
        <v>0.99956400000000001</v>
      </c>
      <c r="U103">
        <v>1.0005029999999999</v>
      </c>
      <c r="V103">
        <v>0.99904099999999996</v>
      </c>
      <c r="W103">
        <v>0.99993399999999999</v>
      </c>
      <c r="X103">
        <v>0.99993399999999999</v>
      </c>
      <c r="Y103">
        <v>3923999317</v>
      </c>
      <c r="Z103">
        <v>0.93872199999999995</v>
      </c>
      <c r="AA103">
        <v>0.944079</v>
      </c>
      <c r="AB103">
        <v>0.886073</v>
      </c>
      <c r="AC103">
        <v>0.90265899999999999</v>
      </c>
      <c r="AD103">
        <v>0.90265899999999999</v>
      </c>
      <c r="AE103">
        <v>986233549</v>
      </c>
      <c r="AK103" s="1">
        <v>44623</v>
      </c>
      <c r="AL103">
        <f t="shared" si="1"/>
        <v>2950.1567380000001</v>
      </c>
      <c r="AM103">
        <f>INDEX(A:AE,MATCH(AK103,worksheet!A:A,0),MATCH(worksheet!AM102,worksheet!A102:AE102,0))</f>
        <v>43925.195312999997</v>
      </c>
      <c r="AN103">
        <f>INDEX(A:AE,MATCH(AK103,worksheet!A:A,0),MATCH(worksheet!AN102,worksheet!A102:AE102,0))</f>
        <v>0.93872199999999995</v>
      </c>
      <c r="AO103">
        <f>INDEX(A:AE,MATCH(AK103,worksheet!A:A,0),MATCH(worksheet!AO102,worksheet!A102:AE102,0))</f>
        <v>1.0004729999999999</v>
      </c>
      <c r="AP103">
        <f>INDEX(A:AE,MATCH(AK103,worksheet!A:A,0),MATCH(worksheet!AP102,worksheet!A102:AE102,0))</f>
        <v>0.99956400000000001</v>
      </c>
    </row>
    <row r="104" spans="1:42" x14ac:dyDescent="0.25">
      <c r="A104" s="1">
        <v>44624</v>
      </c>
      <c r="B104">
        <v>2834.9873050000001</v>
      </c>
      <c r="C104">
        <v>2835.1762699999999</v>
      </c>
      <c r="D104">
        <v>2587.7482909999999</v>
      </c>
      <c r="E104">
        <v>2617.1560060000002</v>
      </c>
      <c r="F104">
        <v>2617.1560060000002</v>
      </c>
      <c r="G104">
        <v>14496939024</v>
      </c>
      <c r="H104">
        <v>42458.140625</v>
      </c>
      <c r="I104">
        <v>42479.613280999998</v>
      </c>
      <c r="J104">
        <v>38805.847655999998</v>
      </c>
      <c r="K104">
        <v>39137.605469000002</v>
      </c>
      <c r="L104">
        <v>39137.605469000002</v>
      </c>
      <c r="M104">
        <v>28516271427</v>
      </c>
      <c r="N104">
        <v>1.0000150000000001</v>
      </c>
      <c r="O104">
        <v>1.000726</v>
      </c>
      <c r="P104">
        <v>1</v>
      </c>
      <c r="Q104">
        <v>1.000197</v>
      </c>
      <c r="R104">
        <v>1.000197</v>
      </c>
      <c r="S104">
        <v>61900652306</v>
      </c>
      <c r="T104">
        <v>0.99995900000000004</v>
      </c>
      <c r="U104">
        <v>1.000685</v>
      </c>
      <c r="V104">
        <v>0.99907199999999996</v>
      </c>
      <c r="W104">
        <v>0.99984099999999998</v>
      </c>
      <c r="X104">
        <v>0.99984099999999998</v>
      </c>
      <c r="Y104">
        <v>4810312635</v>
      </c>
      <c r="Z104">
        <v>0.90279299999999996</v>
      </c>
      <c r="AA104">
        <v>0.90305000000000002</v>
      </c>
      <c r="AB104">
        <v>0.83086099999999996</v>
      </c>
      <c r="AC104">
        <v>0.842889</v>
      </c>
      <c r="AD104">
        <v>0.842889</v>
      </c>
      <c r="AE104">
        <v>1115108721</v>
      </c>
      <c r="AK104" s="1">
        <v>44624</v>
      </c>
      <c r="AL104">
        <f t="shared" si="1"/>
        <v>2834.9873050000001</v>
      </c>
      <c r="AM104">
        <f>INDEX(A:AE,MATCH(AK104,worksheet!A:A,0),MATCH(worksheet!AM103,worksheet!A103:AE103,0))</f>
        <v>42458.140625</v>
      </c>
      <c r="AN104">
        <f>INDEX(A:AE,MATCH(AK104,worksheet!A:A,0),MATCH(worksheet!AN103,worksheet!A103:AE103,0))</f>
        <v>0.90279299999999996</v>
      </c>
      <c r="AO104">
        <f>INDEX(A:AE,MATCH(AK104,worksheet!A:A,0),MATCH(worksheet!AO103,worksheet!A103:AE103,0))</f>
        <v>1.0000150000000001</v>
      </c>
      <c r="AP104">
        <f>INDEX(A:AE,MATCH(AK104,worksheet!A:A,0),MATCH(worksheet!AP103,worksheet!A103:AE103,0))</f>
        <v>0.99995900000000004</v>
      </c>
    </row>
    <row r="105" spans="1:42" x14ac:dyDescent="0.25">
      <c r="A105" s="1">
        <v>44625</v>
      </c>
      <c r="B105">
        <v>2618.4736330000001</v>
      </c>
      <c r="C105">
        <v>2679.102539</v>
      </c>
      <c r="D105">
        <v>2596.98999</v>
      </c>
      <c r="E105">
        <v>2664.8310550000001</v>
      </c>
      <c r="F105">
        <v>2664.8310550000001</v>
      </c>
      <c r="G105">
        <v>8072368396</v>
      </c>
      <c r="H105">
        <v>39148.449219000002</v>
      </c>
      <c r="I105">
        <v>39566.335937999997</v>
      </c>
      <c r="J105">
        <v>38777.035155999998</v>
      </c>
      <c r="K105">
        <v>39400.585937999997</v>
      </c>
      <c r="L105">
        <v>39400.585937999997</v>
      </c>
      <c r="M105">
        <v>16975917450</v>
      </c>
      <c r="N105">
        <v>1.000197</v>
      </c>
      <c r="O105">
        <v>1.000381</v>
      </c>
      <c r="P105">
        <v>1.0000869999999999</v>
      </c>
      <c r="Q105">
        <v>1.000275</v>
      </c>
      <c r="R105">
        <v>1.000275</v>
      </c>
      <c r="S105">
        <v>39306054797</v>
      </c>
      <c r="T105">
        <v>0.99992199999999998</v>
      </c>
      <c r="U105">
        <v>1.000888</v>
      </c>
      <c r="V105">
        <v>0.99774499999999999</v>
      </c>
      <c r="W105">
        <v>0.99937100000000001</v>
      </c>
      <c r="X105">
        <v>0.99937100000000001</v>
      </c>
      <c r="Y105">
        <v>2645372913</v>
      </c>
      <c r="Z105">
        <v>0.84317500000000001</v>
      </c>
      <c r="AA105">
        <v>0.88093999999999995</v>
      </c>
      <c r="AB105">
        <v>0.82483899999999999</v>
      </c>
      <c r="AC105">
        <v>0.865672</v>
      </c>
      <c r="AD105">
        <v>0.865672</v>
      </c>
      <c r="AE105">
        <v>734896311</v>
      </c>
      <c r="AK105" s="1">
        <v>44625</v>
      </c>
      <c r="AL105">
        <f t="shared" si="1"/>
        <v>2618.4736330000001</v>
      </c>
      <c r="AM105">
        <f>INDEX(A:AE,MATCH(AK105,worksheet!A:A,0),MATCH(worksheet!AM104,worksheet!A104:AE104,0))</f>
        <v>39148.449219000002</v>
      </c>
      <c r="AN105">
        <f>INDEX(A:AE,MATCH(AK105,worksheet!A:A,0),MATCH(worksheet!AN104,worksheet!A104:AE104,0))</f>
        <v>0.84317500000000001</v>
      </c>
      <c r="AO105">
        <f>INDEX(A:AE,MATCH(AK105,worksheet!A:A,0),MATCH(worksheet!AO104,worksheet!A104:AE104,0))</f>
        <v>1.000197</v>
      </c>
      <c r="AP105">
        <f>INDEX(A:AE,MATCH(AK105,worksheet!A:A,0),MATCH(worksheet!AP104,worksheet!A104:AE104,0))</f>
        <v>0.99992199999999998</v>
      </c>
    </row>
    <row r="106" spans="1:42" x14ac:dyDescent="0.25">
      <c r="A106" s="1">
        <v>44626</v>
      </c>
      <c r="B106">
        <v>2664.9436040000001</v>
      </c>
      <c r="C106">
        <v>2673.6372070000002</v>
      </c>
      <c r="D106">
        <v>2555.0373540000001</v>
      </c>
      <c r="E106">
        <v>2555.0373540000001</v>
      </c>
      <c r="F106">
        <v>2555.0373540000001</v>
      </c>
      <c r="G106">
        <v>8872976607</v>
      </c>
      <c r="H106">
        <v>39404.199219000002</v>
      </c>
      <c r="I106">
        <v>39640.175780999998</v>
      </c>
      <c r="J106">
        <v>38211.648437999997</v>
      </c>
      <c r="K106">
        <v>38419.984375</v>
      </c>
      <c r="L106">
        <v>38419.984375</v>
      </c>
      <c r="M106">
        <v>19745229902</v>
      </c>
      <c r="N106">
        <v>1.000272</v>
      </c>
      <c r="O106">
        <v>1.000545</v>
      </c>
      <c r="P106">
        <v>1.000057</v>
      </c>
      <c r="Q106">
        <v>1.0002439999999999</v>
      </c>
      <c r="R106">
        <v>1.0002439999999999</v>
      </c>
      <c r="S106">
        <v>43914369258</v>
      </c>
      <c r="T106">
        <v>0.99938000000000005</v>
      </c>
      <c r="U106">
        <v>1.000413</v>
      </c>
      <c r="V106">
        <v>0.99876799999999999</v>
      </c>
      <c r="W106">
        <v>0.99985100000000005</v>
      </c>
      <c r="X106">
        <v>0.99985100000000005</v>
      </c>
      <c r="Y106">
        <v>3162813903</v>
      </c>
      <c r="Z106">
        <v>0.86568800000000001</v>
      </c>
      <c r="AA106">
        <v>0.87049799999999999</v>
      </c>
      <c r="AB106">
        <v>0.82300399999999996</v>
      </c>
      <c r="AC106">
        <v>0.82375200000000004</v>
      </c>
      <c r="AD106">
        <v>0.82375200000000004</v>
      </c>
      <c r="AE106">
        <v>670024869</v>
      </c>
      <c r="AK106" s="1">
        <v>44626</v>
      </c>
      <c r="AL106">
        <f t="shared" si="1"/>
        <v>2664.9436040000001</v>
      </c>
      <c r="AM106">
        <f>INDEX(A:AE,MATCH(AK106,worksheet!A:A,0),MATCH(worksheet!AM105,worksheet!A105:AE105,0))</f>
        <v>39404.199219000002</v>
      </c>
      <c r="AN106">
        <f>INDEX(A:AE,MATCH(AK106,worksheet!A:A,0),MATCH(worksheet!AN105,worksheet!A105:AE105,0))</f>
        <v>0.86568800000000001</v>
      </c>
      <c r="AO106">
        <f>INDEX(A:AE,MATCH(AK106,worksheet!A:A,0),MATCH(worksheet!AO105,worksheet!A105:AE105,0))</f>
        <v>1.000272</v>
      </c>
      <c r="AP106">
        <f>INDEX(A:AE,MATCH(AK106,worksheet!A:A,0),MATCH(worksheet!AP105,worksheet!A105:AE105,0))</f>
        <v>0.99938000000000005</v>
      </c>
    </row>
    <row r="107" spans="1:42" x14ac:dyDescent="0.25">
      <c r="A107" s="1">
        <v>44627</v>
      </c>
      <c r="B107">
        <v>2555.297607</v>
      </c>
      <c r="C107">
        <v>2639.943115</v>
      </c>
      <c r="D107">
        <v>2455.59375</v>
      </c>
      <c r="E107">
        <v>2497.77124</v>
      </c>
      <c r="F107">
        <v>2497.77124</v>
      </c>
      <c r="G107">
        <v>14594098731</v>
      </c>
      <c r="H107">
        <v>38429.304687999997</v>
      </c>
      <c r="I107">
        <v>39430.226562999997</v>
      </c>
      <c r="J107">
        <v>37260.203125</v>
      </c>
      <c r="K107">
        <v>38062.039062999997</v>
      </c>
      <c r="L107">
        <v>38062.039062999997</v>
      </c>
      <c r="M107">
        <v>28546143503</v>
      </c>
      <c r="N107">
        <v>1.000251</v>
      </c>
      <c r="O107">
        <v>1.00057</v>
      </c>
      <c r="P107">
        <v>1.0000599999999999</v>
      </c>
      <c r="Q107">
        <v>1.0001230000000001</v>
      </c>
      <c r="R107">
        <v>1.0001230000000001</v>
      </c>
      <c r="S107">
        <v>61333826920</v>
      </c>
      <c r="T107">
        <v>0.99987499999999996</v>
      </c>
      <c r="U107">
        <v>1.0006870000000001</v>
      </c>
      <c r="V107">
        <v>0.99863100000000005</v>
      </c>
      <c r="W107">
        <v>0.99913399999999997</v>
      </c>
      <c r="X107">
        <v>0.99913399999999997</v>
      </c>
      <c r="Y107">
        <v>4227523780</v>
      </c>
      <c r="Z107">
        <v>0.82373799999999997</v>
      </c>
      <c r="AA107">
        <v>0.84547600000000001</v>
      </c>
      <c r="AB107">
        <v>0.78329099999999996</v>
      </c>
      <c r="AC107">
        <v>0.79737899999999995</v>
      </c>
      <c r="AD107">
        <v>0.79737899999999995</v>
      </c>
      <c r="AE107">
        <v>1040234323</v>
      </c>
      <c r="AK107" s="1">
        <v>44627</v>
      </c>
      <c r="AL107">
        <f t="shared" si="1"/>
        <v>2555.297607</v>
      </c>
      <c r="AM107">
        <f>INDEX(A:AE,MATCH(AK107,worksheet!A:A,0),MATCH(worksheet!AM106,worksheet!A106:AE106,0))</f>
        <v>38429.304687999997</v>
      </c>
      <c r="AN107">
        <f>INDEX(A:AE,MATCH(AK107,worksheet!A:A,0),MATCH(worksheet!AN106,worksheet!A106:AE106,0))</f>
        <v>0.82373799999999997</v>
      </c>
      <c r="AO107">
        <f>INDEX(A:AE,MATCH(AK107,worksheet!A:A,0),MATCH(worksheet!AO106,worksheet!A106:AE106,0))</f>
        <v>1.000251</v>
      </c>
      <c r="AP107">
        <f>INDEX(A:AE,MATCH(AK107,worksheet!A:A,0),MATCH(worksheet!AP106,worksheet!A106:AE106,0))</f>
        <v>0.99987499999999996</v>
      </c>
    </row>
    <row r="108" spans="1:42" x14ac:dyDescent="0.25">
      <c r="A108" s="1">
        <v>44628</v>
      </c>
      <c r="B108">
        <v>2497.7214359999998</v>
      </c>
      <c r="C108">
        <v>2618.1660160000001</v>
      </c>
      <c r="D108">
        <v>2489.7551269999999</v>
      </c>
      <c r="E108">
        <v>2576.7475589999999</v>
      </c>
      <c r="F108">
        <v>2576.7475589999999</v>
      </c>
      <c r="G108">
        <v>13922922903</v>
      </c>
      <c r="H108">
        <v>38059.902344000002</v>
      </c>
      <c r="I108">
        <v>39304.441405999998</v>
      </c>
      <c r="J108">
        <v>37957.386719000002</v>
      </c>
      <c r="K108">
        <v>38737.269530999998</v>
      </c>
      <c r="L108">
        <v>38737.269530999998</v>
      </c>
      <c r="M108">
        <v>25776583476</v>
      </c>
      <c r="N108">
        <v>1.0000899999999999</v>
      </c>
      <c r="O108">
        <v>1.000591</v>
      </c>
      <c r="P108">
        <v>1.0000469999999999</v>
      </c>
      <c r="Q108">
        <v>1.0002819999999999</v>
      </c>
      <c r="R108">
        <v>1.0002819999999999</v>
      </c>
      <c r="S108">
        <v>55667916973</v>
      </c>
      <c r="T108">
        <v>0.99910100000000002</v>
      </c>
      <c r="U108">
        <v>1.001225</v>
      </c>
      <c r="V108">
        <v>0.99906899999999998</v>
      </c>
      <c r="W108">
        <v>1.0002599999999999</v>
      </c>
      <c r="X108">
        <v>1.0002599999999999</v>
      </c>
      <c r="Y108">
        <v>4167069281</v>
      </c>
      <c r="Z108">
        <v>0.79717400000000005</v>
      </c>
      <c r="AA108">
        <v>0.81914799999999999</v>
      </c>
      <c r="AB108">
        <v>0.79031799999999996</v>
      </c>
      <c r="AC108">
        <v>0.80125000000000002</v>
      </c>
      <c r="AD108">
        <v>0.80125000000000002</v>
      </c>
      <c r="AE108">
        <v>955952004</v>
      </c>
      <c r="AK108" s="1">
        <v>44628</v>
      </c>
      <c r="AL108">
        <f t="shared" si="1"/>
        <v>2497.7214359999998</v>
      </c>
      <c r="AM108">
        <f>INDEX(A:AE,MATCH(AK108,worksheet!A:A,0),MATCH(worksheet!AM107,worksheet!A107:AE107,0))</f>
        <v>38059.902344000002</v>
      </c>
      <c r="AN108">
        <f>INDEX(A:AE,MATCH(AK108,worksheet!A:A,0),MATCH(worksheet!AN107,worksheet!A107:AE107,0))</f>
        <v>0.79717400000000005</v>
      </c>
      <c r="AO108">
        <f>INDEX(A:AE,MATCH(AK108,worksheet!A:A,0),MATCH(worksheet!AO107,worksheet!A107:AE107,0))</f>
        <v>1.0000899999999999</v>
      </c>
      <c r="AP108">
        <f>INDEX(A:AE,MATCH(AK108,worksheet!A:A,0),MATCH(worksheet!AP107,worksheet!A107:AE107,0))</f>
        <v>0.99910100000000002</v>
      </c>
    </row>
    <row r="109" spans="1:42" x14ac:dyDescent="0.25">
      <c r="A109" s="1">
        <v>44629</v>
      </c>
      <c r="B109">
        <v>2577.1652829999998</v>
      </c>
      <c r="C109">
        <v>2761.7963869999999</v>
      </c>
      <c r="D109">
        <v>2573.6552729999999</v>
      </c>
      <c r="E109">
        <v>2729.7834469999998</v>
      </c>
      <c r="F109">
        <v>2729.7834469999998</v>
      </c>
      <c r="G109">
        <v>14173665398</v>
      </c>
      <c r="H109">
        <v>38742.816405999998</v>
      </c>
      <c r="I109">
        <v>42465.671875</v>
      </c>
      <c r="J109">
        <v>38706.09375</v>
      </c>
      <c r="K109">
        <v>41982.925780999998</v>
      </c>
      <c r="L109">
        <v>41982.925780999998</v>
      </c>
      <c r="M109">
        <v>32284121034</v>
      </c>
      <c r="N109">
        <v>1.0002850000000001</v>
      </c>
      <c r="O109">
        <v>1.000497</v>
      </c>
      <c r="P109">
        <v>1.000105</v>
      </c>
      <c r="Q109">
        <v>1.000294</v>
      </c>
      <c r="R109">
        <v>1.000294</v>
      </c>
      <c r="S109">
        <v>67017876859</v>
      </c>
      <c r="T109">
        <v>1.0002690000000001</v>
      </c>
      <c r="U109">
        <v>1.0015210000000001</v>
      </c>
      <c r="V109">
        <v>0.99922100000000003</v>
      </c>
      <c r="W109">
        <v>1.0004500000000001</v>
      </c>
      <c r="X109">
        <v>1.0004500000000001</v>
      </c>
      <c r="Y109">
        <v>4206640635</v>
      </c>
      <c r="Z109">
        <v>0.801485</v>
      </c>
      <c r="AA109">
        <v>0.86143099999999995</v>
      </c>
      <c r="AB109">
        <v>0.80100700000000002</v>
      </c>
      <c r="AC109">
        <v>0.84929299999999996</v>
      </c>
      <c r="AD109">
        <v>0.84929299999999996</v>
      </c>
      <c r="AE109">
        <v>980869497</v>
      </c>
      <c r="AK109" s="1">
        <v>44629</v>
      </c>
      <c r="AL109">
        <f t="shared" si="1"/>
        <v>2577.1652829999998</v>
      </c>
      <c r="AM109">
        <f>INDEX(A:AE,MATCH(AK109,worksheet!A:A,0),MATCH(worksheet!AM108,worksheet!A108:AE108,0))</f>
        <v>38742.816405999998</v>
      </c>
      <c r="AN109">
        <f>INDEX(A:AE,MATCH(AK109,worksheet!A:A,0),MATCH(worksheet!AN108,worksheet!A108:AE108,0))</f>
        <v>0.801485</v>
      </c>
      <c r="AO109">
        <f>INDEX(A:AE,MATCH(AK109,worksheet!A:A,0),MATCH(worksheet!AO108,worksheet!A108:AE108,0))</f>
        <v>1.0002850000000001</v>
      </c>
      <c r="AP109">
        <f>INDEX(A:AE,MATCH(AK109,worksheet!A:A,0),MATCH(worksheet!AP108,worksheet!A108:AE108,0))</f>
        <v>1.0002690000000001</v>
      </c>
    </row>
    <row r="110" spans="1:42" x14ac:dyDescent="0.25">
      <c r="A110" s="1">
        <v>44630</v>
      </c>
      <c r="B110">
        <v>2729.1164549999999</v>
      </c>
      <c r="C110">
        <v>2729.1164549999999</v>
      </c>
      <c r="D110">
        <v>2566.193115</v>
      </c>
      <c r="E110">
        <v>2608.0485840000001</v>
      </c>
      <c r="F110">
        <v>2608.0485840000001</v>
      </c>
      <c r="G110">
        <v>13292477213</v>
      </c>
      <c r="H110">
        <v>41974.070312999997</v>
      </c>
      <c r="I110">
        <v>42004.726562999997</v>
      </c>
      <c r="J110">
        <v>38832.941405999998</v>
      </c>
      <c r="K110">
        <v>39437.460937999997</v>
      </c>
      <c r="L110">
        <v>39437.460937999997</v>
      </c>
      <c r="M110">
        <v>31078064711</v>
      </c>
      <c r="N110">
        <v>1.0002850000000001</v>
      </c>
      <c r="O110">
        <v>1.0006660000000001</v>
      </c>
      <c r="P110">
        <v>1.0001880000000001</v>
      </c>
      <c r="Q110">
        <v>1.0005649999999999</v>
      </c>
      <c r="R110">
        <v>1.0005649999999999</v>
      </c>
      <c r="S110">
        <v>65784999972</v>
      </c>
      <c r="T110">
        <v>1.00044</v>
      </c>
      <c r="U110">
        <v>1.000705</v>
      </c>
      <c r="V110">
        <v>0.99899400000000005</v>
      </c>
      <c r="W110">
        <v>0.99980100000000005</v>
      </c>
      <c r="X110">
        <v>0.99980100000000005</v>
      </c>
      <c r="Y110">
        <v>3932910648</v>
      </c>
      <c r="Z110">
        <v>0.84935499999999997</v>
      </c>
      <c r="AA110">
        <v>0.850576</v>
      </c>
      <c r="AB110">
        <v>0.79122199999999998</v>
      </c>
      <c r="AC110">
        <v>0.80631600000000003</v>
      </c>
      <c r="AD110">
        <v>0.80631600000000003</v>
      </c>
      <c r="AE110">
        <v>903650101</v>
      </c>
      <c r="AK110" s="1">
        <v>44630</v>
      </c>
      <c r="AL110">
        <f t="shared" si="1"/>
        <v>2729.1164549999999</v>
      </c>
      <c r="AM110">
        <f>INDEX(A:AE,MATCH(AK110,worksheet!A:A,0),MATCH(worksheet!AM109,worksheet!A109:AE109,0))</f>
        <v>41974.070312999997</v>
      </c>
      <c r="AN110">
        <f>INDEX(A:AE,MATCH(AK110,worksheet!A:A,0),MATCH(worksheet!AN109,worksheet!A109:AE109,0))</f>
        <v>0.84935499999999997</v>
      </c>
      <c r="AO110">
        <f>INDEX(A:AE,MATCH(AK110,worksheet!A:A,0),MATCH(worksheet!AO109,worksheet!A109:AE109,0))</f>
        <v>1.0002850000000001</v>
      </c>
      <c r="AP110">
        <f>INDEX(A:AE,MATCH(AK110,worksheet!A:A,0),MATCH(worksheet!AP109,worksheet!A109:AE109,0))</f>
        <v>1.00044</v>
      </c>
    </row>
    <row r="111" spans="1:42" x14ac:dyDescent="0.25">
      <c r="A111" s="1">
        <v>44631</v>
      </c>
      <c r="B111">
        <v>2608.27124</v>
      </c>
      <c r="C111">
        <v>2664.5585940000001</v>
      </c>
      <c r="D111">
        <v>2534.688232</v>
      </c>
      <c r="E111">
        <v>2559.5629880000001</v>
      </c>
      <c r="F111">
        <v>2559.5629880000001</v>
      </c>
      <c r="G111">
        <v>12382419582</v>
      </c>
      <c r="H111">
        <v>39439.96875</v>
      </c>
      <c r="I111">
        <v>40081.679687999997</v>
      </c>
      <c r="J111">
        <v>38347.433594000002</v>
      </c>
      <c r="K111">
        <v>38794.972655999998</v>
      </c>
      <c r="L111">
        <v>38794.972655999998</v>
      </c>
      <c r="M111">
        <v>26364890465</v>
      </c>
      <c r="N111">
        <v>1.00058</v>
      </c>
      <c r="O111">
        <v>1.000637</v>
      </c>
      <c r="P111">
        <v>1.000068</v>
      </c>
      <c r="Q111">
        <v>1.0002</v>
      </c>
      <c r="R111">
        <v>1.0002</v>
      </c>
      <c r="S111">
        <v>58051333936</v>
      </c>
      <c r="T111">
        <v>0.99980800000000003</v>
      </c>
      <c r="U111">
        <v>1.0001770000000001</v>
      </c>
      <c r="V111">
        <v>0.99916799999999995</v>
      </c>
      <c r="W111">
        <v>0.99934100000000003</v>
      </c>
      <c r="X111">
        <v>0.99934100000000003</v>
      </c>
      <c r="Y111">
        <v>3885937976</v>
      </c>
      <c r="Z111">
        <v>0.80630199999999996</v>
      </c>
      <c r="AA111">
        <v>0.81714699999999996</v>
      </c>
      <c r="AB111">
        <v>0.78593000000000002</v>
      </c>
      <c r="AC111">
        <v>0.79012499999999997</v>
      </c>
      <c r="AD111">
        <v>0.79012499999999997</v>
      </c>
      <c r="AE111">
        <v>792395101</v>
      </c>
      <c r="AK111" s="1">
        <v>44631</v>
      </c>
      <c r="AL111">
        <f t="shared" si="1"/>
        <v>2608.27124</v>
      </c>
      <c r="AM111">
        <f>INDEX(A:AE,MATCH(AK111,worksheet!A:A,0),MATCH(worksheet!AM110,worksheet!A110:AE110,0))</f>
        <v>39439.96875</v>
      </c>
      <c r="AN111">
        <f>INDEX(A:AE,MATCH(AK111,worksheet!A:A,0),MATCH(worksheet!AN110,worksheet!A110:AE110,0))</f>
        <v>0.80630199999999996</v>
      </c>
      <c r="AO111">
        <f>INDEX(A:AE,MATCH(AK111,worksheet!A:A,0),MATCH(worksheet!AO110,worksheet!A110:AE110,0))</f>
        <v>1.00058</v>
      </c>
      <c r="AP111">
        <f>INDEX(A:AE,MATCH(AK111,worksheet!A:A,0),MATCH(worksheet!AP110,worksheet!A110:AE110,0))</f>
        <v>0.99980800000000003</v>
      </c>
    </row>
    <row r="112" spans="1:42" x14ac:dyDescent="0.25">
      <c r="A112" s="1">
        <v>44632</v>
      </c>
      <c r="B112">
        <v>2559.6606449999999</v>
      </c>
      <c r="C112">
        <v>2606.438721</v>
      </c>
      <c r="D112">
        <v>2559.126953</v>
      </c>
      <c r="E112">
        <v>2574.7541500000002</v>
      </c>
      <c r="F112">
        <v>2574.7541500000002</v>
      </c>
      <c r="G112">
        <v>6532996574</v>
      </c>
      <c r="H112">
        <v>38794.464844000002</v>
      </c>
      <c r="I112">
        <v>39308.597655999998</v>
      </c>
      <c r="J112">
        <v>38772.535155999998</v>
      </c>
      <c r="K112">
        <v>38904.011719000002</v>
      </c>
      <c r="L112">
        <v>38904.011719000002</v>
      </c>
      <c r="M112">
        <v>14616450657</v>
      </c>
      <c r="N112">
        <v>1.0002139999999999</v>
      </c>
      <c r="O112">
        <v>1.000372</v>
      </c>
      <c r="P112">
        <v>1.0000169999999999</v>
      </c>
      <c r="Q112">
        <v>1.000081</v>
      </c>
      <c r="R112">
        <v>1.000081</v>
      </c>
      <c r="S112">
        <v>38101124958</v>
      </c>
      <c r="T112">
        <v>0.99934699999999999</v>
      </c>
      <c r="U112">
        <v>1.000238</v>
      </c>
      <c r="V112">
        <v>0.99924299999999999</v>
      </c>
      <c r="W112">
        <v>0.99953800000000004</v>
      </c>
      <c r="X112">
        <v>0.99953800000000004</v>
      </c>
      <c r="Y112">
        <v>2442312633</v>
      </c>
      <c r="Z112">
        <v>0.79007300000000003</v>
      </c>
      <c r="AA112">
        <v>0.80080099999999999</v>
      </c>
      <c r="AB112">
        <v>0.78956499999999996</v>
      </c>
      <c r="AC112">
        <v>0.79067399999999999</v>
      </c>
      <c r="AD112">
        <v>0.79067399999999999</v>
      </c>
      <c r="AE112">
        <v>493606091</v>
      </c>
      <c r="AK112" s="1">
        <v>44632</v>
      </c>
      <c r="AL112">
        <f t="shared" si="1"/>
        <v>2559.6606449999999</v>
      </c>
      <c r="AM112">
        <f>INDEX(A:AE,MATCH(AK112,worksheet!A:A,0),MATCH(worksheet!AM111,worksheet!A111:AE111,0))</f>
        <v>38794.464844000002</v>
      </c>
      <c r="AN112">
        <f>INDEX(A:AE,MATCH(AK112,worksheet!A:A,0),MATCH(worksheet!AN111,worksheet!A111:AE111,0))</f>
        <v>0.79007300000000003</v>
      </c>
      <c r="AO112">
        <f>INDEX(A:AE,MATCH(AK112,worksheet!A:A,0),MATCH(worksheet!AO111,worksheet!A111:AE111,0))</f>
        <v>1.0002139999999999</v>
      </c>
      <c r="AP112">
        <f>INDEX(A:AE,MATCH(AK112,worksheet!A:A,0),MATCH(worksheet!AP111,worksheet!A111:AE111,0))</f>
        <v>0.99934699999999999</v>
      </c>
    </row>
    <row r="113" spans="1:42" x14ac:dyDescent="0.25">
      <c r="A113" s="1">
        <v>44633</v>
      </c>
      <c r="B113">
        <v>2573.4880370000001</v>
      </c>
      <c r="C113">
        <v>2594.5498050000001</v>
      </c>
      <c r="D113">
        <v>2503.8852539999998</v>
      </c>
      <c r="E113">
        <v>2518.9445799999999</v>
      </c>
      <c r="F113">
        <v>2518.9445799999999</v>
      </c>
      <c r="G113">
        <v>8632000379</v>
      </c>
      <c r="H113">
        <v>38884.726562999997</v>
      </c>
      <c r="I113">
        <v>39209.351562999997</v>
      </c>
      <c r="J113">
        <v>37728.144530999998</v>
      </c>
      <c r="K113">
        <v>37849.664062999997</v>
      </c>
      <c r="L113">
        <v>37849.664062999997</v>
      </c>
      <c r="M113">
        <v>17300745310</v>
      </c>
      <c r="N113">
        <v>1.000062</v>
      </c>
      <c r="O113">
        <v>1.000367</v>
      </c>
      <c r="P113">
        <v>1.000062</v>
      </c>
      <c r="Q113">
        <v>1.0001990000000001</v>
      </c>
      <c r="R113">
        <v>1.0001990000000001</v>
      </c>
      <c r="S113">
        <v>42268710956</v>
      </c>
      <c r="T113">
        <v>0.999699</v>
      </c>
      <c r="U113">
        <v>1.000181</v>
      </c>
      <c r="V113">
        <v>0.99902800000000003</v>
      </c>
      <c r="W113">
        <v>0.99996499999999999</v>
      </c>
      <c r="X113">
        <v>0.99996499999999999</v>
      </c>
      <c r="Y113">
        <v>2802399958</v>
      </c>
      <c r="Z113">
        <v>0.79056700000000002</v>
      </c>
      <c r="AA113">
        <v>0.819025</v>
      </c>
      <c r="AB113">
        <v>0.78325100000000003</v>
      </c>
      <c r="AC113">
        <v>0.790995</v>
      </c>
      <c r="AD113">
        <v>0.790995</v>
      </c>
      <c r="AE113">
        <v>772035954</v>
      </c>
      <c r="AK113" s="1">
        <v>44633</v>
      </c>
      <c r="AL113">
        <f t="shared" si="1"/>
        <v>2573.4880370000001</v>
      </c>
      <c r="AM113">
        <f>INDEX(A:AE,MATCH(AK113,worksheet!A:A,0),MATCH(worksheet!AM112,worksheet!A112:AE112,0))</f>
        <v>38884.726562999997</v>
      </c>
      <c r="AN113">
        <f>INDEX(A:AE,MATCH(AK113,worksheet!A:A,0),MATCH(worksheet!AN112,worksheet!A112:AE112,0))</f>
        <v>0.79056700000000002</v>
      </c>
      <c r="AO113">
        <f>INDEX(A:AE,MATCH(AK113,worksheet!A:A,0),MATCH(worksheet!AO112,worksheet!A112:AE112,0))</f>
        <v>1.000062</v>
      </c>
      <c r="AP113">
        <f>INDEX(A:AE,MATCH(AK113,worksheet!A:A,0),MATCH(worksheet!AP112,worksheet!A112:AE112,0))</f>
        <v>0.999699</v>
      </c>
    </row>
    <row r="114" spans="1:42" x14ac:dyDescent="0.25">
      <c r="A114" s="1">
        <v>44634</v>
      </c>
      <c r="B114">
        <v>2518.486328</v>
      </c>
      <c r="C114">
        <v>2604.0344239999999</v>
      </c>
      <c r="D114">
        <v>2505.2993160000001</v>
      </c>
      <c r="E114">
        <v>2590.6960450000001</v>
      </c>
      <c r="F114">
        <v>2590.6960450000001</v>
      </c>
      <c r="G114">
        <v>11244398839</v>
      </c>
      <c r="H114">
        <v>37846.316405999998</v>
      </c>
      <c r="I114">
        <v>39742.5</v>
      </c>
      <c r="J114">
        <v>37680.734375</v>
      </c>
      <c r="K114">
        <v>39666.753905999998</v>
      </c>
      <c r="L114">
        <v>39666.753905999998</v>
      </c>
      <c r="M114">
        <v>24322159070</v>
      </c>
      <c r="N114">
        <v>1.0001899999999999</v>
      </c>
      <c r="O114">
        <v>1.000381</v>
      </c>
      <c r="P114">
        <v>1.0001119999999999</v>
      </c>
      <c r="Q114">
        <v>1.000219</v>
      </c>
      <c r="R114">
        <v>1.000219</v>
      </c>
      <c r="S114">
        <v>52613345077</v>
      </c>
      <c r="T114">
        <v>0.99994700000000003</v>
      </c>
      <c r="U114">
        <v>1.0006429999999999</v>
      </c>
      <c r="V114">
        <v>0.99839699999999998</v>
      </c>
      <c r="W114">
        <v>1.0002880000000001</v>
      </c>
      <c r="X114">
        <v>1.0002880000000001</v>
      </c>
      <c r="Y114">
        <v>3579010932</v>
      </c>
      <c r="Z114">
        <v>0.790412</v>
      </c>
      <c r="AA114">
        <v>0.81207499999999999</v>
      </c>
      <c r="AB114">
        <v>0.78190800000000005</v>
      </c>
      <c r="AC114">
        <v>0.80391699999999999</v>
      </c>
      <c r="AD114">
        <v>0.80391699999999999</v>
      </c>
      <c r="AE114">
        <v>924771999</v>
      </c>
      <c r="AK114" s="1">
        <v>44634</v>
      </c>
      <c r="AL114">
        <f t="shared" si="1"/>
        <v>2518.486328</v>
      </c>
      <c r="AM114">
        <f>INDEX(A:AE,MATCH(AK114,worksheet!A:A,0),MATCH(worksheet!AM113,worksheet!A113:AE113,0))</f>
        <v>37846.316405999998</v>
      </c>
      <c r="AN114">
        <f>INDEX(A:AE,MATCH(AK114,worksheet!A:A,0),MATCH(worksheet!AN113,worksheet!A113:AE113,0))</f>
        <v>0.790412</v>
      </c>
      <c r="AO114">
        <f>INDEX(A:AE,MATCH(AK114,worksheet!A:A,0),MATCH(worksheet!AO113,worksheet!A113:AE113,0))</f>
        <v>1.0001899999999999</v>
      </c>
      <c r="AP114">
        <f>INDEX(A:AE,MATCH(AK114,worksheet!A:A,0),MATCH(worksheet!AP113,worksheet!A113:AE113,0))</f>
        <v>0.99994700000000003</v>
      </c>
    </row>
    <row r="115" spans="1:42" x14ac:dyDescent="0.25">
      <c r="A115" s="1">
        <v>44635</v>
      </c>
      <c r="B115">
        <v>2590.6689449999999</v>
      </c>
      <c r="C115">
        <v>2662.3295899999998</v>
      </c>
      <c r="D115">
        <v>2515.7658689999998</v>
      </c>
      <c r="E115">
        <v>2620.1496579999998</v>
      </c>
      <c r="F115">
        <v>2620.1496579999998</v>
      </c>
      <c r="G115">
        <v>12861105614</v>
      </c>
      <c r="H115">
        <v>39664.25</v>
      </c>
      <c r="I115">
        <v>39794.628905999998</v>
      </c>
      <c r="J115">
        <v>38310.210937999997</v>
      </c>
      <c r="K115">
        <v>39338.785155999998</v>
      </c>
      <c r="L115">
        <v>39338.785155999998</v>
      </c>
      <c r="M115">
        <v>23934000868</v>
      </c>
      <c r="N115">
        <v>1.000216</v>
      </c>
      <c r="O115">
        <v>1.0005029999999999</v>
      </c>
      <c r="P115">
        <v>1.0001040000000001</v>
      </c>
      <c r="Q115">
        <v>1.0003340000000001</v>
      </c>
      <c r="R115">
        <v>1.0003340000000001</v>
      </c>
      <c r="S115">
        <v>52961395870</v>
      </c>
      <c r="T115">
        <v>1.0002690000000001</v>
      </c>
      <c r="U115">
        <v>1.0007980000000001</v>
      </c>
      <c r="V115">
        <v>0.99870199999999998</v>
      </c>
      <c r="W115">
        <v>0.99936700000000001</v>
      </c>
      <c r="X115">
        <v>0.99936700000000001</v>
      </c>
      <c r="Y115">
        <v>3439991060</v>
      </c>
      <c r="Z115">
        <v>0.80384100000000003</v>
      </c>
      <c r="AA115">
        <v>0.81562199999999996</v>
      </c>
      <c r="AB115">
        <v>0.78591699999999998</v>
      </c>
      <c r="AC115">
        <v>0.80000599999999999</v>
      </c>
      <c r="AD115">
        <v>0.80000599999999999</v>
      </c>
      <c r="AE115">
        <v>832137304</v>
      </c>
      <c r="AK115" s="1">
        <v>44635</v>
      </c>
      <c r="AL115">
        <f t="shared" si="1"/>
        <v>2590.6689449999999</v>
      </c>
      <c r="AM115">
        <f>INDEX(A:AE,MATCH(AK115,worksheet!A:A,0),MATCH(worksheet!AM114,worksheet!A114:AE114,0))</f>
        <v>39664.25</v>
      </c>
      <c r="AN115">
        <f>INDEX(A:AE,MATCH(AK115,worksheet!A:A,0),MATCH(worksheet!AN114,worksheet!A114:AE114,0))</f>
        <v>0.80384100000000003</v>
      </c>
      <c r="AO115">
        <f>INDEX(A:AE,MATCH(AK115,worksheet!A:A,0),MATCH(worksheet!AO114,worksheet!A114:AE114,0))</f>
        <v>1.000216</v>
      </c>
      <c r="AP115">
        <f>INDEX(A:AE,MATCH(AK115,worksheet!A:A,0),MATCH(worksheet!AP114,worksheet!A114:AE114,0))</f>
        <v>1.0002690000000001</v>
      </c>
    </row>
    <row r="116" spans="1:42" x14ac:dyDescent="0.25">
      <c r="A116" s="1">
        <v>44636</v>
      </c>
      <c r="B116">
        <v>2620.0285640000002</v>
      </c>
      <c r="C116">
        <v>2781.3071289999998</v>
      </c>
      <c r="D116">
        <v>2610.764404</v>
      </c>
      <c r="E116">
        <v>2772.055664</v>
      </c>
      <c r="F116">
        <v>2772.055664</v>
      </c>
      <c r="G116">
        <v>17915109769</v>
      </c>
      <c r="H116">
        <v>39335.570312999997</v>
      </c>
      <c r="I116">
        <v>41465.453125</v>
      </c>
      <c r="J116">
        <v>39022.347655999998</v>
      </c>
      <c r="K116">
        <v>41143.929687999997</v>
      </c>
      <c r="L116">
        <v>41143.929687999997</v>
      </c>
      <c r="M116">
        <v>39616916192</v>
      </c>
      <c r="N116">
        <v>1.000332</v>
      </c>
      <c r="O116">
        <v>1.0005010000000001</v>
      </c>
      <c r="P116">
        <v>1.0001739999999999</v>
      </c>
      <c r="Q116">
        <v>1.000435</v>
      </c>
      <c r="R116">
        <v>1.000435</v>
      </c>
      <c r="S116">
        <v>74673285342</v>
      </c>
      <c r="T116">
        <v>0.99936199999999997</v>
      </c>
      <c r="U116">
        <v>1.0005550000000001</v>
      </c>
      <c r="V116">
        <v>0.99916799999999995</v>
      </c>
      <c r="W116">
        <v>0.99989600000000001</v>
      </c>
      <c r="X116">
        <v>0.99989600000000001</v>
      </c>
      <c r="Y116">
        <v>5396067900</v>
      </c>
      <c r="Z116">
        <v>0.80002399999999996</v>
      </c>
      <c r="AA116">
        <v>0.83863200000000004</v>
      </c>
      <c r="AB116">
        <v>0.79539599999999999</v>
      </c>
      <c r="AC116">
        <v>0.83837399999999995</v>
      </c>
      <c r="AD116">
        <v>0.83837399999999995</v>
      </c>
      <c r="AE116">
        <v>1233395707</v>
      </c>
      <c r="AK116" s="1">
        <v>44636</v>
      </c>
      <c r="AL116">
        <f t="shared" si="1"/>
        <v>2620.0285640000002</v>
      </c>
      <c r="AM116">
        <f>INDEX(A:AE,MATCH(AK116,worksheet!A:A,0),MATCH(worksheet!AM115,worksheet!A115:AE115,0))</f>
        <v>39335.570312999997</v>
      </c>
      <c r="AN116">
        <f>INDEX(A:AE,MATCH(AK116,worksheet!A:A,0),MATCH(worksheet!AN115,worksheet!A115:AE115,0))</f>
        <v>0.80002399999999996</v>
      </c>
      <c r="AO116">
        <f>INDEX(A:AE,MATCH(AK116,worksheet!A:A,0),MATCH(worksheet!AO115,worksheet!A115:AE115,0))</f>
        <v>1.000332</v>
      </c>
      <c r="AP116">
        <f>INDEX(A:AE,MATCH(AK116,worksheet!A:A,0),MATCH(worksheet!AP115,worksheet!A115:AE115,0))</f>
        <v>0.99936199999999997</v>
      </c>
    </row>
    <row r="117" spans="1:42" x14ac:dyDescent="0.25">
      <c r="A117" s="1">
        <v>44637</v>
      </c>
      <c r="B117">
        <v>2771.9641109999998</v>
      </c>
      <c r="C117">
        <v>2826.1606449999999</v>
      </c>
      <c r="D117">
        <v>2751.5607909999999</v>
      </c>
      <c r="E117">
        <v>2814.8544919999999</v>
      </c>
      <c r="F117">
        <v>2814.8544919999999</v>
      </c>
      <c r="G117">
        <v>12685265194</v>
      </c>
      <c r="H117">
        <v>41140.84375</v>
      </c>
      <c r="I117">
        <v>41287.535155999998</v>
      </c>
      <c r="J117">
        <v>40662.871094000002</v>
      </c>
      <c r="K117">
        <v>40951.378905999998</v>
      </c>
      <c r="L117">
        <v>40951.378905999998</v>
      </c>
      <c r="M117">
        <v>22009601093</v>
      </c>
      <c r="N117">
        <v>1.0004280000000001</v>
      </c>
      <c r="O117">
        <v>1.000618</v>
      </c>
      <c r="P117">
        <v>1.000243</v>
      </c>
      <c r="Q117">
        <v>1.0004999999999999</v>
      </c>
      <c r="R117">
        <v>1.0004999999999999</v>
      </c>
      <c r="S117">
        <v>52913216462</v>
      </c>
      <c r="T117">
        <v>0.99990500000000004</v>
      </c>
      <c r="U117">
        <v>1.000246</v>
      </c>
      <c r="V117">
        <v>0.999498</v>
      </c>
      <c r="W117">
        <v>0.99978400000000001</v>
      </c>
      <c r="X117">
        <v>0.99978400000000001</v>
      </c>
      <c r="Y117">
        <v>3742857761</v>
      </c>
      <c r="Z117">
        <v>0.83836200000000005</v>
      </c>
      <c r="AA117">
        <v>0.85587999999999997</v>
      </c>
      <c r="AB117">
        <v>0.82992999999999995</v>
      </c>
      <c r="AC117">
        <v>0.83678399999999997</v>
      </c>
      <c r="AD117">
        <v>0.83678399999999997</v>
      </c>
      <c r="AE117">
        <v>909733920</v>
      </c>
      <c r="AK117" s="1">
        <v>44637</v>
      </c>
      <c r="AL117">
        <f t="shared" si="1"/>
        <v>2771.9641109999998</v>
      </c>
      <c r="AM117">
        <f>INDEX(A:AE,MATCH(AK117,worksheet!A:A,0),MATCH(worksheet!AM116,worksheet!A116:AE116,0))</f>
        <v>41140.84375</v>
      </c>
      <c r="AN117">
        <f>INDEX(A:AE,MATCH(AK117,worksheet!A:A,0),MATCH(worksheet!AN116,worksheet!A116:AE116,0))</f>
        <v>0.83836200000000005</v>
      </c>
      <c r="AO117">
        <f>INDEX(A:AE,MATCH(AK117,worksheet!A:A,0),MATCH(worksheet!AO116,worksheet!A116:AE116,0))</f>
        <v>1.0004280000000001</v>
      </c>
      <c r="AP117">
        <f>INDEX(A:AE,MATCH(AK117,worksheet!A:A,0),MATCH(worksheet!AP116,worksheet!A116:AE116,0))</f>
        <v>0.99990500000000004</v>
      </c>
    </row>
    <row r="118" spans="1:42" x14ac:dyDescent="0.25">
      <c r="A118" s="1">
        <v>44638</v>
      </c>
      <c r="B118">
        <v>2814.4345699999999</v>
      </c>
      <c r="C118">
        <v>2973.616211</v>
      </c>
      <c r="D118">
        <v>2774.8557129999999</v>
      </c>
      <c r="E118">
        <v>2945.343018</v>
      </c>
      <c r="F118">
        <v>2945.343018</v>
      </c>
      <c r="G118">
        <v>15830879093</v>
      </c>
      <c r="H118">
        <v>40944.839844000002</v>
      </c>
      <c r="I118">
        <v>42195.746094000002</v>
      </c>
      <c r="J118">
        <v>40302.398437999997</v>
      </c>
      <c r="K118">
        <v>41801.15625</v>
      </c>
      <c r="L118">
        <v>41801.15625</v>
      </c>
      <c r="M118">
        <v>34421564942</v>
      </c>
      <c r="N118">
        <v>1.00048</v>
      </c>
      <c r="O118">
        <v>1.0008969999999999</v>
      </c>
      <c r="P118">
        <v>1.000329</v>
      </c>
      <c r="Q118">
        <v>1.000483</v>
      </c>
      <c r="R118">
        <v>1.000483</v>
      </c>
      <c r="S118">
        <v>64969319781</v>
      </c>
      <c r="T118">
        <v>0.999753</v>
      </c>
      <c r="U118">
        <v>1.000103</v>
      </c>
      <c r="V118">
        <v>0.99932299999999996</v>
      </c>
      <c r="W118">
        <v>0.99984799999999996</v>
      </c>
      <c r="X118">
        <v>0.99984799999999996</v>
      </c>
      <c r="Y118">
        <v>4336717258</v>
      </c>
      <c r="Z118">
        <v>0.83665699999999998</v>
      </c>
      <c r="AA118">
        <v>0.85887999999999998</v>
      </c>
      <c r="AB118">
        <v>0.82287900000000003</v>
      </c>
      <c r="AC118">
        <v>0.853433</v>
      </c>
      <c r="AD118">
        <v>0.853433</v>
      </c>
      <c r="AE118">
        <v>792706852</v>
      </c>
      <c r="AK118" s="1">
        <v>44638</v>
      </c>
      <c r="AL118">
        <f t="shared" si="1"/>
        <v>2814.4345699999999</v>
      </c>
      <c r="AM118">
        <f>INDEX(A:AE,MATCH(AK118,worksheet!A:A,0),MATCH(worksheet!AM117,worksheet!A117:AE117,0))</f>
        <v>40944.839844000002</v>
      </c>
      <c r="AN118">
        <f>INDEX(A:AE,MATCH(AK118,worksheet!A:A,0),MATCH(worksheet!AN117,worksheet!A117:AE117,0))</f>
        <v>0.83665699999999998</v>
      </c>
      <c r="AO118">
        <f>INDEX(A:AE,MATCH(AK118,worksheet!A:A,0),MATCH(worksheet!AO117,worksheet!A117:AE117,0))</f>
        <v>1.00048</v>
      </c>
      <c r="AP118">
        <f>INDEX(A:AE,MATCH(AK118,worksheet!A:A,0),MATCH(worksheet!AP117,worksheet!A117:AE117,0))</f>
        <v>0.999753</v>
      </c>
    </row>
    <row r="119" spans="1:42" x14ac:dyDescent="0.25">
      <c r="A119" s="1">
        <v>44639</v>
      </c>
      <c r="B119">
        <v>2944.7216800000001</v>
      </c>
      <c r="C119">
        <v>2979.9870609999998</v>
      </c>
      <c r="D119">
        <v>2910.8022460000002</v>
      </c>
      <c r="E119">
        <v>2946.2570799999999</v>
      </c>
      <c r="F119">
        <v>2946.2570799999999</v>
      </c>
      <c r="G119">
        <v>11576463120</v>
      </c>
      <c r="H119">
        <v>41794.648437999997</v>
      </c>
      <c r="I119">
        <v>42316.554687999997</v>
      </c>
      <c r="J119">
        <v>41602.667969000002</v>
      </c>
      <c r="K119">
        <v>42190.652344000002</v>
      </c>
      <c r="L119">
        <v>42190.652344000002</v>
      </c>
      <c r="M119">
        <v>19664853187</v>
      </c>
      <c r="N119">
        <v>1.0004869999999999</v>
      </c>
      <c r="O119">
        <v>1.000769</v>
      </c>
      <c r="P119">
        <v>1.000383</v>
      </c>
      <c r="Q119">
        <v>1.00051</v>
      </c>
      <c r="R119">
        <v>1.00051</v>
      </c>
      <c r="S119">
        <v>58881848497</v>
      </c>
      <c r="T119">
        <v>0.99980599999999997</v>
      </c>
      <c r="U119">
        <v>1.0001690000000001</v>
      </c>
      <c r="V119">
        <v>0.99933700000000003</v>
      </c>
      <c r="W119">
        <v>0.99974799999999997</v>
      </c>
      <c r="X119">
        <v>0.99974799999999997</v>
      </c>
      <c r="Y119">
        <v>2958600262</v>
      </c>
      <c r="Z119">
        <v>0.85327399999999998</v>
      </c>
      <c r="AA119">
        <v>0.91292099999999998</v>
      </c>
      <c r="AB119">
        <v>0.85197199999999995</v>
      </c>
      <c r="AC119">
        <v>0.90109899999999998</v>
      </c>
      <c r="AD119">
        <v>0.90109899999999998</v>
      </c>
      <c r="AE119">
        <v>1103521076</v>
      </c>
      <c r="AK119" s="1">
        <v>44639</v>
      </c>
      <c r="AL119">
        <f t="shared" si="1"/>
        <v>2944.7216800000001</v>
      </c>
      <c r="AM119">
        <f>INDEX(A:AE,MATCH(AK119,worksheet!A:A,0),MATCH(worksheet!AM118,worksheet!A118:AE118,0))</f>
        <v>41794.648437999997</v>
      </c>
      <c r="AN119">
        <f>INDEX(A:AE,MATCH(AK119,worksheet!A:A,0),MATCH(worksheet!AN118,worksheet!A118:AE118,0))</f>
        <v>0.85327399999999998</v>
      </c>
      <c r="AO119">
        <f>INDEX(A:AE,MATCH(AK119,worksheet!A:A,0),MATCH(worksheet!AO118,worksheet!A118:AE118,0))</f>
        <v>1.0004869999999999</v>
      </c>
      <c r="AP119">
        <f>INDEX(A:AE,MATCH(AK119,worksheet!A:A,0),MATCH(worksheet!AP118,worksheet!A118:AE118,0))</f>
        <v>0.99980599999999997</v>
      </c>
    </row>
    <row r="120" spans="1:42" x14ac:dyDescent="0.25">
      <c r="A120" s="1">
        <v>44640</v>
      </c>
      <c r="B120">
        <v>2946.547607</v>
      </c>
      <c r="C120">
        <v>2956.9655760000001</v>
      </c>
      <c r="D120">
        <v>2826.107422</v>
      </c>
      <c r="E120">
        <v>2860.4592290000001</v>
      </c>
      <c r="F120">
        <v>2860.4592290000001</v>
      </c>
      <c r="G120">
        <v>12684727326</v>
      </c>
      <c r="H120">
        <v>42191.40625</v>
      </c>
      <c r="I120">
        <v>42241.164062999997</v>
      </c>
      <c r="J120">
        <v>41004.757812999997</v>
      </c>
      <c r="K120">
        <v>41247.824219000002</v>
      </c>
      <c r="L120">
        <v>41247.824219000002</v>
      </c>
      <c r="M120">
        <v>20127946682</v>
      </c>
      <c r="N120">
        <v>1.000505</v>
      </c>
      <c r="O120">
        <v>1.0007379999999999</v>
      </c>
      <c r="P120">
        <v>1.000375</v>
      </c>
      <c r="Q120">
        <v>1.000427</v>
      </c>
      <c r="R120">
        <v>1.000427</v>
      </c>
      <c r="S120">
        <v>57837125338</v>
      </c>
      <c r="T120">
        <v>0.99975499999999995</v>
      </c>
      <c r="U120">
        <v>1.000246</v>
      </c>
      <c r="V120">
        <v>0.99915699999999996</v>
      </c>
      <c r="W120">
        <v>0.99993200000000004</v>
      </c>
      <c r="X120">
        <v>0.99993200000000004</v>
      </c>
      <c r="Y120">
        <v>2943598190</v>
      </c>
      <c r="Z120">
        <v>0.90132199999999996</v>
      </c>
      <c r="AA120">
        <v>0.91460300000000005</v>
      </c>
      <c r="AB120">
        <v>0.86566900000000002</v>
      </c>
      <c r="AC120">
        <v>0.87709199999999998</v>
      </c>
      <c r="AD120">
        <v>0.87709199999999998</v>
      </c>
      <c r="AE120">
        <v>949951339</v>
      </c>
      <c r="AK120" s="1">
        <v>44640</v>
      </c>
      <c r="AL120">
        <f t="shared" si="1"/>
        <v>2946.547607</v>
      </c>
      <c r="AM120">
        <f>INDEX(A:AE,MATCH(AK120,worksheet!A:A,0),MATCH(worksheet!AM119,worksheet!A119:AE119,0))</f>
        <v>42191.40625</v>
      </c>
      <c r="AN120">
        <f>INDEX(A:AE,MATCH(AK120,worksheet!A:A,0),MATCH(worksheet!AN119,worksheet!A119:AE119,0))</f>
        <v>0.90132199999999996</v>
      </c>
      <c r="AO120">
        <f>INDEX(A:AE,MATCH(AK120,worksheet!A:A,0),MATCH(worksheet!AO119,worksheet!A119:AE119,0))</f>
        <v>1.000505</v>
      </c>
      <c r="AP120">
        <f>INDEX(A:AE,MATCH(AK120,worksheet!A:A,0),MATCH(worksheet!AP119,worksheet!A119:AE119,0))</f>
        <v>0.99975499999999995</v>
      </c>
    </row>
    <row r="121" spans="1:42" x14ac:dyDescent="0.25">
      <c r="A121" s="1">
        <v>44641</v>
      </c>
      <c r="B121">
        <v>2860.1032709999999</v>
      </c>
      <c r="C121">
        <v>2954.5566410000001</v>
      </c>
      <c r="D121">
        <v>2838.2504880000001</v>
      </c>
      <c r="E121">
        <v>2897.9765630000002</v>
      </c>
      <c r="F121">
        <v>2897.9765630000002</v>
      </c>
      <c r="G121">
        <v>15206116098</v>
      </c>
      <c r="H121">
        <v>41246.132812999997</v>
      </c>
      <c r="I121">
        <v>41454.410155999998</v>
      </c>
      <c r="J121">
        <v>40668.042969000002</v>
      </c>
      <c r="K121">
        <v>41077.996094000002</v>
      </c>
      <c r="L121">
        <v>41077.996094000002</v>
      </c>
      <c r="M121">
        <v>24615543271</v>
      </c>
      <c r="N121">
        <v>1.0004169999999999</v>
      </c>
      <c r="O121">
        <v>1.0005409999999999</v>
      </c>
      <c r="P121">
        <v>1.000297</v>
      </c>
      <c r="Q121">
        <v>1.0003470000000001</v>
      </c>
      <c r="R121">
        <v>1.0003470000000001</v>
      </c>
      <c r="S121">
        <v>64828148834</v>
      </c>
      <c r="T121">
        <v>0.99992700000000001</v>
      </c>
      <c r="U121">
        <v>1.0003770000000001</v>
      </c>
      <c r="V121">
        <v>0.99939900000000004</v>
      </c>
      <c r="W121">
        <v>0.99982800000000005</v>
      </c>
      <c r="X121">
        <v>0.99982800000000005</v>
      </c>
      <c r="Y121">
        <v>3371335656</v>
      </c>
      <c r="Z121">
        <v>0.87720100000000001</v>
      </c>
      <c r="AA121">
        <v>0.92759899999999995</v>
      </c>
      <c r="AB121">
        <v>0.86591899999999999</v>
      </c>
      <c r="AC121">
        <v>0.91678199999999999</v>
      </c>
      <c r="AD121">
        <v>0.91678199999999999</v>
      </c>
      <c r="AE121">
        <v>1233477886</v>
      </c>
      <c r="AK121" s="1">
        <v>44641</v>
      </c>
      <c r="AL121">
        <f t="shared" si="1"/>
        <v>2860.1032709999999</v>
      </c>
      <c r="AM121">
        <f>INDEX(A:AE,MATCH(AK121,worksheet!A:A,0),MATCH(worksheet!AM120,worksheet!A120:AE120,0))</f>
        <v>41246.132812999997</v>
      </c>
      <c r="AN121">
        <f>INDEX(A:AE,MATCH(AK121,worksheet!A:A,0),MATCH(worksheet!AN120,worksheet!A120:AE120,0))</f>
        <v>0.87720100000000001</v>
      </c>
      <c r="AO121">
        <f>INDEX(A:AE,MATCH(AK121,worksheet!A:A,0),MATCH(worksheet!AO120,worksheet!A120:AE120,0))</f>
        <v>1.0004169999999999</v>
      </c>
      <c r="AP121">
        <f>INDEX(A:AE,MATCH(AK121,worksheet!A:A,0),MATCH(worksheet!AP120,worksheet!A120:AE120,0))</f>
        <v>0.99992700000000001</v>
      </c>
    </row>
    <row r="122" spans="1:42" x14ac:dyDescent="0.25">
      <c r="A122" s="1">
        <v>44642</v>
      </c>
      <c r="B122">
        <v>2897.7741700000001</v>
      </c>
      <c r="C122">
        <v>3040.3828130000002</v>
      </c>
      <c r="D122">
        <v>2892.5444339999999</v>
      </c>
      <c r="E122">
        <v>2973.1311040000001</v>
      </c>
      <c r="F122">
        <v>2973.1311040000001</v>
      </c>
      <c r="G122">
        <v>16830539230</v>
      </c>
      <c r="H122">
        <v>41074.105469000002</v>
      </c>
      <c r="I122">
        <v>43124.707030999998</v>
      </c>
      <c r="J122">
        <v>40948.28125</v>
      </c>
      <c r="K122">
        <v>42358.808594000002</v>
      </c>
      <c r="L122">
        <v>42358.808594000002</v>
      </c>
      <c r="M122">
        <v>32004652376</v>
      </c>
      <c r="N122">
        <v>1.0003500000000001</v>
      </c>
      <c r="O122">
        <v>1.000707</v>
      </c>
      <c r="P122">
        <v>1.0003040000000001</v>
      </c>
      <c r="Q122">
        <v>1.000337</v>
      </c>
      <c r="R122">
        <v>1.000337</v>
      </c>
      <c r="S122">
        <v>71455738693</v>
      </c>
      <c r="T122">
        <v>0.99982000000000004</v>
      </c>
      <c r="U122">
        <v>1.0002679999999999</v>
      </c>
      <c r="V122">
        <v>0.99947699999999995</v>
      </c>
      <c r="W122">
        <v>0.99990400000000002</v>
      </c>
      <c r="X122">
        <v>0.99990400000000002</v>
      </c>
      <c r="Y122">
        <v>4026123791</v>
      </c>
      <c r="Z122">
        <v>0.91688800000000004</v>
      </c>
      <c r="AA122">
        <v>0.98503300000000005</v>
      </c>
      <c r="AB122">
        <v>0.90959199999999996</v>
      </c>
      <c r="AC122">
        <v>0.97643999999999997</v>
      </c>
      <c r="AD122">
        <v>0.97643999999999997</v>
      </c>
      <c r="AE122">
        <v>1699537576</v>
      </c>
      <c r="AK122" s="1">
        <v>44642</v>
      </c>
      <c r="AL122">
        <f t="shared" si="1"/>
        <v>2897.7741700000001</v>
      </c>
      <c r="AM122">
        <f>INDEX(A:AE,MATCH(AK122,worksheet!A:A,0),MATCH(worksheet!AM121,worksheet!A121:AE121,0))</f>
        <v>41074.105469000002</v>
      </c>
      <c r="AN122">
        <f>INDEX(A:AE,MATCH(AK122,worksheet!A:A,0),MATCH(worksheet!AN121,worksheet!A121:AE121,0))</f>
        <v>0.91688800000000004</v>
      </c>
      <c r="AO122">
        <f>INDEX(A:AE,MATCH(AK122,worksheet!A:A,0),MATCH(worksheet!AO121,worksheet!A121:AE121,0))</f>
        <v>1.0003500000000001</v>
      </c>
      <c r="AP122">
        <f>INDEX(A:AE,MATCH(AK122,worksheet!A:A,0),MATCH(worksheet!AP121,worksheet!A121:AE121,0))</f>
        <v>0.99982000000000004</v>
      </c>
    </row>
    <row r="123" spans="1:42" x14ac:dyDescent="0.25">
      <c r="A123" s="1">
        <v>44643</v>
      </c>
      <c r="B123">
        <v>2973.1450199999999</v>
      </c>
      <c r="C123">
        <v>3036.7521969999998</v>
      </c>
      <c r="D123">
        <v>2933.3066410000001</v>
      </c>
      <c r="E123">
        <v>3031.0671390000002</v>
      </c>
      <c r="F123">
        <v>3031.0671390000002</v>
      </c>
      <c r="G123">
        <v>16008767658</v>
      </c>
      <c r="H123">
        <v>42364.378905999998</v>
      </c>
      <c r="I123">
        <v>42893.507812999997</v>
      </c>
      <c r="J123">
        <v>41877.507812999997</v>
      </c>
      <c r="K123">
        <v>42892.957030999998</v>
      </c>
      <c r="L123">
        <v>42892.957030999998</v>
      </c>
      <c r="M123">
        <v>25242943069</v>
      </c>
      <c r="N123">
        <v>1.0003500000000001</v>
      </c>
      <c r="O123">
        <v>1.0007010000000001</v>
      </c>
      <c r="P123">
        <v>1.0002610000000001</v>
      </c>
      <c r="Q123">
        <v>1.0004090000000001</v>
      </c>
      <c r="R123">
        <v>1.0004090000000001</v>
      </c>
      <c r="S123">
        <v>68181581345</v>
      </c>
      <c r="T123">
        <v>0.99988999999999995</v>
      </c>
      <c r="U123">
        <v>1.0003789999999999</v>
      </c>
      <c r="V123">
        <v>0.99917699999999998</v>
      </c>
      <c r="W123">
        <v>0.99995299999999998</v>
      </c>
      <c r="X123">
        <v>0.99995299999999998</v>
      </c>
      <c r="Y123">
        <v>3777569857</v>
      </c>
      <c r="Z123">
        <v>0.97616199999999997</v>
      </c>
      <c r="AA123">
        <v>1.1074820000000001</v>
      </c>
      <c r="AB123">
        <v>0.95906800000000003</v>
      </c>
      <c r="AC123">
        <v>1.1074820000000001</v>
      </c>
      <c r="AD123">
        <v>1.1074820000000001</v>
      </c>
      <c r="AE123">
        <v>3447683427</v>
      </c>
      <c r="AK123" s="1">
        <v>44643</v>
      </c>
      <c r="AL123">
        <f t="shared" si="1"/>
        <v>2973.1450199999999</v>
      </c>
      <c r="AM123">
        <f>INDEX(A:AE,MATCH(AK123,worksheet!A:A,0),MATCH(worksheet!AM122,worksheet!A122:AE122,0))</f>
        <v>42364.378905999998</v>
      </c>
      <c r="AN123">
        <f>INDEX(A:AE,MATCH(AK123,worksheet!A:A,0),MATCH(worksheet!AN122,worksheet!A122:AE122,0))</f>
        <v>0.97616199999999997</v>
      </c>
      <c r="AO123">
        <f>INDEX(A:AE,MATCH(AK123,worksheet!A:A,0),MATCH(worksheet!AO122,worksheet!A122:AE122,0))</f>
        <v>1.0003500000000001</v>
      </c>
      <c r="AP123">
        <f>INDEX(A:AE,MATCH(AK123,worksheet!A:A,0),MATCH(worksheet!AP122,worksheet!A122:AE122,0))</f>
        <v>0.99988999999999995</v>
      </c>
    </row>
    <row r="124" spans="1:42" x14ac:dyDescent="0.25">
      <c r="A124" s="1">
        <v>44644</v>
      </c>
      <c r="B124">
        <v>3031.0607909999999</v>
      </c>
      <c r="C124">
        <v>3118.3876949999999</v>
      </c>
      <c r="D124">
        <v>3012.3266600000002</v>
      </c>
      <c r="E124">
        <v>3108.0620119999999</v>
      </c>
      <c r="F124">
        <v>3108.0620119999999</v>
      </c>
      <c r="G124">
        <v>18070503166</v>
      </c>
      <c r="H124">
        <v>42886.652344000002</v>
      </c>
      <c r="I124">
        <v>44131.855469000002</v>
      </c>
      <c r="J124">
        <v>42726.164062999997</v>
      </c>
      <c r="K124">
        <v>43960.933594000002</v>
      </c>
      <c r="L124">
        <v>43960.933594000002</v>
      </c>
      <c r="M124">
        <v>31042992291</v>
      </c>
      <c r="N124">
        <v>1.000453</v>
      </c>
      <c r="O124">
        <v>1.000667</v>
      </c>
      <c r="P124">
        <v>1.0002819999999999</v>
      </c>
      <c r="Q124">
        <v>1.0005999999999999</v>
      </c>
      <c r="R124">
        <v>1.0005999999999999</v>
      </c>
      <c r="S124">
        <v>77842904360</v>
      </c>
      <c r="T124">
        <v>0.999977</v>
      </c>
      <c r="U124">
        <v>1.0003789999999999</v>
      </c>
      <c r="V124">
        <v>0.99907299999999999</v>
      </c>
      <c r="W124">
        <v>0.99970499999999995</v>
      </c>
      <c r="X124">
        <v>0.99970499999999995</v>
      </c>
      <c r="Y124">
        <v>4794381206</v>
      </c>
      <c r="Z124">
        <v>1.1072040000000001</v>
      </c>
      <c r="AA124">
        <v>1.185751</v>
      </c>
      <c r="AB124">
        <v>1.0854220000000001</v>
      </c>
      <c r="AC124">
        <v>1.1300110000000001</v>
      </c>
      <c r="AD124">
        <v>1.1300110000000001</v>
      </c>
      <c r="AE124">
        <v>3671006856</v>
      </c>
      <c r="AK124" s="1">
        <v>44644</v>
      </c>
      <c r="AL124">
        <f t="shared" si="1"/>
        <v>3031.0607909999999</v>
      </c>
      <c r="AM124">
        <f>INDEX(A:AE,MATCH(AK124,worksheet!A:A,0),MATCH(worksheet!AM123,worksheet!A123:AE123,0))</f>
        <v>42886.652344000002</v>
      </c>
      <c r="AN124">
        <f>INDEX(A:AE,MATCH(AK124,worksheet!A:A,0),MATCH(worksheet!AN123,worksheet!A123:AE123,0))</f>
        <v>1.1072040000000001</v>
      </c>
      <c r="AO124">
        <f>INDEX(A:AE,MATCH(AK124,worksheet!A:A,0),MATCH(worksheet!AO123,worksheet!A123:AE123,0))</f>
        <v>1.000453</v>
      </c>
      <c r="AP124">
        <f>INDEX(A:AE,MATCH(AK124,worksheet!A:A,0),MATCH(worksheet!AP123,worksheet!A123:AE123,0))</f>
        <v>0.999977</v>
      </c>
    </row>
    <row r="125" spans="1:42" x14ac:dyDescent="0.25">
      <c r="A125" s="1">
        <v>44645</v>
      </c>
      <c r="B125">
        <v>3108.4489749999998</v>
      </c>
      <c r="C125">
        <v>3183.9580080000001</v>
      </c>
      <c r="D125">
        <v>3087.4907229999999</v>
      </c>
      <c r="E125">
        <v>3106.6713869999999</v>
      </c>
      <c r="F125">
        <v>3106.6713869999999</v>
      </c>
      <c r="G125">
        <v>17030503831</v>
      </c>
      <c r="H125">
        <v>43964.546875</v>
      </c>
      <c r="I125">
        <v>44999.492187999997</v>
      </c>
      <c r="J125">
        <v>43706.285155999998</v>
      </c>
      <c r="K125">
        <v>44348.730469000002</v>
      </c>
      <c r="L125">
        <v>44348.730469000002</v>
      </c>
      <c r="M125">
        <v>30574413034</v>
      </c>
      <c r="N125">
        <v>1.000604</v>
      </c>
      <c r="O125">
        <v>1.0006299999999999</v>
      </c>
      <c r="P125">
        <v>1.000351</v>
      </c>
      <c r="Q125">
        <v>1.0004059999999999</v>
      </c>
      <c r="R125">
        <v>1.0004059999999999</v>
      </c>
      <c r="S125">
        <v>64320675570</v>
      </c>
      <c r="T125">
        <v>0.99970300000000001</v>
      </c>
      <c r="U125">
        <v>1.0002489999999999</v>
      </c>
      <c r="V125">
        <v>0.99878299999999998</v>
      </c>
      <c r="W125">
        <v>0.99915299999999996</v>
      </c>
      <c r="X125">
        <v>0.99915299999999996</v>
      </c>
      <c r="Y125">
        <v>3995768300</v>
      </c>
      <c r="Z125">
        <v>1.130228</v>
      </c>
      <c r="AA125">
        <v>1.163815</v>
      </c>
      <c r="AB125">
        <v>1.075631</v>
      </c>
      <c r="AC125">
        <v>1.097888</v>
      </c>
      <c r="AD125">
        <v>1.097888</v>
      </c>
      <c r="AE125">
        <v>2232929187</v>
      </c>
      <c r="AK125" s="1">
        <v>44645</v>
      </c>
      <c r="AL125">
        <f t="shared" si="1"/>
        <v>3108.4489749999998</v>
      </c>
      <c r="AM125">
        <f>INDEX(A:AE,MATCH(AK125,worksheet!A:A,0),MATCH(worksheet!AM124,worksheet!A124:AE124,0))</f>
        <v>43964.546875</v>
      </c>
      <c r="AN125">
        <f>INDEX(A:AE,MATCH(AK125,worksheet!A:A,0),MATCH(worksheet!AN124,worksheet!A124:AE124,0))</f>
        <v>1.130228</v>
      </c>
      <c r="AO125">
        <f>INDEX(A:AE,MATCH(AK125,worksheet!A:A,0),MATCH(worksheet!AO124,worksheet!A124:AE124,0))</f>
        <v>1.000604</v>
      </c>
      <c r="AP125">
        <f>INDEX(A:AE,MATCH(AK125,worksheet!A:A,0),MATCH(worksheet!AP124,worksheet!A124:AE124,0))</f>
        <v>0.99970300000000001</v>
      </c>
    </row>
    <row r="126" spans="1:42" x14ac:dyDescent="0.25">
      <c r="A126" s="1">
        <v>44646</v>
      </c>
      <c r="B126">
        <v>3106.4052729999999</v>
      </c>
      <c r="C126">
        <v>3146.8254390000002</v>
      </c>
      <c r="D126">
        <v>3091.8254390000002</v>
      </c>
      <c r="E126">
        <v>3143.1789549999999</v>
      </c>
      <c r="F126">
        <v>3143.1789549999999</v>
      </c>
      <c r="G126">
        <v>8876420740</v>
      </c>
      <c r="H126">
        <v>44349.859375</v>
      </c>
      <c r="I126">
        <v>44735.996094000002</v>
      </c>
      <c r="J126">
        <v>44166.273437999997</v>
      </c>
      <c r="K126">
        <v>44500.828125</v>
      </c>
      <c r="L126">
        <v>44500.828125</v>
      </c>
      <c r="M126">
        <v>16950455995</v>
      </c>
      <c r="N126">
        <v>1.0004230000000001</v>
      </c>
      <c r="O126">
        <v>1.00054</v>
      </c>
      <c r="P126">
        <v>1.0003299999999999</v>
      </c>
      <c r="Q126">
        <v>1.0003610000000001</v>
      </c>
      <c r="R126">
        <v>1.0003610000000001</v>
      </c>
      <c r="S126">
        <v>39871932342</v>
      </c>
      <c r="T126">
        <v>0.99920299999999995</v>
      </c>
      <c r="U126">
        <v>1.000545</v>
      </c>
      <c r="V126">
        <v>0.99906600000000001</v>
      </c>
      <c r="W126">
        <v>0.999892</v>
      </c>
      <c r="X126">
        <v>0.999892</v>
      </c>
      <c r="Y126">
        <v>2351508897</v>
      </c>
      <c r="Z126">
        <v>1.098015</v>
      </c>
      <c r="AA126">
        <v>1.1572309999999999</v>
      </c>
      <c r="AB126">
        <v>1.0822719999999999</v>
      </c>
      <c r="AC126">
        <v>1.1505939999999999</v>
      </c>
      <c r="AD126">
        <v>1.1505939999999999</v>
      </c>
      <c r="AE126">
        <v>1407171432</v>
      </c>
      <c r="AK126" s="1">
        <v>44646</v>
      </c>
      <c r="AL126">
        <f t="shared" si="1"/>
        <v>3106.4052729999999</v>
      </c>
      <c r="AM126">
        <f>INDEX(A:AE,MATCH(AK126,worksheet!A:A,0),MATCH(worksheet!AM125,worksheet!A125:AE125,0))</f>
        <v>44349.859375</v>
      </c>
      <c r="AN126">
        <f>INDEX(A:AE,MATCH(AK126,worksheet!A:A,0),MATCH(worksheet!AN125,worksheet!A125:AE125,0))</f>
        <v>1.098015</v>
      </c>
      <c r="AO126">
        <f>INDEX(A:AE,MATCH(AK126,worksheet!A:A,0),MATCH(worksheet!AO125,worksheet!A125:AE125,0))</f>
        <v>1.0004230000000001</v>
      </c>
      <c r="AP126">
        <f>INDEX(A:AE,MATCH(AK126,worksheet!A:A,0),MATCH(worksheet!AP125,worksheet!A125:AE125,0))</f>
        <v>0.99920299999999995</v>
      </c>
    </row>
    <row r="127" spans="1:42" x14ac:dyDescent="0.25">
      <c r="A127" s="1">
        <v>44647</v>
      </c>
      <c r="B127">
        <v>3143.795654</v>
      </c>
      <c r="C127">
        <v>3291.5776369999999</v>
      </c>
      <c r="D127">
        <v>3129.9978030000002</v>
      </c>
      <c r="E127">
        <v>3291.5776369999999</v>
      </c>
      <c r="F127">
        <v>3291.5776369999999</v>
      </c>
      <c r="G127">
        <v>13431866834</v>
      </c>
      <c r="H127">
        <v>44505.355469000002</v>
      </c>
      <c r="I127">
        <v>46827.546875</v>
      </c>
      <c r="J127">
        <v>44437.292969000002</v>
      </c>
      <c r="K127">
        <v>46820.492187999997</v>
      </c>
      <c r="L127">
        <v>46820.492187999997</v>
      </c>
      <c r="M127">
        <v>28160889722</v>
      </c>
      <c r="N127">
        <v>1.0003610000000001</v>
      </c>
      <c r="O127">
        <v>1.0006060000000001</v>
      </c>
      <c r="P127">
        <v>1.0002679999999999</v>
      </c>
      <c r="Q127">
        <v>1.0003759999999999</v>
      </c>
      <c r="R127">
        <v>1.0003759999999999</v>
      </c>
      <c r="S127">
        <v>59103680528</v>
      </c>
      <c r="T127">
        <v>0.99992000000000003</v>
      </c>
      <c r="U127">
        <v>1.000435</v>
      </c>
      <c r="V127">
        <v>0.99949500000000002</v>
      </c>
      <c r="W127">
        <v>1.0000389999999999</v>
      </c>
      <c r="X127">
        <v>1.0000389999999999</v>
      </c>
      <c r="Y127">
        <v>3193250085</v>
      </c>
      <c r="Z127">
        <v>1.151006</v>
      </c>
      <c r="AA127">
        <v>1.183395</v>
      </c>
      <c r="AB127">
        <v>1.108125</v>
      </c>
      <c r="AC127">
        <v>1.182148</v>
      </c>
      <c r="AD127">
        <v>1.182148</v>
      </c>
      <c r="AE127">
        <v>1322194562</v>
      </c>
      <c r="AK127" s="1">
        <v>44647</v>
      </c>
      <c r="AL127">
        <f t="shared" si="1"/>
        <v>3143.795654</v>
      </c>
      <c r="AM127">
        <f>INDEX(A:AE,MATCH(AK127,worksheet!A:A,0),MATCH(worksheet!AM126,worksheet!A126:AE126,0))</f>
        <v>44505.355469000002</v>
      </c>
      <c r="AN127">
        <f>INDEX(A:AE,MATCH(AK127,worksheet!A:A,0),MATCH(worksheet!AN126,worksheet!A126:AE126,0))</f>
        <v>1.151006</v>
      </c>
      <c r="AO127">
        <f>INDEX(A:AE,MATCH(AK127,worksheet!A:A,0),MATCH(worksheet!AO126,worksheet!A126:AE126,0))</f>
        <v>1.0003610000000001</v>
      </c>
      <c r="AP127">
        <f>INDEX(A:AE,MATCH(AK127,worksheet!A:A,0),MATCH(worksheet!AP126,worksheet!A126:AE126,0))</f>
        <v>0.99992000000000003</v>
      </c>
    </row>
    <row r="128" spans="1:42" x14ac:dyDescent="0.25">
      <c r="A128" s="1">
        <v>44648</v>
      </c>
      <c r="B128">
        <v>3292.32251</v>
      </c>
      <c r="C128">
        <v>3424.0192870000001</v>
      </c>
      <c r="D128">
        <v>3279.0270999999998</v>
      </c>
      <c r="E128">
        <v>3336.6345209999999</v>
      </c>
      <c r="F128">
        <v>3336.6345209999999</v>
      </c>
      <c r="G128">
        <v>20620450770</v>
      </c>
      <c r="H128">
        <v>46821.851562999997</v>
      </c>
      <c r="I128">
        <v>48086.835937999997</v>
      </c>
      <c r="J128">
        <v>46690.203125</v>
      </c>
      <c r="K128">
        <v>47128.003905999998</v>
      </c>
      <c r="L128">
        <v>47128.003905999998</v>
      </c>
      <c r="M128">
        <v>36362175703</v>
      </c>
      <c r="N128">
        <v>1.0003649999999999</v>
      </c>
      <c r="O128">
        <v>1.000651</v>
      </c>
      <c r="P128">
        <v>1.0002260000000001</v>
      </c>
      <c r="Q128">
        <v>1.0004120000000001</v>
      </c>
      <c r="R128">
        <v>1.0004120000000001</v>
      </c>
      <c r="S128">
        <v>86217871591</v>
      </c>
      <c r="T128">
        <v>1.0000450000000001</v>
      </c>
      <c r="U128">
        <v>1.0005109999999999</v>
      </c>
      <c r="V128">
        <v>0.99923099999999998</v>
      </c>
      <c r="W128">
        <v>1.0001260000000001</v>
      </c>
      <c r="X128">
        <v>1.0001260000000001</v>
      </c>
      <c r="Y128">
        <v>4736107595</v>
      </c>
      <c r="Z128">
        <v>1.182334</v>
      </c>
      <c r="AA128">
        <v>1.2428650000000001</v>
      </c>
      <c r="AB128">
        <v>1.1624680000000001</v>
      </c>
      <c r="AC128">
        <v>1.1701839999999999</v>
      </c>
      <c r="AD128">
        <v>1.1701839999999999</v>
      </c>
      <c r="AE128">
        <v>2304056098</v>
      </c>
      <c r="AK128" s="1">
        <v>44648</v>
      </c>
      <c r="AL128">
        <f t="shared" si="1"/>
        <v>3292.32251</v>
      </c>
      <c r="AM128">
        <f>INDEX(A:AE,MATCH(AK128,worksheet!A:A,0),MATCH(worksheet!AM127,worksheet!A127:AE127,0))</f>
        <v>46821.851562999997</v>
      </c>
      <c r="AN128">
        <f>INDEX(A:AE,MATCH(AK128,worksheet!A:A,0),MATCH(worksheet!AN127,worksheet!A127:AE127,0))</f>
        <v>1.182334</v>
      </c>
      <c r="AO128">
        <f>INDEX(A:AE,MATCH(AK128,worksheet!A:A,0),MATCH(worksheet!AO127,worksheet!A127:AE127,0))</f>
        <v>1.0003649999999999</v>
      </c>
      <c r="AP128">
        <f>INDEX(A:AE,MATCH(AK128,worksheet!A:A,0),MATCH(worksheet!AP127,worksheet!A127:AE127,0))</f>
        <v>1.0000450000000001</v>
      </c>
    </row>
    <row r="129" spans="1:42" x14ac:dyDescent="0.25">
      <c r="A129" s="1">
        <v>44649</v>
      </c>
      <c r="B129">
        <v>3335.02124</v>
      </c>
      <c r="C129">
        <v>3470.186279</v>
      </c>
      <c r="D129">
        <v>3335.02124</v>
      </c>
      <c r="E129">
        <v>3401.9877929999998</v>
      </c>
      <c r="F129">
        <v>3401.9877929999998</v>
      </c>
      <c r="G129">
        <v>19533323636</v>
      </c>
      <c r="H129">
        <v>47100.4375</v>
      </c>
      <c r="I129">
        <v>48022.289062999997</v>
      </c>
      <c r="J129">
        <v>47100.4375</v>
      </c>
      <c r="K129">
        <v>47465.730469000002</v>
      </c>
      <c r="L129">
        <v>47465.730469000002</v>
      </c>
      <c r="M129">
        <v>31397059069</v>
      </c>
      <c r="N129">
        <v>1.0004059999999999</v>
      </c>
      <c r="O129">
        <v>1.0006619999999999</v>
      </c>
      <c r="P129">
        <v>1.0002800000000001</v>
      </c>
      <c r="Q129">
        <v>1.0004500000000001</v>
      </c>
      <c r="R129">
        <v>1.0004500000000001</v>
      </c>
      <c r="S129">
        <v>80447404974</v>
      </c>
      <c r="T129">
        <v>1.0000640000000001</v>
      </c>
      <c r="U129">
        <v>1.000332</v>
      </c>
      <c r="V129">
        <v>0.99934500000000004</v>
      </c>
      <c r="W129">
        <v>0.999996</v>
      </c>
      <c r="X129">
        <v>0.999996</v>
      </c>
      <c r="Y129">
        <v>4605087735</v>
      </c>
      <c r="Z129">
        <v>1.1692849999999999</v>
      </c>
      <c r="AA129">
        <v>1.239358</v>
      </c>
      <c r="AB129">
        <v>1.169033</v>
      </c>
      <c r="AC129">
        <v>1.1911119999999999</v>
      </c>
      <c r="AD129">
        <v>1.1911119999999999</v>
      </c>
      <c r="AE129">
        <v>1761798381</v>
      </c>
      <c r="AK129" s="1">
        <v>44649</v>
      </c>
      <c r="AL129">
        <f t="shared" si="1"/>
        <v>3335.02124</v>
      </c>
      <c r="AM129">
        <f>INDEX(A:AE,MATCH(AK129,worksheet!A:A,0),MATCH(worksheet!AM128,worksheet!A128:AE128,0))</f>
        <v>47100.4375</v>
      </c>
      <c r="AN129">
        <f>INDEX(A:AE,MATCH(AK129,worksheet!A:A,0),MATCH(worksheet!AN128,worksheet!A128:AE128,0))</f>
        <v>1.1692849999999999</v>
      </c>
      <c r="AO129">
        <f>INDEX(A:AE,MATCH(AK129,worksheet!A:A,0),MATCH(worksheet!AO128,worksheet!A128:AE128,0))</f>
        <v>1.0004059999999999</v>
      </c>
      <c r="AP129">
        <f>INDEX(A:AE,MATCH(AK129,worksheet!A:A,0),MATCH(worksheet!AP128,worksheet!A128:AE128,0))</f>
        <v>1.0000640000000001</v>
      </c>
    </row>
    <row r="130" spans="1:42" x14ac:dyDescent="0.25">
      <c r="A130" s="1">
        <v>44650</v>
      </c>
      <c r="B130">
        <v>3401.5261230000001</v>
      </c>
      <c r="C130">
        <v>3435.2861330000001</v>
      </c>
      <c r="D130">
        <v>3349.2370609999998</v>
      </c>
      <c r="E130">
        <v>3385.1579590000001</v>
      </c>
      <c r="F130">
        <v>3385.1579590000001</v>
      </c>
      <c r="G130">
        <v>15302506131</v>
      </c>
      <c r="H130">
        <v>47456.898437999997</v>
      </c>
      <c r="I130">
        <v>47655.148437999997</v>
      </c>
      <c r="J130">
        <v>46746.210937999997</v>
      </c>
      <c r="K130">
        <v>47062.664062999997</v>
      </c>
      <c r="L130">
        <v>47062.664062999997</v>
      </c>
      <c r="M130">
        <v>29333883962</v>
      </c>
      <c r="N130">
        <v>1.0004280000000001</v>
      </c>
      <c r="O130">
        <v>1.0005740000000001</v>
      </c>
      <c r="P130">
        <v>1.000219</v>
      </c>
      <c r="Q130">
        <v>1.000278</v>
      </c>
      <c r="R130">
        <v>1.000278</v>
      </c>
      <c r="S130">
        <v>79713341087</v>
      </c>
      <c r="T130">
        <v>0.999996</v>
      </c>
      <c r="U130">
        <v>1.000478</v>
      </c>
      <c r="V130">
        <v>0.99916499999999997</v>
      </c>
      <c r="W130">
        <v>0.99943099999999996</v>
      </c>
      <c r="X130">
        <v>0.99943099999999996</v>
      </c>
      <c r="Y130">
        <v>4294916739</v>
      </c>
      <c r="Z130">
        <v>1.1909799999999999</v>
      </c>
      <c r="AA130">
        <v>1.216669</v>
      </c>
      <c r="AB130">
        <v>1.167608</v>
      </c>
      <c r="AC130">
        <v>1.190385</v>
      </c>
      <c r="AD130">
        <v>1.190385</v>
      </c>
      <c r="AE130">
        <v>1424442312</v>
      </c>
      <c r="AK130" s="1">
        <v>44650</v>
      </c>
      <c r="AL130">
        <f t="shared" si="1"/>
        <v>3401.5261230000001</v>
      </c>
      <c r="AM130">
        <f>INDEX(A:AE,MATCH(AK130,worksheet!A:A,0),MATCH(worksheet!AM129,worksheet!A129:AE129,0))</f>
        <v>47456.898437999997</v>
      </c>
      <c r="AN130">
        <f>INDEX(A:AE,MATCH(AK130,worksheet!A:A,0),MATCH(worksheet!AN129,worksheet!A129:AE129,0))</f>
        <v>1.1909799999999999</v>
      </c>
      <c r="AO130">
        <f>INDEX(A:AE,MATCH(AK130,worksheet!A:A,0),MATCH(worksheet!AO129,worksheet!A129:AE129,0))</f>
        <v>1.0004280000000001</v>
      </c>
      <c r="AP130">
        <f>INDEX(A:AE,MATCH(AK130,worksheet!A:A,0),MATCH(worksheet!AP129,worksheet!A129:AE129,0))</f>
        <v>0.999996</v>
      </c>
    </row>
    <row r="131" spans="1:42" x14ac:dyDescent="0.25">
      <c r="A131" s="1">
        <v>44651</v>
      </c>
      <c r="B131">
        <v>3385.289307</v>
      </c>
      <c r="C131">
        <v>3435.1284179999998</v>
      </c>
      <c r="D131">
        <v>3272.9345699999999</v>
      </c>
      <c r="E131">
        <v>3281.6428219999998</v>
      </c>
      <c r="F131">
        <v>3281.6428219999998</v>
      </c>
      <c r="G131">
        <v>17685495686</v>
      </c>
      <c r="H131">
        <v>47062.148437999997</v>
      </c>
      <c r="I131">
        <v>47512.027344000002</v>
      </c>
      <c r="J131">
        <v>45390.539062999997</v>
      </c>
      <c r="K131">
        <v>45538.675780999998</v>
      </c>
      <c r="L131">
        <v>45538.675780999998</v>
      </c>
      <c r="M131">
        <v>33327427106</v>
      </c>
      <c r="N131">
        <v>1.000272</v>
      </c>
      <c r="O131">
        <v>1.000734</v>
      </c>
      <c r="P131">
        <v>1.0002</v>
      </c>
      <c r="Q131">
        <v>1.0003040000000001</v>
      </c>
      <c r="R131">
        <v>1.0003040000000001</v>
      </c>
      <c r="S131">
        <v>90489848043</v>
      </c>
      <c r="T131">
        <v>0.999448</v>
      </c>
      <c r="U131">
        <v>1.000294</v>
      </c>
      <c r="V131">
        <v>0.99894099999999997</v>
      </c>
      <c r="W131">
        <v>0.99944699999999997</v>
      </c>
      <c r="X131">
        <v>0.99944699999999997</v>
      </c>
      <c r="Y131">
        <v>4965559497</v>
      </c>
      <c r="Z131">
        <v>1.190299</v>
      </c>
      <c r="AA131">
        <v>1.2263200000000001</v>
      </c>
      <c r="AB131">
        <v>1.137162</v>
      </c>
      <c r="AC131">
        <v>1.1418509999999999</v>
      </c>
      <c r="AD131">
        <v>1.1418509999999999</v>
      </c>
      <c r="AE131">
        <v>1745903089</v>
      </c>
      <c r="AK131" s="1">
        <v>44651</v>
      </c>
      <c r="AL131">
        <f t="shared" ref="AL131:AL194" si="2">INDEX($A:$AE,MATCH(AK131,$A:$A,0),MATCH($AL130,$A130:$AE130,0))</f>
        <v>3385.289307</v>
      </c>
      <c r="AM131">
        <f>INDEX(A:AE,MATCH(AK131,worksheet!A:A,0),MATCH(worksheet!AM130,worksheet!A130:AE130,0))</f>
        <v>47062.148437999997</v>
      </c>
      <c r="AN131">
        <f>INDEX(A:AE,MATCH(AK131,worksheet!A:A,0),MATCH(worksheet!AN130,worksheet!A130:AE130,0))</f>
        <v>1.190299</v>
      </c>
      <c r="AO131">
        <f>INDEX(A:AE,MATCH(AK131,worksheet!A:A,0),MATCH(worksheet!AO130,worksheet!A130:AE130,0))</f>
        <v>1.000272</v>
      </c>
      <c r="AP131">
        <f>INDEX(A:AE,MATCH(AK131,worksheet!A:A,0),MATCH(worksheet!AP130,worksheet!A130:AE130,0))</f>
        <v>0.999448</v>
      </c>
    </row>
    <row r="132" spans="1:42" x14ac:dyDescent="0.25">
      <c r="A132" s="1">
        <v>44652</v>
      </c>
      <c r="B132">
        <v>3282.576172</v>
      </c>
      <c r="C132">
        <v>3467.5559079999998</v>
      </c>
      <c r="D132">
        <v>3223.891357</v>
      </c>
      <c r="E132">
        <v>3449.5522460000002</v>
      </c>
      <c r="F132">
        <v>3449.5522460000002</v>
      </c>
      <c r="G132">
        <v>20982988937</v>
      </c>
      <c r="H132">
        <v>45554.164062999997</v>
      </c>
      <c r="I132">
        <v>46616.242187999997</v>
      </c>
      <c r="J132">
        <v>44403.140625</v>
      </c>
      <c r="K132">
        <v>46281.644530999998</v>
      </c>
      <c r="L132">
        <v>46281.644530999998</v>
      </c>
      <c r="M132">
        <v>38162644287</v>
      </c>
      <c r="N132">
        <v>1.0003059999999999</v>
      </c>
      <c r="O132">
        <v>1.0006390000000001</v>
      </c>
      <c r="P132">
        <v>1.0002279999999999</v>
      </c>
      <c r="Q132">
        <v>1.0003580000000001</v>
      </c>
      <c r="R132">
        <v>1.0003580000000001</v>
      </c>
      <c r="S132">
        <v>92250507858</v>
      </c>
      <c r="T132">
        <v>0.99951599999999996</v>
      </c>
      <c r="U132">
        <v>1.000418</v>
      </c>
      <c r="V132">
        <v>0.99902400000000002</v>
      </c>
      <c r="W132">
        <v>0.99999400000000005</v>
      </c>
      <c r="X132">
        <v>0.99999400000000005</v>
      </c>
      <c r="Y132">
        <v>4910693133</v>
      </c>
      <c r="Z132">
        <v>1.1419520000000001</v>
      </c>
      <c r="AA132">
        <v>1.172973</v>
      </c>
      <c r="AB132">
        <v>1.1076189999999999</v>
      </c>
      <c r="AC132">
        <v>1.1654249999999999</v>
      </c>
      <c r="AD132">
        <v>1.1654249999999999</v>
      </c>
      <c r="AE132">
        <v>1687785845</v>
      </c>
      <c r="AK132" s="1">
        <v>44652</v>
      </c>
      <c r="AL132">
        <f t="shared" si="2"/>
        <v>3282.576172</v>
      </c>
      <c r="AM132">
        <f>INDEX(A:AE,MATCH(AK132,worksheet!A:A,0),MATCH(worksheet!AM131,worksheet!A131:AE131,0))</f>
        <v>45554.164062999997</v>
      </c>
      <c r="AN132">
        <f>INDEX(A:AE,MATCH(AK132,worksheet!A:A,0),MATCH(worksheet!AN131,worksheet!A131:AE131,0))</f>
        <v>1.1419520000000001</v>
      </c>
      <c r="AO132">
        <f>INDEX(A:AE,MATCH(AK132,worksheet!A:A,0),MATCH(worksheet!AO131,worksheet!A131:AE131,0))</f>
        <v>1.0003059999999999</v>
      </c>
      <c r="AP132">
        <f>INDEX(A:AE,MATCH(AK132,worksheet!A:A,0),MATCH(worksheet!AP131,worksheet!A131:AE131,0))</f>
        <v>0.99951599999999996</v>
      </c>
    </row>
    <row r="133" spans="1:42" x14ac:dyDescent="0.25">
      <c r="A133" s="1">
        <v>44653</v>
      </c>
      <c r="B133">
        <v>3449.7885740000002</v>
      </c>
      <c r="C133">
        <v>3521.2846679999998</v>
      </c>
      <c r="D133">
        <v>3442.0002439999998</v>
      </c>
      <c r="E133">
        <v>3445.0593260000001</v>
      </c>
      <c r="F133">
        <v>3445.0593260000001</v>
      </c>
      <c r="G133">
        <v>23571556215</v>
      </c>
      <c r="H133">
        <v>46285.5</v>
      </c>
      <c r="I133">
        <v>47028.28125</v>
      </c>
      <c r="J133">
        <v>45782.511719000002</v>
      </c>
      <c r="K133">
        <v>45868.949219000002</v>
      </c>
      <c r="L133">
        <v>45868.949219000002</v>
      </c>
      <c r="M133">
        <v>29336594194</v>
      </c>
      <c r="N133">
        <v>1.0003690000000001</v>
      </c>
      <c r="O133">
        <v>1.0005230000000001</v>
      </c>
      <c r="P133">
        <v>1.0002759999999999</v>
      </c>
      <c r="Q133">
        <v>1.0003439999999999</v>
      </c>
      <c r="R133">
        <v>1.0003439999999999</v>
      </c>
      <c r="S133">
        <v>79916606735</v>
      </c>
      <c r="T133">
        <v>1.0000070000000001</v>
      </c>
      <c r="U133">
        <v>1.0003089999999999</v>
      </c>
      <c r="V133">
        <v>0.99906499999999998</v>
      </c>
      <c r="W133">
        <v>0.99934400000000001</v>
      </c>
      <c r="X133">
        <v>0.99934400000000001</v>
      </c>
      <c r="Y133">
        <v>4174919496</v>
      </c>
      <c r="Z133">
        <v>1.1654439999999999</v>
      </c>
      <c r="AA133">
        <v>1.1938439999999999</v>
      </c>
      <c r="AB133">
        <v>1.1510499999999999</v>
      </c>
      <c r="AC133">
        <v>1.156007</v>
      </c>
      <c r="AD133">
        <v>1.156007</v>
      </c>
      <c r="AE133">
        <v>1224117012</v>
      </c>
      <c r="AK133" s="1">
        <v>44653</v>
      </c>
      <c r="AL133">
        <f t="shared" si="2"/>
        <v>3449.7885740000002</v>
      </c>
      <c r="AM133">
        <f>INDEX(A:AE,MATCH(AK133,worksheet!A:A,0),MATCH(worksheet!AM132,worksheet!A132:AE132,0))</f>
        <v>46285.5</v>
      </c>
      <c r="AN133">
        <f>INDEX(A:AE,MATCH(AK133,worksheet!A:A,0),MATCH(worksheet!AN132,worksheet!A132:AE132,0))</f>
        <v>1.1654439999999999</v>
      </c>
      <c r="AO133">
        <f>INDEX(A:AE,MATCH(AK133,worksheet!A:A,0),MATCH(worksheet!AO132,worksheet!A132:AE132,0))</f>
        <v>1.0003690000000001</v>
      </c>
      <c r="AP133">
        <f>INDEX(A:AE,MATCH(AK133,worksheet!A:A,0),MATCH(worksheet!AP132,worksheet!A132:AE132,0))</f>
        <v>1.0000070000000001</v>
      </c>
    </row>
    <row r="134" spans="1:42" x14ac:dyDescent="0.25">
      <c r="A134" s="1">
        <v>44654</v>
      </c>
      <c r="B134">
        <v>3444.810547</v>
      </c>
      <c r="C134">
        <v>3573.9602049999999</v>
      </c>
      <c r="D134">
        <v>3421.2597660000001</v>
      </c>
      <c r="E134">
        <v>3522.8334960000002</v>
      </c>
      <c r="F134">
        <v>3522.8334960000002</v>
      </c>
      <c r="G134">
        <v>15333808649</v>
      </c>
      <c r="H134">
        <v>45859.128905999998</v>
      </c>
      <c r="I134">
        <v>47313.476562999997</v>
      </c>
      <c r="J134">
        <v>45634.105469000002</v>
      </c>
      <c r="K134">
        <v>46453.566405999998</v>
      </c>
      <c r="L134">
        <v>46453.566405999998</v>
      </c>
      <c r="M134">
        <v>25414397610</v>
      </c>
      <c r="N134">
        <v>1.000348</v>
      </c>
      <c r="O134">
        <v>1.0006809999999999</v>
      </c>
      <c r="P134">
        <v>1.0001949999999999</v>
      </c>
      <c r="Q134">
        <v>1.000273</v>
      </c>
      <c r="R134">
        <v>1.000273</v>
      </c>
      <c r="S134">
        <v>67183096448</v>
      </c>
      <c r="T134">
        <v>0.99930399999999997</v>
      </c>
      <c r="U134">
        <v>1.0004379999999999</v>
      </c>
      <c r="V134">
        <v>0.99850499999999998</v>
      </c>
      <c r="W134">
        <v>1.000094</v>
      </c>
      <c r="X134">
        <v>1.000094</v>
      </c>
      <c r="Y134">
        <v>3383196459</v>
      </c>
      <c r="Z134">
        <v>1.1559090000000001</v>
      </c>
      <c r="AA134">
        <v>1.1985429999999999</v>
      </c>
      <c r="AB134">
        <v>1.146687</v>
      </c>
      <c r="AC134">
        <v>1.1859409999999999</v>
      </c>
      <c r="AD134">
        <v>1.1859409999999999</v>
      </c>
      <c r="AE134">
        <v>976725814</v>
      </c>
      <c r="AK134" s="1">
        <v>44654</v>
      </c>
      <c r="AL134">
        <f t="shared" si="2"/>
        <v>3444.810547</v>
      </c>
      <c r="AM134">
        <f>INDEX(A:AE,MATCH(AK134,worksheet!A:A,0),MATCH(worksheet!AM133,worksheet!A133:AE133,0))</f>
        <v>45859.128905999998</v>
      </c>
      <c r="AN134">
        <f>INDEX(A:AE,MATCH(AK134,worksheet!A:A,0),MATCH(worksheet!AN133,worksheet!A133:AE133,0))</f>
        <v>1.1559090000000001</v>
      </c>
      <c r="AO134">
        <f>INDEX(A:AE,MATCH(AK134,worksheet!A:A,0),MATCH(worksheet!AO133,worksheet!A133:AE133,0))</f>
        <v>1.000348</v>
      </c>
      <c r="AP134">
        <f>INDEX(A:AE,MATCH(AK134,worksheet!A:A,0),MATCH(worksheet!AP133,worksheet!A133:AE133,0))</f>
        <v>0.99930399999999997</v>
      </c>
    </row>
    <row r="135" spans="1:42" x14ac:dyDescent="0.25">
      <c r="A135" s="1">
        <v>44655</v>
      </c>
      <c r="B135">
        <v>3522.36499</v>
      </c>
      <c r="C135">
        <v>3535.148193</v>
      </c>
      <c r="D135">
        <v>3422.0009770000001</v>
      </c>
      <c r="E135">
        <v>3521.241211</v>
      </c>
      <c r="F135">
        <v>3521.241211</v>
      </c>
      <c r="G135">
        <v>18209969743</v>
      </c>
      <c r="H135">
        <v>46445.273437999997</v>
      </c>
      <c r="I135">
        <v>46791.089844000002</v>
      </c>
      <c r="J135">
        <v>45235.816405999998</v>
      </c>
      <c r="K135">
        <v>46622.675780999998</v>
      </c>
      <c r="L135">
        <v>46622.675780999998</v>
      </c>
      <c r="M135">
        <v>32499785455</v>
      </c>
      <c r="N135">
        <v>1.0002759999999999</v>
      </c>
      <c r="O135">
        <v>1.000451</v>
      </c>
      <c r="P135">
        <v>1.0001519999999999</v>
      </c>
      <c r="Q135">
        <v>1.0002279999999999</v>
      </c>
      <c r="R135">
        <v>1.0002279999999999</v>
      </c>
      <c r="S135">
        <v>79820905659</v>
      </c>
      <c r="T135">
        <v>1.0000880000000001</v>
      </c>
      <c r="U135">
        <v>1.000316</v>
      </c>
      <c r="V135">
        <v>0.99890999999999996</v>
      </c>
      <c r="W135">
        <v>1.000122</v>
      </c>
      <c r="X135">
        <v>1.000122</v>
      </c>
      <c r="Y135">
        <v>4217884092</v>
      </c>
      <c r="Z135">
        <v>1.1858</v>
      </c>
      <c r="AA135">
        <v>1.2403580000000001</v>
      </c>
      <c r="AB135">
        <v>1.1654929999999999</v>
      </c>
      <c r="AC135">
        <v>1.2129449999999999</v>
      </c>
      <c r="AD135">
        <v>1.2129449999999999</v>
      </c>
      <c r="AE135">
        <v>2447778820</v>
      </c>
      <c r="AK135" s="1">
        <v>44655</v>
      </c>
      <c r="AL135">
        <f t="shared" si="2"/>
        <v>3522.36499</v>
      </c>
      <c r="AM135">
        <f>INDEX(A:AE,MATCH(AK135,worksheet!A:A,0),MATCH(worksheet!AM134,worksheet!A134:AE134,0))</f>
        <v>46445.273437999997</v>
      </c>
      <c r="AN135">
        <f>INDEX(A:AE,MATCH(AK135,worksheet!A:A,0),MATCH(worksheet!AN134,worksheet!A134:AE134,0))</f>
        <v>1.1858</v>
      </c>
      <c r="AO135">
        <f>INDEX(A:AE,MATCH(AK135,worksheet!A:A,0),MATCH(worksheet!AO134,worksheet!A134:AE134,0))</f>
        <v>1.0002759999999999</v>
      </c>
      <c r="AP135">
        <f>INDEX(A:AE,MATCH(AK135,worksheet!A:A,0),MATCH(worksheet!AP134,worksheet!A134:AE134,0))</f>
        <v>1.0000880000000001</v>
      </c>
    </row>
    <row r="136" spans="1:42" x14ac:dyDescent="0.25">
      <c r="A136" s="1">
        <v>44656</v>
      </c>
      <c r="B136">
        <v>3521.2397460000002</v>
      </c>
      <c r="C136">
        <v>3546.7067870000001</v>
      </c>
      <c r="D136">
        <v>3410.547607</v>
      </c>
      <c r="E136">
        <v>3411.7924800000001</v>
      </c>
      <c r="F136">
        <v>3411.7924800000001</v>
      </c>
      <c r="G136">
        <v>16681503199</v>
      </c>
      <c r="H136">
        <v>46624.507812999997</v>
      </c>
      <c r="I136">
        <v>47106.140625</v>
      </c>
      <c r="J136">
        <v>45544.808594000002</v>
      </c>
      <c r="K136">
        <v>45555.992187999997</v>
      </c>
      <c r="L136">
        <v>45555.992187999997</v>
      </c>
      <c r="M136">
        <v>29640604055</v>
      </c>
      <c r="N136">
        <v>1.0002219999999999</v>
      </c>
      <c r="O136">
        <v>1.000437</v>
      </c>
      <c r="P136">
        <v>1.000122</v>
      </c>
      <c r="Q136">
        <v>1.000194</v>
      </c>
      <c r="R136">
        <v>1.000194</v>
      </c>
      <c r="S136">
        <v>71594982811</v>
      </c>
      <c r="T136">
        <v>1.000138</v>
      </c>
      <c r="U136">
        <v>1.0003599999999999</v>
      </c>
      <c r="V136">
        <v>0.99903399999999998</v>
      </c>
      <c r="W136">
        <v>0.99969600000000003</v>
      </c>
      <c r="X136">
        <v>0.99969600000000003</v>
      </c>
      <c r="Y136">
        <v>3993328112</v>
      </c>
      <c r="Z136">
        <v>1.2130289999999999</v>
      </c>
      <c r="AA136">
        <v>1.2173929999999999</v>
      </c>
      <c r="AB136">
        <v>1.167548</v>
      </c>
      <c r="AC136">
        <v>1.170801</v>
      </c>
      <c r="AD136">
        <v>1.170801</v>
      </c>
      <c r="AE136">
        <v>1188106135</v>
      </c>
      <c r="AK136" s="1">
        <v>44656</v>
      </c>
      <c r="AL136">
        <f t="shared" si="2"/>
        <v>3521.2397460000002</v>
      </c>
      <c r="AM136">
        <f>INDEX(A:AE,MATCH(AK136,worksheet!A:A,0),MATCH(worksheet!AM135,worksheet!A135:AE135,0))</f>
        <v>46624.507812999997</v>
      </c>
      <c r="AN136">
        <f>INDEX(A:AE,MATCH(AK136,worksheet!A:A,0),MATCH(worksheet!AN135,worksheet!A135:AE135,0))</f>
        <v>1.2130289999999999</v>
      </c>
      <c r="AO136">
        <f>INDEX(A:AE,MATCH(AK136,worksheet!A:A,0),MATCH(worksheet!AO135,worksheet!A135:AE135,0))</f>
        <v>1.0002219999999999</v>
      </c>
      <c r="AP136">
        <f>INDEX(A:AE,MATCH(AK136,worksheet!A:A,0),MATCH(worksheet!AP135,worksheet!A135:AE135,0))</f>
        <v>1.000138</v>
      </c>
    </row>
    <row r="137" spans="1:42" x14ac:dyDescent="0.25">
      <c r="A137" s="1">
        <v>44657</v>
      </c>
      <c r="B137">
        <v>3411.6721189999998</v>
      </c>
      <c r="C137">
        <v>3411.6721189999998</v>
      </c>
      <c r="D137">
        <v>3171.205078</v>
      </c>
      <c r="E137">
        <v>3171.6918949999999</v>
      </c>
      <c r="F137">
        <v>3171.6918949999999</v>
      </c>
      <c r="G137">
        <v>25632563639</v>
      </c>
      <c r="H137">
        <v>45544.355469000002</v>
      </c>
      <c r="I137">
        <v>45544.355469000002</v>
      </c>
      <c r="J137">
        <v>43193.953125</v>
      </c>
      <c r="K137">
        <v>43206.738280999998</v>
      </c>
      <c r="L137">
        <v>43206.738280999998</v>
      </c>
      <c r="M137">
        <v>39393395788</v>
      </c>
      <c r="N137">
        <v>1.0001990000000001</v>
      </c>
      <c r="O137">
        <v>1.0004649999999999</v>
      </c>
      <c r="P137">
        <v>1.000086</v>
      </c>
      <c r="Q137">
        <v>1.0001549999999999</v>
      </c>
      <c r="R137">
        <v>1.0001549999999999</v>
      </c>
      <c r="S137">
        <v>92098510461</v>
      </c>
      <c r="T137">
        <v>0.99965899999999996</v>
      </c>
      <c r="U137">
        <v>1.000602</v>
      </c>
      <c r="V137">
        <v>0.99862300000000004</v>
      </c>
      <c r="W137">
        <v>0.99958499999999995</v>
      </c>
      <c r="X137">
        <v>0.99958499999999995</v>
      </c>
      <c r="Y137">
        <v>5849605363</v>
      </c>
      <c r="Z137">
        <v>1.1707920000000001</v>
      </c>
      <c r="AA137">
        <v>1.1716070000000001</v>
      </c>
      <c r="AB137">
        <v>1.052379</v>
      </c>
      <c r="AC137">
        <v>1.0527709999999999</v>
      </c>
      <c r="AD137">
        <v>1.0527709999999999</v>
      </c>
      <c r="AE137">
        <v>1710318316</v>
      </c>
      <c r="AK137" s="1">
        <v>44657</v>
      </c>
      <c r="AL137">
        <f t="shared" si="2"/>
        <v>3411.6721189999998</v>
      </c>
      <c r="AM137">
        <f>INDEX(A:AE,MATCH(AK137,worksheet!A:A,0),MATCH(worksheet!AM136,worksheet!A136:AE136,0))</f>
        <v>45544.355469000002</v>
      </c>
      <c r="AN137">
        <f>INDEX(A:AE,MATCH(AK137,worksheet!A:A,0),MATCH(worksheet!AN136,worksheet!A136:AE136,0))</f>
        <v>1.1707920000000001</v>
      </c>
      <c r="AO137">
        <f>INDEX(A:AE,MATCH(AK137,worksheet!A:A,0),MATCH(worksheet!AO136,worksheet!A136:AE136,0))</f>
        <v>1.0001990000000001</v>
      </c>
      <c r="AP137">
        <f>INDEX(A:AE,MATCH(AK137,worksheet!A:A,0),MATCH(worksheet!AP136,worksheet!A136:AE136,0))</f>
        <v>0.99965899999999996</v>
      </c>
    </row>
    <row r="138" spans="1:42" x14ac:dyDescent="0.25">
      <c r="A138" s="1">
        <v>44658</v>
      </c>
      <c r="B138">
        <v>3172.1972660000001</v>
      </c>
      <c r="C138">
        <v>3263.4746089999999</v>
      </c>
      <c r="D138">
        <v>3155.5810550000001</v>
      </c>
      <c r="E138">
        <v>3233.2746579999998</v>
      </c>
      <c r="F138">
        <v>3233.2746579999998</v>
      </c>
      <c r="G138">
        <v>16745496605</v>
      </c>
      <c r="H138">
        <v>43207.5</v>
      </c>
      <c r="I138">
        <v>43860.699219000002</v>
      </c>
      <c r="J138">
        <v>42899.90625</v>
      </c>
      <c r="K138">
        <v>43503.847655999998</v>
      </c>
      <c r="L138">
        <v>43503.847655999998</v>
      </c>
      <c r="M138">
        <v>26101973106</v>
      </c>
      <c r="N138">
        <v>1.000149</v>
      </c>
      <c r="O138">
        <v>1.0004919999999999</v>
      </c>
      <c r="P138">
        <v>1.0000929999999999</v>
      </c>
      <c r="Q138">
        <v>1.000262</v>
      </c>
      <c r="R138">
        <v>1.000262</v>
      </c>
      <c r="S138">
        <v>61906251582</v>
      </c>
      <c r="T138">
        <v>0.99961199999999995</v>
      </c>
      <c r="U138">
        <v>1.0011110000000001</v>
      </c>
      <c r="V138">
        <v>0.99906600000000001</v>
      </c>
      <c r="W138">
        <v>1.0000370000000001</v>
      </c>
      <c r="X138">
        <v>1.0000370000000001</v>
      </c>
      <c r="Y138">
        <v>3809231231</v>
      </c>
      <c r="Z138">
        <v>1.053129</v>
      </c>
      <c r="AA138">
        <v>1.0984689999999999</v>
      </c>
      <c r="AB138">
        <v>1.0451379999999999</v>
      </c>
      <c r="AC138">
        <v>1.0918939999999999</v>
      </c>
      <c r="AD138">
        <v>1.0918939999999999</v>
      </c>
      <c r="AE138">
        <v>1139697598</v>
      </c>
      <c r="AK138" s="1">
        <v>44658</v>
      </c>
      <c r="AL138">
        <f t="shared" si="2"/>
        <v>3172.1972660000001</v>
      </c>
      <c r="AM138">
        <f>INDEX(A:AE,MATCH(AK138,worksheet!A:A,0),MATCH(worksheet!AM137,worksheet!A137:AE137,0))</f>
        <v>43207.5</v>
      </c>
      <c r="AN138">
        <f>INDEX(A:AE,MATCH(AK138,worksheet!A:A,0),MATCH(worksheet!AN137,worksheet!A137:AE137,0))</f>
        <v>1.053129</v>
      </c>
      <c r="AO138">
        <f>INDEX(A:AE,MATCH(AK138,worksheet!A:A,0),MATCH(worksheet!AO137,worksheet!A137:AE137,0))</f>
        <v>1.000149</v>
      </c>
      <c r="AP138">
        <f>INDEX(A:AE,MATCH(AK138,worksheet!A:A,0),MATCH(worksheet!AP137,worksheet!A137:AE137,0))</f>
        <v>0.99961199999999995</v>
      </c>
    </row>
    <row r="139" spans="1:42" x14ac:dyDescent="0.25">
      <c r="A139" s="1">
        <v>44659</v>
      </c>
      <c r="B139">
        <v>3233.272461</v>
      </c>
      <c r="C139">
        <v>3301.607422</v>
      </c>
      <c r="D139">
        <v>3179.1423340000001</v>
      </c>
      <c r="E139">
        <v>3192.0739749999998</v>
      </c>
      <c r="F139">
        <v>3192.0739749999998</v>
      </c>
      <c r="G139">
        <v>17557050669</v>
      </c>
      <c r="H139">
        <v>43505.136719000002</v>
      </c>
      <c r="I139">
        <v>43903.019530999998</v>
      </c>
      <c r="J139">
        <v>42183.289062999997</v>
      </c>
      <c r="K139">
        <v>42287.664062999997</v>
      </c>
      <c r="L139">
        <v>42287.664062999997</v>
      </c>
      <c r="M139">
        <v>27215995394</v>
      </c>
      <c r="N139">
        <v>1.0002610000000001</v>
      </c>
      <c r="O139">
        <v>1.0005470000000001</v>
      </c>
      <c r="P139">
        <v>1.000173</v>
      </c>
      <c r="Q139">
        <v>1.0002880000000001</v>
      </c>
      <c r="R139">
        <v>1.0002880000000001</v>
      </c>
      <c r="S139">
        <v>64297486911</v>
      </c>
      <c r="T139">
        <v>1.0001100000000001</v>
      </c>
      <c r="U139">
        <v>1.001015</v>
      </c>
      <c r="V139">
        <v>0.99731599999999998</v>
      </c>
      <c r="W139">
        <v>0.99974099999999999</v>
      </c>
      <c r="X139">
        <v>0.99974099999999999</v>
      </c>
      <c r="Y139">
        <v>3965817036</v>
      </c>
      <c r="Z139">
        <v>1.0916319999999999</v>
      </c>
      <c r="AA139">
        <v>1.097432</v>
      </c>
      <c r="AB139">
        <v>1.0213699999999999</v>
      </c>
      <c r="AC139">
        <v>1.0263260000000001</v>
      </c>
      <c r="AD139">
        <v>1.0263260000000001</v>
      </c>
      <c r="AE139">
        <v>926095649</v>
      </c>
      <c r="AK139" s="1">
        <v>44659</v>
      </c>
      <c r="AL139">
        <f t="shared" si="2"/>
        <v>3233.272461</v>
      </c>
      <c r="AM139">
        <f>INDEX(A:AE,MATCH(AK139,worksheet!A:A,0),MATCH(worksheet!AM138,worksheet!A138:AE138,0))</f>
        <v>43505.136719000002</v>
      </c>
      <c r="AN139">
        <f>INDEX(A:AE,MATCH(AK139,worksheet!A:A,0),MATCH(worksheet!AN138,worksheet!A138:AE138,0))</f>
        <v>1.0916319999999999</v>
      </c>
      <c r="AO139">
        <f>INDEX(A:AE,MATCH(AK139,worksheet!A:A,0),MATCH(worksheet!AO138,worksheet!A138:AE138,0))</f>
        <v>1.0002610000000001</v>
      </c>
      <c r="AP139">
        <f>INDEX(A:AE,MATCH(AK139,worksheet!A:A,0),MATCH(worksheet!AP138,worksheet!A138:AE138,0))</f>
        <v>1.0001100000000001</v>
      </c>
    </row>
    <row r="140" spans="1:42" x14ac:dyDescent="0.25">
      <c r="A140" s="1">
        <v>44660</v>
      </c>
      <c r="B140">
        <v>3191.9760740000002</v>
      </c>
      <c r="C140">
        <v>3261.963135</v>
      </c>
      <c r="D140">
        <v>3187.4692380000001</v>
      </c>
      <c r="E140">
        <v>3261.91626</v>
      </c>
      <c r="F140">
        <v>3261.91626</v>
      </c>
      <c r="G140">
        <v>9908112156</v>
      </c>
      <c r="H140">
        <v>42282.078125</v>
      </c>
      <c r="I140">
        <v>42786.816405999998</v>
      </c>
      <c r="J140">
        <v>42183.253905999998</v>
      </c>
      <c r="K140">
        <v>42782.136719000002</v>
      </c>
      <c r="L140">
        <v>42782.136719000002</v>
      </c>
      <c r="M140">
        <v>16050772496</v>
      </c>
      <c r="N140">
        <v>1.000284</v>
      </c>
      <c r="O140">
        <v>1.0005809999999999</v>
      </c>
      <c r="P140">
        <v>1.0001519999999999</v>
      </c>
      <c r="Q140">
        <v>1.000372</v>
      </c>
      <c r="R140">
        <v>1.000372</v>
      </c>
      <c r="S140">
        <v>40069848333</v>
      </c>
      <c r="T140">
        <v>0.99974600000000002</v>
      </c>
      <c r="U140">
        <v>1.0005329999999999</v>
      </c>
      <c r="V140">
        <v>0.99906700000000004</v>
      </c>
      <c r="W140">
        <v>1.000084</v>
      </c>
      <c r="X140">
        <v>1.000084</v>
      </c>
      <c r="Y140">
        <v>2269317026</v>
      </c>
      <c r="Z140">
        <v>1.0259119999999999</v>
      </c>
      <c r="AA140">
        <v>1.045075</v>
      </c>
      <c r="AB140">
        <v>1.02379</v>
      </c>
      <c r="AC140">
        <v>1.045015</v>
      </c>
      <c r="AD140">
        <v>1.045015</v>
      </c>
      <c r="AE140">
        <v>640896639</v>
      </c>
      <c r="AK140" s="1">
        <v>44660</v>
      </c>
      <c r="AL140">
        <f t="shared" si="2"/>
        <v>3191.9760740000002</v>
      </c>
      <c r="AM140">
        <f>INDEX(A:AE,MATCH(AK140,worksheet!A:A,0),MATCH(worksheet!AM139,worksheet!A139:AE139,0))</f>
        <v>42282.078125</v>
      </c>
      <c r="AN140">
        <f>INDEX(A:AE,MATCH(AK140,worksheet!A:A,0),MATCH(worksheet!AN139,worksheet!A139:AE139,0))</f>
        <v>1.0259119999999999</v>
      </c>
      <c r="AO140">
        <f>INDEX(A:AE,MATCH(AK140,worksheet!A:A,0),MATCH(worksheet!AO139,worksheet!A139:AE139,0))</f>
        <v>1.000284</v>
      </c>
      <c r="AP140">
        <f>INDEX(A:AE,MATCH(AK140,worksheet!A:A,0),MATCH(worksheet!AP139,worksheet!A139:AE139,0))</f>
        <v>0.99974600000000002</v>
      </c>
    </row>
    <row r="141" spans="1:42" x14ac:dyDescent="0.25">
      <c r="A141" s="1">
        <v>44661</v>
      </c>
      <c r="B141">
        <v>3261.2915039999998</v>
      </c>
      <c r="C141">
        <v>3303.0031739999999</v>
      </c>
      <c r="D141">
        <v>3211.866943</v>
      </c>
      <c r="E141">
        <v>3211.866943</v>
      </c>
      <c r="F141">
        <v>3211.866943</v>
      </c>
      <c r="G141">
        <v>10427054790</v>
      </c>
      <c r="H141">
        <v>42781.089844000002</v>
      </c>
      <c r="I141">
        <v>43376.378905999998</v>
      </c>
      <c r="J141">
        <v>42021.207030999998</v>
      </c>
      <c r="K141">
        <v>42207.671875</v>
      </c>
      <c r="L141">
        <v>42207.671875</v>
      </c>
      <c r="M141">
        <v>17654475582</v>
      </c>
      <c r="N141">
        <v>1.000354</v>
      </c>
      <c r="O141">
        <v>1.0005679999999999</v>
      </c>
      <c r="P141">
        <v>1.00024</v>
      </c>
      <c r="Q141">
        <v>1.000292</v>
      </c>
      <c r="R141">
        <v>1.000292</v>
      </c>
      <c r="S141">
        <v>43341611560</v>
      </c>
      <c r="T141">
        <v>1.000084</v>
      </c>
      <c r="U141">
        <v>1.0005029999999999</v>
      </c>
      <c r="V141">
        <v>0.99914400000000003</v>
      </c>
      <c r="W141">
        <v>0.99962600000000001</v>
      </c>
      <c r="X141">
        <v>0.99962600000000001</v>
      </c>
      <c r="Y141">
        <v>2315716300</v>
      </c>
      <c r="Z141">
        <v>1.0450120000000001</v>
      </c>
      <c r="AA141">
        <v>1.06803</v>
      </c>
      <c r="AB141">
        <v>1.0287569999999999</v>
      </c>
      <c r="AC141">
        <v>1.0308850000000001</v>
      </c>
      <c r="AD141">
        <v>1.0308850000000001</v>
      </c>
      <c r="AE141">
        <v>626332866</v>
      </c>
      <c r="AK141" s="1">
        <v>44661</v>
      </c>
      <c r="AL141">
        <f t="shared" si="2"/>
        <v>3261.2915039999998</v>
      </c>
      <c r="AM141">
        <f>INDEX(A:AE,MATCH(AK141,worksheet!A:A,0),MATCH(worksheet!AM140,worksheet!A140:AE140,0))</f>
        <v>42781.089844000002</v>
      </c>
      <c r="AN141">
        <f>INDEX(A:AE,MATCH(AK141,worksheet!A:A,0),MATCH(worksheet!AN140,worksheet!A140:AE140,0))</f>
        <v>1.0450120000000001</v>
      </c>
      <c r="AO141">
        <f>INDEX(A:AE,MATCH(AK141,worksheet!A:A,0),MATCH(worksheet!AO140,worksheet!A140:AE140,0))</f>
        <v>1.000354</v>
      </c>
      <c r="AP141">
        <f>INDEX(A:AE,MATCH(AK141,worksheet!A:A,0),MATCH(worksheet!AP140,worksheet!A140:AE140,0))</f>
        <v>1.000084</v>
      </c>
    </row>
    <row r="142" spans="1:42" x14ac:dyDescent="0.25">
      <c r="A142" s="1">
        <v>44662</v>
      </c>
      <c r="B142">
        <v>3209.576904</v>
      </c>
      <c r="C142">
        <v>3214.461914</v>
      </c>
      <c r="D142">
        <v>2962.7565920000002</v>
      </c>
      <c r="E142">
        <v>2981.0522460000002</v>
      </c>
      <c r="F142">
        <v>2981.0522460000002</v>
      </c>
      <c r="G142">
        <v>21891804831</v>
      </c>
      <c r="H142">
        <v>42201.039062999997</v>
      </c>
      <c r="I142">
        <v>42424.589844000002</v>
      </c>
      <c r="J142">
        <v>39373.058594000002</v>
      </c>
      <c r="K142">
        <v>39521.902344000002</v>
      </c>
      <c r="L142">
        <v>39521.902344000002</v>
      </c>
      <c r="M142">
        <v>33949912166</v>
      </c>
      <c r="N142">
        <v>1.000299</v>
      </c>
      <c r="O142">
        <v>1.000607</v>
      </c>
      <c r="P142">
        <v>1.000194</v>
      </c>
      <c r="Q142">
        <v>1.000348</v>
      </c>
      <c r="R142">
        <v>1.000348</v>
      </c>
      <c r="S142">
        <v>73914574528</v>
      </c>
      <c r="T142">
        <v>0.99969600000000003</v>
      </c>
      <c r="U142">
        <v>1.0003040000000001</v>
      </c>
      <c r="V142">
        <v>0.99900900000000004</v>
      </c>
      <c r="W142">
        <v>0.99973199999999995</v>
      </c>
      <c r="X142">
        <v>0.99973199999999995</v>
      </c>
      <c r="Y142">
        <v>5102389285</v>
      </c>
      <c r="Z142">
        <v>1.0306709999999999</v>
      </c>
      <c r="AA142">
        <v>1.0306709999999999</v>
      </c>
      <c r="AB142">
        <v>0.92011600000000004</v>
      </c>
      <c r="AC142">
        <v>0.92044999999999999</v>
      </c>
      <c r="AD142">
        <v>0.92044999999999999</v>
      </c>
      <c r="AE142">
        <v>1398303911</v>
      </c>
      <c r="AK142" s="1">
        <v>44662</v>
      </c>
      <c r="AL142">
        <f t="shared" si="2"/>
        <v>3209.576904</v>
      </c>
      <c r="AM142">
        <f>INDEX(A:AE,MATCH(AK142,worksheet!A:A,0),MATCH(worksheet!AM141,worksheet!A141:AE141,0))</f>
        <v>42201.039062999997</v>
      </c>
      <c r="AN142">
        <f>INDEX(A:AE,MATCH(AK142,worksheet!A:A,0),MATCH(worksheet!AN141,worksheet!A141:AE141,0))</f>
        <v>1.0306709999999999</v>
      </c>
      <c r="AO142">
        <f>INDEX(A:AE,MATCH(AK142,worksheet!A:A,0),MATCH(worksheet!AO141,worksheet!A141:AE141,0))</f>
        <v>1.000299</v>
      </c>
      <c r="AP142">
        <f>INDEX(A:AE,MATCH(AK142,worksheet!A:A,0),MATCH(worksheet!AP141,worksheet!A141:AE141,0))</f>
        <v>0.99969600000000003</v>
      </c>
    </row>
    <row r="143" spans="1:42" x14ac:dyDescent="0.25">
      <c r="A143" s="1">
        <v>44663</v>
      </c>
      <c r="B143">
        <v>2981.420654</v>
      </c>
      <c r="C143">
        <v>3077.4526369999999</v>
      </c>
      <c r="D143">
        <v>2957.8723140000002</v>
      </c>
      <c r="E143">
        <v>3030.3764649999998</v>
      </c>
      <c r="F143">
        <v>3030.3764649999998</v>
      </c>
      <c r="G143">
        <v>20235707410</v>
      </c>
      <c r="H143">
        <v>39533.714844000002</v>
      </c>
      <c r="I143">
        <v>40617.585937999997</v>
      </c>
      <c r="J143">
        <v>39388.328125</v>
      </c>
      <c r="K143">
        <v>40127.183594000002</v>
      </c>
      <c r="L143">
        <v>40127.183594000002</v>
      </c>
      <c r="M143">
        <v>30991500854</v>
      </c>
      <c r="N143">
        <v>1.000351</v>
      </c>
      <c r="O143">
        <v>1.0005520000000001</v>
      </c>
      <c r="P143">
        <v>1.000178</v>
      </c>
      <c r="Q143">
        <v>1.000435</v>
      </c>
      <c r="R143">
        <v>1.000435</v>
      </c>
      <c r="S143">
        <v>68489224153</v>
      </c>
      <c r="T143">
        <v>0.99981399999999998</v>
      </c>
      <c r="U143">
        <v>1.000624</v>
      </c>
      <c r="V143">
        <v>0.99923200000000001</v>
      </c>
      <c r="W143">
        <v>0.999865</v>
      </c>
      <c r="X143">
        <v>0.999865</v>
      </c>
      <c r="Y143">
        <v>4605505010</v>
      </c>
      <c r="Z143">
        <v>0.92059899999999995</v>
      </c>
      <c r="AA143">
        <v>0.98085500000000003</v>
      </c>
      <c r="AB143">
        <v>0.92059899999999995</v>
      </c>
      <c r="AC143">
        <v>0.95514500000000002</v>
      </c>
      <c r="AD143">
        <v>0.95514500000000002</v>
      </c>
      <c r="AE143">
        <v>1076130201</v>
      </c>
      <c r="AK143" s="1">
        <v>44663</v>
      </c>
      <c r="AL143">
        <f t="shared" si="2"/>
        <v>2981.420654</v>
      </c>
      <c r="AM143">
        <f>INDEX(A:AE,MATCH(AK143,worksheet!A:A,0),MATCH(worksheet!AM142,worksheet!A142:AE142,0))</f>
        <v>39533.714844000002</v>
      </c>
      <c r="AN143">
        <f>INDEX(A:AE,MATCH(AK143,worksheet!A:A,0),MATCH(worksheet!AN142,worksheet!A142:AE142,0))</f>
        <v>0.92059899999999995</v>
      </c>
      <c r="AO143">
        <f>INDEX(A:AE,MATCH(AK143,worksheet!A:A,0),MATCH(worksheet!AO142,worksheet!A142:AE142,0))</f>
        <v>1.000351</v>
      </c>
      <c r="AP143">
        <f>INDEX(A:AE,MATCH(AK143,worksheet!A:A,0),MATCH(worksheet!AP142,worksheet!A142:AE142,0))</f>
        <v>0.99981399999999998</v>
      </c>
    </row>
    <row r="144" spans="1:42" x14ac:dyDescent="0.25">
      <c r="A144" s="1">
        <v>44664</v>
      </c>
      <c r="B144">
        <v>3029.8779300000001</v>
      </c>
      <c r="C144">
        <v>3123.5754390000002</v>
      </c>
      <c r="D144">
        <v>3006.4816890000002</v>
      </c>
      <c r="E144">
        <v>3118.3442380000001</v>
      </c>
      <c r="F144">
        <v>3118.3442380000001</v>
      </c>
      <c r="G144">
        <v>16088473629</v>
      </c>
      <c r="H144">
        <v>40123.570312999997</v>
      </c>
      <c r="I144">
        <v>41430.054687999997</v>
      </c>
      <c r="J144">
        <v>39712.746094000002</v>
      </c>
      <c r="K144">
        <v>41166.730469000002</v>
      </c>
      <c r="L144">
        <v>41166.730469000002</v>
      </c>
      <c r="M144">
        <v>27691105228</v>
      </c>
      <c r="N144">
        <v>1.0004420000000001</v>
      </c>
      <c r="O144">
        <v>1.0004420000000001</v>
      </c>
      <c r="P144">
        <v>1.0001279999999999</v>
      </c>
      <c r="Q144">
        <v>1.000275</v>
      </c>
      <c r="R144">
        <v>1.000275</v>
      </c>
      <c r="S144">
        <v>57894656914</v>
      </c>
      <c r="T144">
        <v>0.99982899999999997</v>
      </c>
      <c r="U144">
        <v>1.0003899999999999</v>
      </c>
      <c r="V144">
        <v>0.99915299999999996</v>
      </c>
      <c r="W144">
        <v>0.99974499999999999</v>
      </c>
      <c r="X144">
        <v>0.99974499999999999</v>
      </c>
      <c r="Y144">
        <v>3725782044</v>
      </c>
      <c r="Z144">
        <v>0.95512200000000003</v>
      </c>
      <c r="AA144">
        <v>0.97815300000000005</v>
      </c>
      <c r="AB144">
        <v>0.93740000000000001</v>
      </c>
      <c r="AC144">
        <v>0.97469600000000001</v>
      </c>
      <c r="AD144">
        <v>0.97469600000000001</v>
      </c>
      <c r="AE144">
        <v>791702878</v>
      </c>
      <c r="AK144" s="1">
        <v>44664</v>
      </c>
      <c r="AL144">
        <f t="shared" si="2"/>
        <v>3029.8779300000001</v>
      </c>
      <c r="AM144">
        <f>INDEX(A:AE,MATCH(AK144,worksheet!A:A,0),MATCH(worksheet!AM143,worksheet!A143:AE143,0))</f>
        <v>40123.570312999997</v>
      </c>
      <c r="AN144">
        <f>INDEX(A:AE,MATCH(AK144,worksheet!A:A,0),MATCH(worksheet!AN143,worksheet!A143:AE143,0))</f>
        <v>0.95512200000000003</v>
      </c>
      <c r="AO144">
        <f>INDEX(A:AE,MATCH(AK144,worksheet!A:A,0),MATCH(worksheet!AO143,worksheet!A143:AE143,0))</f>
        <v>1.0004420000000001</v>
      </c>
      <c r="AP144">
        <f>INDEX(A:AE,MATCH(AK144,worksheet!A:A,0),MATCH(worksheet!AP143,worksheet!A143:AE143,0))</f>
        <v>0.99982899999999997</v>
      </c>
    </row>
    <row r="145" spans="1:42" x14ac:dyDescent="0.25">
      <c r="A145" s="1">
        <v>44665</v>
      </c>
      <c r="B145">
        <v>3117.8217770000001</v>
      </c>
      <c r="C145">
        <v>3139.928711</v>
      </c>
      <c r="D145">
        <v>2988.4353030000002</v>
      </c>
      <c r="E145">
        <v>3019.9094239999999</v>
      </c>
      <c r="F145">
        <v>3019.9094239999999</v>
      </c>
      <c r="G145">
        <v>15821419931</v>
      </c>
      <c r="H145">
        <v>41160.21875</v>
      </c>
      <c r="I145">
        <v>41451.480469000002</v>
      </c>
      <c r="J145">
        <v>39695.746094000002</v>
      </c>
      <c r="K145">
        <v>39935.515625</v>
      </c>
      <c r="L145">
        <v>39935.515625</v>
      </c>
      <c r="M145">
        <v>24342001973</v>
      </c>
      <c r="N145">
        <v>1.0002759999999999</v>
      </c>
      <c r="O145">
        <v>1.000416</v>
      </c>
      <c r="P145">
        <v>1.000054</v>
      </c>
      <c r="Q145">
        <v>1.000127</v>
      </c>
      <c r="R145">
        <v>1.000127</v>
      </c>
      <c r="S145">
        <v>52908937427</v>
      </c>
      <c r="T145">
        <v>0.99972499999999997</v>
      </c>
      <c r="U145">
        <v>1.0003329999999999</v>
      </c>
      <c r="V145">
        <v>0.999081</v>
      </c>
      <c r="W145">
        <v>0.99983900000000003</v>
      </c>
      <c r="X145">
        <v>0.99983900000000003</v>
      </c>
      <c r="Y145">
        <v>3957318706</v>
      </c>
      <c r="Z145">
        <v>0.97456900000000002</v>
      </c>
      <c r="AA145">
        <v>0.98362400000000005</v>
      </c>
      <c r="AB145">
        <v>0.92547100000000004</v>
      </c>
      <c r="AC145">
        <v>0.93241200000000002</v>
      </c>
      <c r="AD145">
        <v>0.93241200000000002</v>
      </c>
      <c r="AE145">
        <v>812010499</v>
      </c>
      <c r="AK145" s="1">
        <v>44665</v>
      </c>
      <c r="AL145">
        <f t="shared" si="2"/>
        <v>3117.8217770000001</v>
      </c>
      <c r="AM145">
        <f>INDEX(A:AE,MATCH(AK145,worksheet!A:A,0),MATCH(worksheet!AM144,worksheet!A144:AE144,0))</f>
        <v>41160.21875</v>
      </c>
      <c r="AN145">
        <f>INDEX(A:AE,MATCH(AK145,worksheet!A:A,0),MATCH(worksheet!AN144,worksheet!A144:AE144,0))</f>
        <v>0.97456900000000002</v>
      </c>
      <c r="AO145">
        <f>INDEX(A:AE,MATCH(AK145,worksheet!A:A,0),MATCH(worksheet!AO144,worksheet!A144:AE144,0))</f>
        <v>1.0002759999999999</v>
      </c>
      <c r="AP145">
        <f>INDEX(A:AE,MATCH(AK145,worksheet!A:A,0),MATCH(worksheet!AP144,worksheet!A144:AE144,0))</f>
        <v>0.99972499999999997</v>
      </c>
    </row>
    <row r="146" spans="1:42" x14ac:dyDescent="0.25">
      <c r="A146" s="1">
        <v>44666</v>
      </c>
      <c r="B146">
        <v>3020.1345209999999</v>
      </c>
      <c r="C146">
        <v>3044.2873540000001</v>
      </c>
      <c r="D146">
        <v>3001.1232909999999</v>
      </c>
      <c r="E146">
        <v>3040.9165039999998</v>
      </c>
      <c r="F146">
        <v>3040.9165039999998</v>
      </c>
      <c r="G146">
        <v>11256651536</v>
      </c>
      <c r="H146">
        <v>39939.402344000002</v>
      </c>
      <c r="I146">
        <v>40617.722655999998</v>
      </c>
      <c r="J146">
        <v>39866.832030999998</v>
      </c>
      <c r="K146">
        <v>40553.464844000002</v>
      </c>
      <c r="L146">
        <v>40553.464844000002</v>
      </c>
      <c r="M146">
        <v>21756855753</v>
      </c>
      <c r="N146">
        <v>1.0001199999999999</v>
      </c>
      <c r="O146">
        <v>1.00044</v>
      </c>
      <c r="P146">
        <v>1.00007</v>
      </c>
      <c r="Q146">
        <v>1.0002390000000001</v>
      </c>
      <c r="R146">
        <v>1.0002390000000001</v>
      </c>
      <c r="S146">
        <v>42988969647</v>
      </c>
      <c r="T146">
        <v>0.99983100000000003</v>
      </c>
      <c r="U146">
        <v>1.000562</v>
      </c>
      <c r="V146">
        <v>0.999386</v>
      </c>
      <c r="W146">
        <v>0.999753</v>
      </c>
      <c r="X146">
        <v>0.999753</v>
      </c>
      <c r="Y146">
        <v>3220618832</v>
      </c>
      <c r="Z146">
        <v>0.93252900000000005</v>
      </c>
      <c r="AA146">
        <v>0.95798799999999995</v>
      </c>
      <c r="AB146">
        <v>0.93247400000000003</v>
      </c>
      <c r="AC146">
        <v>0.95471700000000004</v>
      </c>
      <c r="AD146">
        <v>0.95471700000000004</v>
      </c>
      <c r="AE146">
        <v>574655010</v>
      </c>
      <c r="AK146" s="1">
        <v>44666</v>
      </c>
      <c r="AL146">
        <f t="shared" si="2"/>
        <v>3020.1345209999999</v>
      </c>
      <c r="AM146">
        <f>INDEX(A:AE,MATCH(AK146,worksheet!A:A,0),MATCH(worksheet!AM145,worksheet!A145:AE145,0))</f>
        <v>39939.402344000002</v>
      </c>
      <c r="AN146">
        <f>INDEX(A:AE,MATCH(AK146,worksheet!A:A,0),MATCH(worksheet!AN145,worksheet!A145:AE145,0))</f>
        <v>0.93252900000000005</v>
      </c>
      <c r="AO146">
        <f>INDEX(A:AE,MATCH(AK146,worksheet!A:A,0),MATCH(worksheet!AO145,worksheet!A145:AE145,0))</f>
        <v>1.0001199999999999</v>
      </c>
      <c r="AP146">
        <f>INDEX(A:AE,MATCH(AK146,worksheet!A:A,0),MATCH(worksheet!AP145,worksheet!A145:AE145,0))</f>
        <v>0.99983100000000003</v>
      </c>
    </row>
    <row r="147" spans="1:42" x14ac:dyDescent="0.25">
      <c r="A147" s="1">
        <v>44667</v>
      </c>
      <c r="B147">
        <v>3041.1232909999999</v>
      </c>
      <c r="C147">
        <v>3074.8869629999999</v>
      </c>
      <c r="D147">
        <v>3016.421143</v>
      </c>
      <c r="E147">
        <v>3062.3103030000002</v>
      </c>
      <c r="F147">
        <v>3062.3103030000002</v>
      </c>
      <c r="G147">
        <v>8766710365</v>
      </c>
      <c r="H147">
        <v>40552.316405999998</v>
      </c>
      <c r="I147">
        <v>40633.679687999997</v>
      </c>
      <c r="J147">
        <v>40078.425780999998</v>
      </c>
      <c r="K147">
        <v>40424.484375</v>
      </c>
      <c r="L147">
        <v>40424.484375</v>
      </c>
      <c r="M147">
        <v>16833150693</v>
      </c>
      <c r="N147">
        <v>1.000237</v>
      </c>
      <c r="O147">
        <v>1.0003919999999999</v>
      </c>
      <c r="P147">
        <v>1.00013</v>
      </c>
      <c r="Q147">
        <v>1.0002960000000001</v>
      </c>
      <c r="R147">
        <v>1.0002960000000001</v>
      </c>
      <c r="S147">
        <v>35315439111</v>
      </c>
      <c r="T147">
        <v>0.99973400000000001</v>
      </c>
      <c r="U147">
        <v>1.000432</v>
      </c>
      <c r="V147">
        <v>0.99926999999999999</v>
      </c>
      <c r="W147">
        <v>1.0002260000000001</v>
      </c>
      <c r="X147">
        <v>1.0002260000000001</v>
      </c>
      <c r="Y147">
        <v>2152278186</v>
      </c>
      <c r="Z147">
        <v>0.954704</v>
      </c>
      <c r="AA147">
        <v>0.96108099999999996</v>
      </c>
      <c r="AB147">
        <v>0.93985200000000002</v>
      </c>
      <c r="AC147">
        <v>0.95264000000000004</v>
      </c>
      <c r="AD147">
        <v>0.95264000000000004</v>
      </c>
      <c r="AE147">
        <v>468473785</v>
      </c>
      <c r="AK147" s="1">
        <v>44667</v>
      </c>
      <c r="AL147">
        <f t="shared" si="2"/>
        <v>3041.1232909999999</v>
      </c>
      <c r="AM147">
        <f>INDEX(A:AE,MATCH(AK147,worksheet!A:A,0),MATCH(worksheet!AM146,worksheet!A146:AE146,0))</f>
        <v>40552.316405999998</v>
      </c>
      <c r="AN147">
        <f>INDEX(A:AE,MATCH(AK147,worksheet!A:A,0),MATCH(worksheet!AN146,worksheet!A146:AE146,0))</f>
        <v>0.954704</v>
      </c>
      <c r="AO147">
        <f>INDEX(A:AE,MATCH(AK147,worksheet!A:A,0),MATCH(worksheet!AO146,worksheet!A146:AE146,0))</f>
        <v>1.000237</v>
      </c>
      <c r="AP147">
        <f>INDEX(A:AE,MATCH(AK147,worksheet!A:A,0),MATCH(worksheet!AP146,worksheet!A146:AE146,0))</f>
        <v>0.99973400000000001</v>
      </c>
    </row>
    <row r="148" spans="1:42" x14ac:dyDescent="0.25">
      <c r="A148" s="1">
        <v>44668</v>
      </c>
      <c r="B148">
        <v>3061.881836</v>
      </c>
      <c r="C148">
        <v>3075.7758789999998</v>
      </c>
      <c r="D148">
        <v>2989.0439449999999</v>
      </c>
      <c r="E148">
        <v>2993.4033199999999</v>
      </c>
      <c r="F148">
        <v>2993.4033199999999</v>
      </c>
      <c r="G148">
        <v>10463091281</v>
      </c>
      <c r="H148">
        <v>40417.777344000002</v>
      </c>
      <c r="I148">
        <v>40570.726562999997</v>
      </c>
      <c r="J148">
        <v>39620.894530999998</v>
      </c>
      <c r="K148">
        <v>39716.953125</v>
      </c>
      <c r="L148">
        <v>39716.953125</v>
      </c>
      <c r="M148">
        <v>19087633042</v>
      </c>
      <c r="N148">
        <v>1.000291</v>
      </c>
      <c r="O148">
        <v>1.0004360000000001</v>
      </c>
      <c r="P148">
        <v>1.0001439999999999</v>
      </c>
      <c r="Q148">
        <v>1.0003139999999999</v>
      </c>
      <c r="R148">
        <v>1.0003139999999999</v>
      </c>
      <c r="S148">
        <v>40964576376</v>
      </c>
      <c r="T148">
        <v>1.000202</v>
      </c>
      <c r="U148">
        <v>1.000321</v>
      </c>
      <c r="V148">
        <v>0.99890500000000004</v>
      </c>
      <c r="W148">
        <v>0.99925900000000001</v>
      </c>
      <c r="X148">
        <v>0.99925900000000001</v>
      </c>
      <c r="Y148">
        <v>2678573075</v>
      </c>
      <c r="Z148">
        <v>0.95253100000000002</v>
      </c>
      <c r="AA148">
        <v>0.96151200000000003</v>
      </c>
      <c r="AB148">
        <v>0.91534599999999999</v>
      </c>
      <c r="AC148">
        <v>0.917466</v>
      </c>
      <c r="AD148">
        <v>0.917466</v>
      </c>
      <c r="AE148">
        <v>528371933</v>
      </c>
      <c r="AK148" s="1">
        <v>44668</v>
      </c>
      <c r="AL148">
        <f t="shared" si="2"/>
        <v>3061.881836</v>
      </c>
      <c r="AM148">
        <f>INDEX(A:AE,MATCH(AK148,worksheet!A:A,0),MATCH(worksheet!AM147,worksheet!A147:AE147,0))</f>
        <v>40417.777344000002</v>
      </c>
      <c r="AN148">
        <f>INDEX(A:AE,MATCH(AK148,worksheet!A:A,0),MATCH(worksheet!AN147,worksheet!A147:AE147,0))</f>
        <v>0.95253100000000002</v>
      </c>
      <c r="AO148">
        <f>INDEX(A:AE,MATCH(AK148,worksheet!A:A,0),MATCH(worksheet!AO147,worksheet!A147:AE147,0))</f>
        <v>1.000291</v>
      </c>
      <c r="AP148">
        <f>INDEX(A:AE,MATCH(AK148,worksheet!A:A,0),MATCH(worksheet!AP147,worksheet!A147:AE147,0))</f>
        <v>1.000202</v>
      </c>
    </row>
    <row r="149" spans="1:42" x14ac:dyDescent="0.25">
      <c r="A149" s="1">
        <v>44669</v>
      </c>
      <c r="B149">
        <v>2993.4838869999999</v>
      </c>
      <c r="C149">
        <v>3062.5209960000002</v>
      </c>
      <c r="D149">
        <v>2893.9128420000002</v>
      </c>
      <c r="E149">
        <v>3057.6066890000002</v>
      </c>
      <c r="F149">
        <v>3057.6066890000002</v>
      </c>
      <c r="G149">
        <v>18629381299</v>
      </c>
      <c r="H149">
        <v>39721.203125</v>
      </c>
      <c r="I149">
        <v>40986.320312999997</v>
      </c>
      <c r="J149">
        <v>38696.191405999998</v>
      </c>
      <c r="K149">
        <v>40826.214844000002</v>
      </c>
      <c r="L149">
        <v>40826.214844000002</v>
      </c>
      <c r="M149">
        <v>33705182072</v>
      </c>
      <c r="N149">
        <v>1.000321</v>
      </c>
      <c r="O149">
        <v>1.0005040000000001</v>
      </c>
      <c r="P149">
        <v>1.0001530000000001</v>
      </c>
      <c r="Q149">
        <v>1.0002180000000001</v>
      </c>
      <c r="R149">
        <v>1.0002180000000001</v>
      </c>
      <c r="S149">
        <v>68691204704</v>
      </c>
      <c r="T149">
        <v>0.99927299999999997</v>
      </c>
      <c r="U149">
        <v>1.0005500000000001</v>
      </c>
      <c r="V149">
        <v>0.99882899999999997</v>
      </c>
      <c r="W149">
        <v>0.99987300000000001</v>
      </c>
      <c r="X149">
        <v>0.99987300000000001</v>
      </c>
      <c r="Y149">
        <v>4013104508</v>
      </c>
      <c r="Z149">
        <v>0.91750900000000002</v>
      </c>
      <c r="AA149">
        <v>0.93736799999999998</v>
      </c>
      <c r="AB149">
        <v>0.87773599999999996</v>
      </c>
      <c r="AC149">
        <v>0.93672999999999995</v>
      </c>
      <c r="AD149">
        <v>0.93672999999999995</v>
      </c>
      <c r="AE149">
        <v>1105222191</v>
      </c>
      <c r="AK149" s="1">
        <v>44669</v>
      </c>
      <c r="AL149">
        <f t="shared" si="2"/>
        <v>2993.4838869999999</v>
      </c>
      <c r="AM149">
        <f>INDEX(A:AE,MATCH(AK149,worksheet!A:A,0),MATCH(worksheet!AM148,worksheet!A148:AE148,0))</f>
        <v>39721.203125</v>
      </c>
      <c r="AN149">
        <f>INDEX(A:AE,MATCH(AK149,worksheet!A:A,0),MATCH(worksheet!AN148,worksheet!A148:AE148,0))</f>
        <v>0.91750900000000002</v>
      </c>
      <c r="AO149">
        <f>INDEX(A:AE,MATCH(AK149,worksheet!A:A,0),MATCH(worksheet!AO148,worksheet!A148:AE148,0))</f>
        <v>1.000321</v>
      </c>
      <c r="AP149">
        <f>INDEX(A:AE,MATCH(AK149,worksheet!A:A,0),MATCH(worksheet!AP148,worksheet!A148:AE148,0))</f>
        <v>0.99927299999999997</v>
      </c>
    </row>
    <row r="150" spans="1:42" x14ac:dyDescent="0.25">
      <c r="A150" s="1">
        <v>44670</v>
      </c>
      <c r="B150">
        <v>3057.5703130000002</v>
      </c>
      <c r="C150">
        <v>3125.0842290000001</v>
      </c>
      <c r="D150">
        <v>3035.5351559999999</v>
      </c>
      <c r="E150">
        <v>3104.1064449999999</v>
      </c>
      <c r="F150">
        <v>3104.1064449999999</v>
      </c>
      <c r="G150">
        <v>14156035096</v>
      </c>
      <c r="H150">
        <v>40828.175780999998</v>
      </c>
      <c r="I150">
        <v>41672.960937999997</v>
      </c>
      <c r="J150">
        <v>40618.632812999997</v>
      </c>
      <c r="K150">
        <v>41502.75</v>
      </c>
      <c r="L150">
        <v>41502.75</v>
      </c>
      <c r="M150">
        <v>25303206547</v>
      </c>
      <c r="N150">
        <v>1.0002139999999999</v>
      </c>
      <c r="O150">
        <v>1.0004189999999999</v>
      </c>
      <c r="P150">
        <v>1.0001549999999999</v>
      </c>
      <c r="Q150">
        <v>1.000343</v>
      </c>
      <c r="R150">
        <v>1.000343</v>
      </c>
      <c r="S150">
        <v>57975539645</v>
      </c>
      <c r="T150">
        <v>0.99988299999999997</v>
      </c>
      <c r="U150">
        <v>1.000605</v>
      </c>
      <c r="V150">
        <v>0.99931999999999999</v>
      </c>
      <c r="W150">
        <v>0.99989700000000004</v>
      </c>
      <c r="X150">
        <v>0.99989700000000004</v>
      </c>
      <c r="Y150">
        <v>3629844066</v>
      </c>
      <c r="Z150">
        <v>0.93676199999999998</v>
      </c>
      <c r="AA150">
        <v>0.95466200000000001</v>
      </c>
      <c r="AB150">
        <v>0.92820100000000005</v>
      </c>
      <c r="AC150">
        <v>0.95333299999999999</v>
      </c>
      <c r="AD150">
        <v>0.95333299999999999</v>
      </c>
      <c r="AE150">
        <v>777142382</v>
      </c>
      <c r="AK150" s="1">
        <v>44670</v>
      </c>
      <c r="AL150">
        <f t="shared" si="2"/>
        <v>3057.5703130000002</v>
      </c>
      <c r="AM150">
        <f>INDEX(A:AE,MATCH(AK150,worksheet!A:A,0),MATCH(worksheet!AM149,worksheet!A149:AE149,0))</f>
        <v>40828.175780999998</v>
      </c>
      <c r="AN150">
        <f>INDEX(A:AE,MATCH(AK150,worksheet!A:A,0),MATCH(worksheet!AN149,worksheet!A149:AE149,0))</f>
        <v>0.93676199999999998</v>
      </c>
      <c r="AO150">
        <f>INDEX(A:AE,MATCH(AK150,worksheet!A:A,0),MATCH(worksheet!AO149,worksheet!A149:AE149,0))</f>
        <v>1.0002139999999999</v>
      </c>
      <c r="AP150">
        <f>INDEX(A:AE,MATCH(AK150,worksheet!A:A,0),MATCH(worksheet!AP149,worksheet!A149:AE149,0))</f>
        <v>0.99988299999999997</v>
      </c>
    </row>
    <row r="151" spans="1:42" x14ac:dyDescent="0.25">
      <c r="A151" s="1">
        <v>44671</v>
      </c>
      <c r="B151">
        <v>3103.9350589999999</v>
      </c>
      <c r="C151">
        <v>3157.8857419999999</v>
      </c>
      <c r="D151">
        <v>3045.2883299999999</v>
      </c>
      <c r="E151">
        <v>3077.7458499999998</v>
      </c>
      <c r="F151">
        <v>3077.7458499999998</v>
      </c>
      <c r="G151">
        <v>15547362265</v>
      </c>
      <c r="H151">
        <v>41501.746094000002</v>
      </c>
      <c r="I151">
        <v>42126.300780999998</v>
      </c>
      <c r="J151">
        <v>40961.097655999998</v>
      </c>
      <c r="K151">
        <v>41374.378905999998</v>
      </c>
      <c r="L151">
        <v>41374.378905999998</v>
      </c>
      <c r="M151">
        <v>27819532341</v>
      </c>
      <c r="N151">
        <v>1.000351</v>
      </c>
      <c r="O151">
        <v>1.000596</v>
      </c>
      <c r="P151">
        <v>1.0001530000000001</v>
      </c>
      <c r="Q151">
        <v>1.000202</v>
      </c>
      <c r="R151">
        <v>1.000202</v>
      </c>
      <c r="S151">
        <v>66021482830</v>
      </c>
      <c r="T151">
        <v>0.99990800000000002</v>
      </c>
      <c r="U151">
        <v>1.0006330000000001</v>
      </c>
      <c r="V151">
        <v>0.99931300000000001</v>
      </c>
      <c r="W151">
        <v>0.99984700000000004</v>
      </c>
      <c r="X151">
        <v>0.99984700000000004</v>
      </c>
      <c r="Y151">
        <v>4170091755</v>
      </c>
      <c r="Z151">
        <v>0.95332499999999998</v>
      </c>
      <c r="AA151">
        <v>0.97473500000000002</v>
      </c>
      <c r="AB151">
        <v>0.93250999999999995</v>
      </c>
      <c r="AC151">
        <v>0.93734099999999998</v>
      </c>
      <c r="AD151">
        <v>0.93734099999999998</v>
      </c>
      <c r="AE151">
        <v>828312845</v>
      </c>
      <c r="AK151" s="1">
        <v>44671</v>
      </c>
      <c r="AL151">
        <f t="shared" si="2"/>
        <v>3103.9350589999999</v>
      </c>
      <c r="AM151">
        <f>INDEX(A:AE,MATCH(AK151,worksheet!A:A,0),MATCH(worksheet!AM150,worksheet!A150:AE150,0))</f>
        <v>41501.746094000002</v>
      </c>
      <c r="AN151">
        <f>INDEX(A:AE,MATCH(AK151,worksheet!A:A,0),MATCH(worksheet!AN150,worksheet!A150:AE150,0))</f>
        <v>0.95332499999999998</v>
      </c>
      <c r="AO151">
        <f>INDEX(A:AE,MATCH(AK151,worksheet!A:A,0),MATCH(worksheet!AO150,worksheet!A150:AE150,0))</f>
        <v>1.000351</v>
      </c>
      <c r="AP151">
        <f>INDEX(A:AE,MATCH(AK151,worksheet!A:A,0),MATCH(worksheet!AP150,worksheet!A150:AE150,0))</f>
        <v>0.99990800000000002</v>
      </c>
    </row>
    <row r="152" spans="1:42" x14ac:dyDescent="0.25">
      <c r="A152" s="1">
        <v>44672</v>
      </c>
      <c r="B152">
        <v>3077.829346</v>
      </c>
      <c r="C152">
        <v>3173.4514159999999</v>
      </c>
      <c r="D152">
        <v>2962.4104000000002</v>
      </c>
      <c r="E152">
        <v>2987.4807129999999</v>
      </c>
      <c r="F152">
        <v>2987.4807129999999</v>
      </c>
      <c r="G152">
        <v>20783591093</v>
      </c>
      <c r="H152">
        <v>41371.515625</v>
      </c>
      <c r="I152">
        <v>42893.582030999998</v>
      </c>
      <c r="J152">
        <v>40063.828125</v>
      </c>
      <c r="K152">
        <v>40527.363280999998</v>
      </c>
      <c r="L152">
        <v>40527.363280999998</v>
      </c>
      <c r="M152">
        <v>35372786395</v>
      </c>
      <c r="N152">
        <v>1.000203</v>
      </c>
      <c r="O152">
        <v>1.0004900000000001</v>
      </c>
      <c r="P152">
        <v>1.000119</v>
      </c>
      <c r="Q152">
        <v>1.000157</v>
      </c>
      <c r="R152">
        <v>1.000157</v>
      </c>
      <c r="S152">
        <v>77014328066</v>
      </c>
      <c r="T152">
        <v>0.99983900000000003</v>
      </c>
      <c r="U152">
        <v>1.0017590000000001</v>
      </c>
      <c r="V152">
        <v>0.99943899999999997</v>
      </c>
      <c r="W152">
        <v>1.0002819999999999</v>
      </c>
      <c r="X152">
        <v>1.0002819999999999</v>
      </c>
      <c r="Y152">
        <v>4474827385</v>
      </c>
      <c r="Z152">
        <v>0.93727199999999999</v>
      </c>
      <c r="AA152">
        <v>0.96945300000000001</v>
      </c>
      <c r="AB152">
        <v>0.89691200000000004</v>
      </c>
      <c r="AC152">
        <v>0.91047400000000001</v>
      </c>
      <c r="AD152">
        <v>0.91047400000000001</v>
      </c>
      <c r="AE152">
        <v>871111347</v>
      </c>
      <c r="AK152" s="1">
        <v>44672</v>
      </c>
      <c r="AL152">
        <f t="shared" si="2"/>
        <v>3077.829346</v>
      </c>
      <c r="AM152">
        <f>INDEX(A:AE,MATCH(AK152,worksheet!A:A,0),MATCH(worksheet!AM151,worksheet!A151:AE151,0))</f>
        <v>41371.515625</v>
      </c>
      <c r="AN152">
        <f>INDEX(A:AE,MATCH(AK152,worksheet!A:A,0),MATCH(worksheet!AN151,worksheet!A151:AE151,0))</f>
        <v>0.93727199999999999</v>
      </c>
      <c r="AO152">
        <f>INDEX(A:AE,MATCH(AK152,worksheet!A:A,0),MATCH(worksheet!AO151,worksheet!A151:AE151,0))</f>
        <v>1.000203</v>
      </c>
      <c r="AP152">
        <f>INDEX(A:AE,MATCH(AK152,worksheet!A:A,0),MATCH(worksheet!AP151,worksheet!A151:AE151,0))</f>
        <v>0.99983900000000003</v>
      </c>
    </row>
    <row r="153" spans="1:42" x14ac:dyDescent="0.25">
      <c r="A153" s="1">
        <v>44673</v>
      </c>
      <c r="B153">
        <v>2986.938721</v>
      </c>
      <c r="C153">
        <v>3024.8544919999999</v>
      </c>
      <c r="D153">
        <v>2942.358643</v>
      </c>
      <c r="E153">
        <v>2964.835693</v>
      </c>
      <c r="F153">
        <v>2964.835693</v>
      </c>
      <c r="G153">
        <v>16782795477</v>
      </c>
      <c r="H153">
        <v>40525.863280999998</v>
      </c>
      <c r="I153">
        <v>40777.757812999997</v>
      </c>
      <c r="J153">
        <v>39315.417969000002</v>
      </c>
      <c r="K153">
        <v>39740.320312999997</v>
      </c>
      <c r="L153">
        <v>39740.320312999997</v>
      </c>
      <c r="M153">
        <v>28011716745</v>
      </c>
      <c r="N153">
        <v>1.0001420000000001</v>
      </c>
      <c r="O153">
        <v>1.0003660000000001</v>
      </c>
      <c r="P153">
        <v>1.000078</v>
      </c>
      <c r="Q153">
        <v>1.0002340000000001</v>
      </c>
      <c r="R153">
        <v>1.0002340000000001</v>
      </c>
      <c r="S153">
        <v>60728483573</v>
      </c>
      <c r="T153">
        <v>1.0002470000000001</v>
      </c>
      <c r="U153">
        <v>1.000677</v>
      </c>
      <c r="V153">
        <v>0.99946299999999999</v>
      </c>
      <c r="W153">
        <v>1.0001990000000001</v>
      </c>
      <c r="X153">
        <v>1.0001990000000001</v>
      </c>
      <c r="Y153">
        <v>3882678798</v>
      </c>
      <c r="Z153">
        <v>0.91033500000000001</v>
      </c>
      <c r="AA153">
        <v>0.92374100000000003</v>
      </c>
      <c r="AB153">
        <v>0.89397300000000002</v>
      </c>
      <c r="AC153">
        <v>0.90715400000000002</v>
      </c>
      <c r="AD153">
        <v>0.90715400000000002</v>
      </c>
      <c r="AE153">
        <v>725788912</v>
      </c>
      <c r="AK153" s="1">
        <v>44673</v>
      </c>
      <c r="AL153">
        <f t="shared" si="2"/>
        <v>2986.938721</v>
      </c>
      <c r="AM153">
        <f>INDEX(A:AE,MATCH(AK153,worksheet!A:A,0),MATCH(worksheet!AM152,worksheet!A152:AE152,0))</f>
        <v>40525.863280999998</v>
      </c>
      <c r="AN153">
        <f>INDEX(A:AE,MATCH(AK153,worksheet!A:A,0),MATCH(worksheet!AN152,worksheet!A152:AE152,0))</f>
        <v>0.91033500000000001</v>
      </c>
      <c r="AO153">
        <f>INDEX(A:AE,MATCH(AK153,worksheet!A:A,0),MATCH(worksheet!AO152,worksheet!A152:AE152,0))</f>
        <v>1.0001420000000001</v>
      </c>
      <c r="AP153">
        <f>INDEX(A:AE,MATCH(AK153,worksheet!A:A,0),MATCH(worksheet!AP152,worksheet!A152:AE152,0))</f>
        <v>1.0002470000000001</v>
      </c>
    </row>
    <row r="154" spans="1:42" x14ac:dyDescent="0.25">
      <c r="A154" s="1">
        <v>44674</v>
      </c>
      <c r="B154">
        <v>2964.8022460000002</v>
      </c>
      <c r="C154">
        <v>2975.3227539999998</v>
      </c>
      <c r="D154">
        <v>2926.7402339999999</v>
      </c>
      <c r="E154">
        <v>2938.1140140000002</v>
      </c>
      <c r="F154">
        <v>2938.1140140000002</v>
      </c>
      <c r="G154">
        <v>9116955609</v>
      </c>
      <c r="H154">
        <v>39738.722655999998</v>
      </c>
      <c r="I154">
        <v>39935.859375</v>
      </c>
      <c r="J154">
        <v>39352.203125</v>
      </c>
      <c r="K154">
        <v>39486.730469000002</v>
      </c>
      <c r="L154">
        <v>39486.730469000002</v>
      </c>
      <c r="M154">
        <v>16138021249</v>
      </c>
      <c r="N154">
        <v>1.000221</v>
      </c>
      <c r="O154">
        <v>1.0003820000000001</v>
      </c>
      <c r="P154">
        <v>1.0001040000000001</v>
      </c>
      <c r="Q154">
        <v>1.0002279999999999</v>
      </c>
      <c r="R154">
        <v>1.0002279999999999</v>
      </c>
      <c r="S154">
        <v>38357597167</v>
      </c>
      <c r="T154">
        <v>1.000237</v>
      </c>
      <c r="U154">
        <v>1.0006280000000001</v>
      </c>
      <c r="V154">
        <v>0.99949500000000002</v>
      </c>
      <c r="W154">
        <v>1.0000039999999999</v>
      </c>
      <c r="X154">
        <v>1.0000039999999999</v>
      </c>
      <c r="Y154">
        <v>2324060694</v>
      </c>
      <c r="Z154">
        <v>0.90718500000000002</v>
      </c>
      <c r="AA154">
        <v>0.91061400000000003</v>
      </c>
      <c r="AB154">
        <v>0.88466</v>
      </c>
      <c r="AC154">
        <v>0.88850300000000004</v>
      </c>
      <c r="AD154">
        <v>0.88850300000000004</v>
      </c>
      <c r="AE154">
        <v>447997661</v>
      </c>
      <c r="AK154" s="1">
        <v>44674</v>
      </c>
      <c r="AL154">
        <f t="shared" si="2"/>
        <v>2964.8022460000002</v>
      </c>
      <c r="AM154">
        <f>INDEX(A:AE,MATCH(AK154,worksheet!A:A,0),MATCH(worksheet!AM153,worksheet!A153:AE153,0))</f>
        <v>39738.722655999998</v>
      </c>
      <c r="AN154">
        <f>INDEX(A:AE,MATCH(AK154,worksheet!A:A,0),MATCH(worksheet!AN153,worksheet!A153:AE153,0))</f>
        <v>0.90718500000000002</v>
      </c>
      <c r="AO154">
        <f>INDEX(A:AE,MATCH(AK154,worksheet!A:A,0),MATCH(worksheet!AO153,worksheet!A153:AE153,0))</f>
        <v>1.000221</v>
      </c>
      <c r="AP154">
        <f>INDEX(A:AE,MATCH(AK154,worksheet!A:A,0),MATCH(worksheet!AP153,worksheet!A153:AE153,0))</f>
        <v>1.000237</v>
      </c>
    </row>
    <row r="155" spans="1:42" x14ac:dyDescent="0.25">
      <c r="A155" s="1">
        <v>44675</v>
      </c>
      <c r="B155">
        <v>2937.3471679999998</v>
      </c>
      <c r="C155">
        <v>2961.8820799999999</v>
      </c>
      <c r="D155">
        <v>2922.1286620000001</v>
      </c>
      <c r="E155">
        <v>2922.7326659999999</v>
      </c>
      <c r="F155">
        <v>2922.7326659999999</v>
      </c>
      <c r="G155">
        <v>9696829579</v>
      </c>
      <c r="H155">
        <v>39478.375</v>
      </c>
      <c r="I155">
        <v>39845.925780999998</v>
      </c>
      <c r="J155">
        <v>39233.539062999997</v>
      </c>
      <c r="K155">
        <v>39469.292969000002</v>
      </c>
      <c r="L155">
        <v>39469.292969000002</v>
      </c>
      <c r="M155">
        <v>17964398167</v>
      </c>
      <c r="N155">
        <v>1.0002180000000001</v>
      </c>
      <c r="O155">
        <v>1.0004459999999999</v>
      </c>
      <c r="P155">
        <v>1.000165</v>
      </c>
      <c r="Q155">
        <v>1.0003439999999999</v>
      </c>
      <c r="R155">
        <v>1.0003439999999999</v>
      </c>
      <c r="S155">
        <v>39519383045</v>
      </c>
      <c r="T155">
        <v>0.99979099999999999</v>
      </c>
      <c r="U155">
        <v>1.001844</v>
      </c>
      <c r="V155">
        <v>0.99947799999999998</v>
      </c>
      <c r="W155">
        <v>0.99996300000000005</v>
      </c>
      <c r="X155">
        <v>0.99996300000000005</v>
      </c>
      <c r="Y155">
        <v>2649077080</v>
      </c>
      <c r="Z155">
        <v>0.88827900000000004</v>
      </c>
      <c r="AA155">
        <v>0.89785499999999996</v>
      </c>
      <c r="AB155">
        <v>0.881857</v>
      </c>
      <c r="AC155">
        <v>0.88634999999999997</v>
      </c>
      <c r="AD155">
        <v>0.88634999999999997</v>
      </c>
      <c r="AE155">
        <v>487629549</v>
      </c>
      <c r="AK155" s="1">
        <v>44675</v>
      </c>
      <c r="AL155">
        <f t="shared" si="2"/>
        <v>2937.3471679999998</v>
      </c>
      <c r="AM155">
        <f>INDEX(A:AE,MATCH(AK155,worksheet!A:A,0),MATCH(worksheet!AM154,worksheet!A154:AE154,0))</f>
        <v>39478.375</v>
      </c>
      <c r="AN155">
        <f>INDEX(A:AE,MATCH(AK155,worksheet!A:A,0),MATCH(worksheet!AN154,worksheet!A154:AE154,0))</f>
        <v>0.88827900000000004</v>
      </c>
      <c r="AO155">
        <f>INDEX(A:AE,MATCH(AK155,worksheet!A:A,0),MATCH(worksheet!AO154,worksheet!A154:AE154,0))</f>
        <v>1.0002180000000001</v>
      </c>
      <c r="AP155">
        <f>INDEX(A:AE,MATCH(AK155,worksheet!A:A,0),MATCH(worksheet!AP154,worksheet!A154:AE154,0))</f>
        <v>0.99979099999999999</v>
      </c>
    </row>
    <row r="156" spans="1:42" x14ac:dyDescent="0.25">
      <c r="A156" s="1">
        <v>44676</v>
      </c>
      <c r="B156">
        <v>2922.9902339999999</v>
      </c>
      <c r="C156">
        <v>3018.4155270000001</v>
      </c>
      <c r="D156">
        <v>2804.5070799999999</v>
      </c>
      <c r="E156">
        <v>3009.3935550000001</v>
      </c>
      <c r="F156">
        <v>3009.3935550000001</v>
      </c>
      <c r="G156">
        <v>22332690614</v>
      </c>
      <c r="H156">
        <v>39472.605469000002</v>
      </c>
      <c r="I156">
        <v>40491.753905999998</v>
      </c>
      <c r="J156">
        <v>38338.378905999998</v>
      </c>
      <c r="K156">
        <v>40458.308594000002</v>
      </c>
      <c r="L156">
        <v>40458.308594000002</v>
      </c>
      <c r="M156">
        <v>35445730570</v>
      </c>
      <c r="N156">
        <v>1.000346</v>
      </c>
      <c r="O156">
        <v>1.0003930000000001</v>
      </c>
      <c r="P156">
        <v>1.000103</v>
      </c>
      <c r="Q156">
        <v>1.0001450000000001</v>
      </c>
      <c r="R156">
        <v>1.0001450000000001</v>
      </c>
      <c r="S156">
        <v>73256647805</v>
      </c>
      <c r="T156">
        <v>0.99995999999999996</v>
      </c>
      <c r="U156">
        <v>1.0020279999999999</v>
      </c>
      <c r="V156">
        <v>0.99939999999999996</v>
      </c>
      <c r="W156">
        <v>1.0002180000000001</v>
      </c>
      <c r="X156">
        <v>1.0002180000000001</v>
      </c>
      <c r="Y156">
        <v>4720363070</v>
      </c>
      <c r="Z156">
        <v>0.886378</v>
      </c>
      <c r="AA156">
        <v>0.90170700000000004</v>
      </c>
      <c r="AB156">
        <v>0.83023199999999997</v>
      </c>
      <c r="AC156">
        <v>0.89869500000000002</v>
      </c>
      <c r="AD156">
        <v>0.89869500000000002</v>
      </c>
      <c r="AE156">
        <v>1139869029</v>
      </c>
      <c r="AK156" s="1">
        <v>44676</v>
      </c>
      <c r="AL156">
        <f t="shared" si="2"/>
        <v>2922.9902339999999</v>
      </c>
      <c r="AM156">
        <f>INDEX(A:AE,MATCH(AK156,worksheet!A:A,0),MATCH(worksheet!AM155,worksheet!A155:AE155,0))</f>
        <v>39472.605469000002</v>
      </c>
      <c r="AN156">
        <f>INDEX(A:AE,MATCH(AK156,worksheet!A:A,0),MATCH(worksheet!AN155,worksheet!A155:AE155,0))</f>
        <v>0.886378</v>
      </c>
      <c r="AO156">
        <f>INDEX(A:AE,MATCH(AK156,worksheet!A:A,0),MATCH(worksheet!AO155,worksheet!A155:AE155,0))</f>
        <v>1.000346</v>
      </c>
      <c r="AP156">
        <f>INDEX(A:AE,MATCH(AK156,worksheet!A:A,0),MATCH(worksheet!AP155,worksheet!A155:AE155,0))</f>
        <v>0.99995999999999996</v>
      </c>
    </row>
    <row r="157" spans="1:42" x14ac:dyDescent="0.25">
      <c r="A157" s="1">
        <v>44677</v>
      </c>
      <c r="B157">
        <v>3008.946289</v>
      </c>
      <c r="C157">
        <v>3026.415039</v>
      </c>
      <c r="D157">
        <v>2786.2531739999999</v>
      </c>
      <c r="E157">
        <v>2808.2983399999998</v>
      </c>
      <c r="F157">
        <v>2808.2983399999998</v>
      </c>
      <c r="G157">
        <v>19052045399</v>
      </c>
      <c r="H157">
        <v>40448.421875</v>
      </c>
      <c r="I157">
        <v>40713.890625</v>
      </c>
      <c r="J157">
        <v>37884.984375</v>
      </c>
      <c r="K157">
        <v>38117.460937999997</v>
      </c>
      <c r="L157">
        <v>38117.460937999997</v>
      </c>
      <c r="M157">
        <v>34569088416</v>
      </c>
      <c r="N157">
        <v>1.0001310000000001</v>
      </c>
      <c r="O157">
        <v>1.000265</v>
      </c>
      <c r="P157">
        <v>1.00004</v>
      </c>
      <c r="Q157">
        <v>1.000073</v>
      </c>
      <c r="R157">
        <v>1.000073</v>
      </c>
      <c r="S157">
        <v>69068297656</v>
      </c>
      <c r="T157">
        <v>1.000192</v>
      </c>
      <c r="U157">
        <v>1.0018260000000001</v>
      </c>
      <c r="V157">
        <v>0.999363</v>
      </c>
      <c r="W157">
        <v>1.000127</v>
      </c>
      <c r="X157">
        <v>1.000127</v>
      </c>
      <c r="Y157">
        <v>4221564998</v>
      </c>
      <c r="Z157">
        <v>0.89857699999999996</v>
      </c>
      <c r="AA157">
        <v>0.90113699999999997</v>
      </c>
      <c r="AB157">
        <v>0.82101100000000005</v>
      </c>
      <c r="AC157">
        <v>0.82764499999999996</v>
      </c>
      <c r="AD157">
        <v>0.82764499999999996</v>
      </c>
      <c r="AE157">
        <v>1020049782</v>
      </c>
      <c r="AK157" s="1">
        <v>44677</v>
      </c>
      <c r="AL157">
        <f t="shared" si="2"/>
        <v>3008.946289</v>
      </c>
      <c r="AM157">
        <f>INDEX(A:AE,MATCH(AK157,worksheet!A:A,0),MATCH(worksheet!AM156,worksheet!A156:AE156,0))</f>
        <v>40448.421875</v>
      </c>
      <c r="AN157">
        <f>INDEX(A:AE,MATCH(AK157,worksheet!A:A,0),MATCH(worksheet!AN156,worksheet!A156:AE156,0))</f>
        <v>0.89857699999999996</v>
      </c>
      <c r="AO157">
        <f>INDEX(A:AE,MATCH(AK157,worksheet!A:A,0),MATCH(worksheet!AO156,worksheet!A156:AE156,0))</f>
        <v>1.0001310000000001</v>
      </c>
      <c r="AP157">
        <f>INDEX(A:AE,MATCH(AK157,worksheet!A:A,0),MATCH(worksheet!AP156,worksheet!A156:AE156,0))</f>
        <v>1.000192</v>
      </c>
    </row>
    <row r="158" spans="1:42" x14ac:dyDescent="0.25">
      <c r="A158" s="1">
        <v>44678</v>
      </c>
      <c r="B158">
        <v>2808.6459960000002</v>
      </c>
      <c r="C158">
        <v>2911.8774410000001</v>
      </c>
      <c r="D158">
        <v>2802.2734380000002</v>
      </c>
      <c r="E158">
        <v>2888.9296880000002</v>
      </c>
      <c r="F158">
        <v>2888.9296880000002</v>
      </c>
      <c r="G158">
        <v>17419284041</v>
      </c>
      <c r="H158">
        <v>38120.300780999998</v>
      </c>
      <c r="I158">
        <v>39397.917969000002</v>
      </c>
      <c r="J158">
        <v>37997.3125</v>
      </c>
      <c r="K158">
        <v>39241.121094000002</v>
      </c>
      <c r="L158">
        <v>39241.121094000002</v>
      </c>
      <c r="M158">
        <v>30981015184</v>
      </c>
      <c r="N158">
        <v>1.000059</v>
      </c>
      <c r="O158">
        <v>1.000284</v>
      </c>
      <c r="P158">
        <v>1.000013</v>
      </c>
      <c r="Q158">
        <v>1.0001530000000001</v>
      </c>
      <c r="R158">
        <v>1.0001530000000001</v>
      </c>
      <c r="S158">
        <v>61043327313</v>
      </c>
      <c r="T158">
        <v>1.000129</v>
      </c>
      <c r="U158">
        <v>1.000839</v>
      </c>
      <c r="V158">
        <v>0.99953499999999995</v>
      </c>
      <c r="W158">
        <v>1.000321</v>
      </c>
      <c r="X158">
        <v>1.000321</v>
      </c>
      <c r="Y158">
        <v>3849488651</v>
      </c>
      <c r="Z158">
        <v>0.82754099999999997</v>
      </c>
      <c r="AA158">
        <v>0.85394199999999998</v>
      </c>
      <c r="AB158">
        <v>0.82259000000000004</v>
      </c>
      <c r="AC158">
        <v>0.84059499999999998</v>
      </c>
      <c r="AD158">
        <v>0.84059499999999998</v>
      </c>
      <c r="AE158">
        <v>927312593</v>
      </c>
      <c r="AK158" s="1">
        <v>44678</v>
      </c>
      <c r="AL158">
        <f t="shared" si="2"/>
        <v>2808.6459960000002</v>
      </c>
      <c r="AM158">
        <f>INDEX(A:AE,MATCH(AK158,worksheet!A:A,0),MATCH(worksheet!AM157,worksheet!A157:AE157,0))</f>
        <v>38120.300780999998</v>
      </c>
      <c r="AN158">
        <f>INDEX(A:AE,MATCH(AK158,worksheet!A:A,0),MATCH(worksheet!AN157,worksheet!A157:AE157,0))</f>
        <v>0.82754099999999997</v>
      </c>
      <c r="AO158">
        <f>INDEX(A:AE,MATCH(AK158,worksheet!A:A,0),MATCH(worksheet!AO157,worksheet!A157:AE157,0))</f>
        <v>1.000059</v>
      </c>
      <c r="AP158">
        <f>INDEX(A:AE,MATCH(AK158,worksheet!A:A,0),MATCH(worksheet!AP157,worksheet!A157:AE157,0))</f>
        <v>1.000129</v>
      </c>
    </row>
    <row r="159" spans="1:42" x14ac:dyDescent="0.25">
      <c r="A159" s="1">
        <v>44679</v>
      </c>
      <c r="B159">
        <v>2888.8498540000001</v>
      </c>
      <c r="C159">
        <v>2973.13501</v>
      </c>
      <c r="D159">
        <v>2861.8215329999998</v>
      </c>
      <c r="E159">
        <v>2936.9409179999998</v>
      </c>
      <c r="F159">
        <v>2936.9409179999998</v>
      </c>
      <c r="G159">
        <v>18443524633</v>
      </c>
      <c r="H159">
        <v>39241.429687999997</v>
      </c>
      <c r="I159">
        <v>40269.464844000002</v>
      </c>
      <c r="J159">
        <v>38941.421875</v>
      </c>
      <c r="K159">
        <v>39773.828125</v>
      </c>
      <c r="L159">
        <v>39773.828125</v>
      </c>
      <c r="M159">
        <v>33903704907</v>
      </c>
      <c r="N159">
        <v>1.0001549999999999</v>
      </c>
      <c r="O159">
        <v>1.000292</v>
      </c>
      <c r="P159">
        <v>1.0000279999999999</v>
      </c>
      <c r="Q159">
        <v>1.0001910000000001</v>
      </c>
      <c r="R159">
        <v>1.0001910000000001</v>
      </c>
      <c r="S159">
        <v>68392086439</v>
      </c>
      <c r="T159">
        <v>1.00031</v>
      </c>
      <c r="U159">
        <v>1.000505</v>
      </c>
      <c r="V159">
        <v>0.99950700000000003</v>
      </c>
      <c r="W159">
        <v>1.0000290000000001</v>
      </c>
      <c r="X159">
        <v>1.0000290000000001</v>
      </c>
      <c r="Y159">
        <v>4611631886</v>
      </c>
      <c r="Z159">
        <v>0.840615</v>
      </c>
      <c r="AA159">
        <v>0.85206199999999999</v>
      </c>
      <c r="AB159">
        <v>0.82768900000000001</v>
      </c>
      <c r="AC159">
        <v>0.84394999999999998</v>
      </c>
      <c r="AD159">
        <v>0.84394999999999998</v>
      </c>
      <c r="AE159">
        <v>836357358</v>
      </c>
      <c r="AK159" s="1">
        <v>44679</v>
      </c>
      <c r="AL159">
        <f t="shared" si="2"/>
        <v>2888.8498540000001</v>
      </c>
      <c r="AM159">
        <f>INDEX(A:AE,MATCH(AK159,worksheet!A:A,0),MATCH(worksheet!AM158,worksheet!A158:AE158,0))</f>
        <v>39241.429687999997</v>
      </c>
      <c r="AN159">
        <f>INDEX(A:AE,MATCH(AK159,worksheet!A:A,0),MATCH(worksheet!AN158,worksheet!A158:AE158,0))</f>
        <v>0.840615</v>
      </c>
      <c r="AO159">
        <f>INDEX(A:AE,MATCH(AK159,worksheet!A:A,0),MATCH(worksheet!AO158,worksheet!A158:AE158,0))</f>
        <v>1.0001549999999999</v>
      </c>
      <c r="AP159">
        <f>INDEX(A:AE,MATCH(AK159,worksheet!A:A,0),MATCH(worksheet!AP158,worksheet!A158:AE158,0))</f>
        <v>1.00031</v>
      </c>
    </row>
    <row r="160" spans="1:42" x14ac:dyDescent="0.25">
      <c r="A160" s="1">
        <v>44680</v>
      </c>
      <c r="B160">
        <v>2936.7766109999998</v>
      </c>
      <c r="C160">
        <v>2943.4458009999998</v>
      </c>
      <c r="D160">
        <v>2782.4353030000002</v>
      </c>
      <c r="E160">
        <v>2815.601807</v>
      </c>
      <c r="F160">
        <v>2815.601807</v>
      </c>
      <c r="G160">
        <v>18771041399</v>
      </c>
      <c r="H160">
        <v>39768.617187999997</v>
      </c>
      <c r="I160">
        <v>39887.269530999998</v>
      </c>
      <c r="J160">
        <v>38235.535155999998</v>
      </c>
      <c r="K160">
        <v>38609.824219000002</v>
      </c>
      <c r="L160">
        <v>38609.824219000002</v>
      </c>
      <c r="M160">
        <v>30882994649</v>
      </c>
      <c r="N160">
        <v>1.0002</v>
      </c>
      <c r="O160">
        <v>1.000238</v>
      </c>
      <c r="P160">
        <v>0.99998600000000004</v>
      </c>
      <c r="Q160">
        <v>1.0000199999999999</v>
      </c>
      <c r="R160">
        <v>1.0000199999999999</v>
      </c>
      <c r="S160">
        <v>67899674445</v>
      </c>
      <c r="T160">
        <v>1.0000070000000001</v>
      </c>
      <c r="U160">
        <v>1.0004169999999999</v>
      </c>
      <c r="V160">
        <v>0.99954200000000004</v>
      </c>
      <c r="W160">
        <v>1.0000230000000001</v>
      </c>
      <c r="X160">
        <v>1.0000230000000001</v>
      </c>
      <c r="Y160">
        <v>4076411418</v>
      </c>
      <c r="Z160">
        <v>0.84392999999999996</v>
      </c>
      <c r="AA160">
        <v>0.84870000000000001</v>
      </c>
      <c r="AB160">
        <v>0.793686</v>
      </c>
      <c r="AC160">
        <v>0.80504299999999995</v>
      </c>
      <c r="AD160">
        <v>0.80504299999999995</v>
      </c>
      <c r="AE160">
        <v>874797260</v>
      </c>
      <c r="AK160" s="1">
        <v>44680</v>
      </c>
      <c r="AL160">
        <f t="shared" si="2"/>
        <v>2936.7766109999998</v>
      </c>
      <c r="AM160">
        <f>INDEX(A:AE,MATCH(AK160,worksheet!A:A,0),MATCH(worksheet!AM159,worksheet!A159:AE159,0))</f>
        <v>39768.617187999997</v>
      </c>
      <c r="AN160">
        <f>INDEX(A:AE,MATCH(AK160,worksheet!A:A,0),MATCH(worksheet!AN159,worksheet!A159:AE159,0))</f>
        <v>0.84392999999999996</v>
      </c>
      <c r="AO160">
        <f>INDEX(A:AE,MATCH(AK160,worksheet!A:A,0),MATCH(worksheet!AO159,worksheet!A159:AE159,0))</f>
        <v>1.0002</v>
      </c>
      <c r="AP160">
        <f>INDEX(A:AE,MATCH(AK160,worksheet!A:A,0),MATCH(worksheet!AP159,worksheet!A159:AE159,0))</f>
        <v>1.0000070000000001</v>
      </c>
    </row>
    <row r="161" spans="1:42" x14ac:dyDescent="0.25">
      <c r="A161" s="1">
        <v>44681</v>
      </c>
      <c r="B161">
        <v>2815.5334469999998</v>
      </c>
      <c r="C161">
        <v>2836.8276369999999</v>
      </c>
      <c r="D161">
        <v>2727.40625</v>
      </c>
      <c r="E161">
        <v>2730.186768</v>
      </c>
      <c r="F161">
        <v>2730.186768</v>
      </c>
      <c r="G161">
        <v>13520941867</v>
      </c>
      <c r="H161">
        <v>38605.859375</v>
      </c>
      <c r="I161">
        <v>38771.210937999997</v>
      </c>
      <c r="J161">
        <v>37697.941405999998</v>
      </c>
      <c r="K161">
        <v>37714.875</v>
      </c>
      <c r="L161">
        <v>37714.875</v>
      </c>
      <c r="M161">
        <v>23895713731</v>
      </c>
      <c r="N161">
        <v>1.0000009999999999</v>
      </c>
      <c r="O161">
        <v>1.000251</v>
      </c>
      <c r="P161">
        <v>0.99997000000000003</v>
      </c>
      <c r="Q161">
        <v>1.0001549999999999</v>
      </c>
      <c r="R161">
        <v>1.0001549999999999</v>
      </c>
      <c r="S161">
        <v>57266339850</v>
      </c>
      <c r="T161">
        <v>1.000008</v>
      </c>
      <c r="U161">
        <v>1.0004949999999999</v>
      </c>
      <c r="V161">
        <v>0.99927999999999995</v>
      </c>
      <c r="W161">
        <v>1.0002949999999999</v>
      </c>
      <c r="X161">
        <v>1.0002949999999999</v>
      </c>
      <c r="Y161">
        <v>3824993132</v>
      </c>
      <c r="Z161">
        <v>0.80505599999999999</v>
      </c>
      <c r="AA161">
        <v>0.817048</v>
      </c>
      <c r="AB161">
        <v>0.74235899999999999</v>
      </c>
      <c r="AC161">
        <v>0.75666</v>
      </c>
      <c r="AD161">
        <v>0.75666</v>
      </c>
      <c r="AE161">
        <v>868001173</v>
      </c>
      <c r="AK161" s="1">
        <v>44681</v>
      </c>
      <c r="AL161">
        <f t="shared" si="2"/>
        <v>2815.5334469999998</v>
      </c>
      <c r="AM161">
        <f>INDEX(A:AE,MATCH(AK161,worksheet!A:A,0),MATCH(worksheet!AM160,worksheet!A160:AE160,0))</f>
        <v>38605.859375</v>
      </c>
      <c r="AN161">
        <f>INDEX(A:AE,MATCH(AK161,worksheet!A:A,0),MATCH(worksheet!AN160,worksheet!A160:AE160,0))</f>
        <v>0.80505599999999999</v>
      </c>
      <c r="AO161">
        <f>INDEX(A:AE,MATCH(AK161,worksheet!A:A,0),MATCH(worksheet!AO160,worksheet!A160:AE160,0))</f>
        <v>1.0000009999999999</v>
      </c>
      <c r="AP161">
        <f>INDEX(A:AE,MATCH(AK161,worksheet!A:A,0),MATCH(worksheet!AP160,worksheet!A160:AE160,0))</f>
        <v>1.000008</v>
      </c>
    </row>
    <row r="162" spans="1:42" x14ac:dyDescent="0.25">
      <c r="A162" s="1">
        <v>44682</v>
      </c>
      <c r="B162">
        <v>2729.9941410000001</v>
      </c>
      <c r="C162">
        <v>2838.704346</v>
      </c>
      <c r="D162">
        <v>2728.078857</v>
      </c>
      <c r="E162">
        <v>2827.7561040000001</v>
      </c>
      <c r="F162">
        <v>2827.7561040000001</v>
      </c>
      <c r="G162">
        <v>15332730152</v>
      </c>
      <c r="H162">
        <v>37713.265625</v>
      </c>
      <c r="I162">
        <v>38627.859375</v>
      </c>
      <c r="J162">
        <v>37585.789062999997</v>
      </c>
      <c r="K162">
        <v>38469.09375</v>
      </c>
      <c r="L162">
        <v>38469.09375</v>
      </c>
      <c r="M162">
        <v>27002760110</v>
      </c>
      <c r="N162">
        <v>1.0001519999999999</v>
      </c>
      <c r="O162">
        <v>1.0003740000000001</v>
      </c>
      <c r="P162">
        <v>1.0000990000000001</v>
      </c>
      <c r="Q162">
        <v>1.000113</v>
      </c>
      <c r="R162">
        <v>1.000113</v>
      </c>
      <c r="S162">
        <v>61420362842</v>
      </c>
      <c r="T162">
        <v>1.0002789999999999</v>
      </c>
      <c r="U162">
        <v>1.00085</v>
      </c>
      <c r="V162">
        <v>0.99948700000000001</v>
      </c>
      <c r="W162">
        <v>1.000381</v>
      </c>
      <c r="X162">
        <v>1.000381</v>
      </c>
      <c r="Y162">
        <v>3757508036</v>
      </c>
      <c r="Z162">
        <v>0.75670099999999996</v>
      </c>
      <c r="AA162">
        <v>0.79942500000000005</v>
      </c>
      <c r="AB162">
        <v>0.74965499999999996</v>
      </c>
      <c r="AC162">
        <v>0.79034400000000005</v>
      </c>
      <c r="AD162">
        <v>0.79034400000000005</v>
      </c>
      <c r="AE162">
        <v>928448231</v>
      </c>
      <c r="AK162" s="1">
        <v>44682</v>
      </c>
      <c r="AL162">
        <f t="shared" si="2"/>
        <v>2729.9941410000001</v>
      </c>
      <c r="AM162">
        <f>INDEX(A:AE,MATCH(AK162,worksheet!A:A,0),MATCH(worksheet!AM161,worksheet!A161:AE161,0))</f>
        <v>37713.265625</v>
      </c>
      <c r="AN162">
        <f>INDEX(A:AE,MATCH(AK162,worksheet!A:A,0),MATCH(worksheet!AN161,worksheet!A161:AE161,0))</f>
        <v>0.75670099999999996</v>
      </c>
      <c r="AO162">
        <f>INDEX(A:AE,MATCH(AK162,worksheet!A:A,0),MATCH(worksheet!AO161,worksheet!A161:AE161,0))</f>
        <v>1.0001519999999999</v>
      </c>
      <c r="AP162">
        <f>INDEX(A:AE,MATCH(AK162,worksheet!A:A,0),MATCH(worksheet!AP161,worksheet!A161:AE161,0))</f>
        <v>1.0002789999999999</v>
      </c>
    </row>
    <row r="163" spans="1:42" x14ac:dyDescent="0.25">
      <c r="A163" s="1">
        <v>44683</v>
      </c>
      <c r="B163">
        <v>2827.6140140000002</v>
      </c>
      <c r="C163">
        <v>2874.1459960000002</v>
      </c>
      <c r="D163">
        <v>2785.5229490000002</v>
      </c>
      <c r="E163">
        <v>2857.4104000000002</v>
      </c>
      <c r="F163">
        <v>2857.4104000000002</v>
      </c>
      <c r="G163">
        <v>18609741545</v>
      </c>
      <c r="H163">
        <v>38472.1875</v>
      </c>
      <c r="I163">
        <v>39074.972655999998</v>
      </c>
      <c r="J163">
        <v>38156.5625</v>
      </c>
      <c r="K163">
        <v>38529.328125</v>
      </c>
      <c r="L163">
        <v>38529.328125</v>
      </c>
      <c r="M163">
        <v>32922642426</v>
      </c>
      <c r="N163">
        <v>1.0001</v>
      </c>
      <c r="O163">
        <v>1.000281</v>
      </c>
      <c r="P163">
        <v>0.99992599999999998</v>
      </c>
      <c r="Q163">
        <v>0.99995500000000004</v>
      </c>
      <c r="R163">
        <v>0.99995500000000004</v>
      </c>
      <c r="S163">
        <v>63751566652</v>
      </c>
      <c r="T163">
        <v>1.0003610000000001</v>
      </c>
      <c r="U163">
        <v>1.000564</v>
      </c>
      <c r="V163">
        <v>0.99950000000000006</v>
      </c>
      <c r="W163">
        <v>1.0000599999999999</v>
      </c>
      <c r="X163">
        <v>1.0000599999999999</v>
      </c>
      <c r="Y163">
        <v>3902762410</v>
      </c>
      <c r="Z163">
        <v>0.79027899999999995</v>
      </c>
      <c r="AA163">
        <v>0.79581800000000003</v>
      </c>
      <c r="AB163">
        <v>0.76619800000000005</v>
      </c>
      <c r="AC163">
        <v>0.78152900000000003</v>
      </c>
      <c r="AD163">
        <v>0.78152900000000003</v>
      </c>
      <c r="AE163">
        <v>805325174</v>
      </c>
      <c r="AK163" s="1">
        <v>44683</v>
      </c>
      <c r="AL163">
        <f t="shared" si="2"/>
        <v>2827.6140140000002</v>
      </c>
      <c r="AM163">
        <f>INDEX(A:AE,MATCH(AK163,worksheet!A:A,0),MATCH(worksheet!AM162,worksheet!A162:AE162,0))</f>
        <v>38472.1875</v>
      </c>
      <c r="AN163">
        <f>INDEX(A:AE,MATCH(AK163,worksheet!A:A,0),MATCH(worksheet!AN162,worksheet!A162:AE162,0))</f>
        <v>0.79027899999999995</v>
      </c>
      <c r="AO163">
        <f>INDEX(A:AE,MATCH(AK163,worksheet!A:A,0),MATCH(worksheet!AO162,worksheet!A162:AE162,0))</f>
        <v>1.0001</v>
      </c>
      <c r="AP163">
        <f>INDEX(A:AE,MATCH(AK163,worksheet!A:A,0),MATCH(worksheet!AP162,worksheet!A162:AE162,0))</f>
        <v>1.0003610000000001</v>
      </c>
    </row>
    <row r="164" spans="1:42" x14ac:dyDescent="0.25">
      <c r="A164" s="1">
        <v>44684</v>
      </c>
      <c r="B164">
        <v>2857.1523440000001</v>
      </c>
      <c r="C164">
        <v>2859.1933589999999</v>
      </c>
      <c r="D164">
        <v>2762.1186520000001</v>
      </c>
      <c r="E164">
        <v>2783.476318</v>
      </c>
      <c r="F164">
        <v>2783.476318</v>
      </c>
      <c r="G164">
        <v>13026093219</v>
      </c>
      <c r="H164">
        <v>38528.109375</v>
      </c>
      <c r="I164">
        <v>38629.996094000002</v>
      </c>
      <c r="J164">
        <v>37585.621094000002</v>
      </c>
      <c r="K164">
        <v>37750.453125</v>
      </c>
      <c r="L164">
        <v>37750.453125</v>
      </c>
      <c r="M164">
        <v>27326943244</v>
      </c>
      <c r="N164">
        <v>0.99995199999999995</v>
      </c>
      <c r="O164">
        <v>1.0002329999999999</v>
      </c>
      <c r="P164">
        <v>0.99990199999999996</v>
      </c>
      <c r="Q164">
        <v>1.0000450000000001</v>
      </c>
      <c r="R164">
        <v>1.0000450000000001</v>
      </c>
      <c r="S164">
        <v>52924035065</v>
      </c>
      <c r="T164">
        <v>1.0000560000000001</v>
      </c>
      <c r="U164">
        <v>1.000381</v>
      </c>
      <c r="V164">
        <v>0.99947600000000003</v>
      </c>
      <c r="W164">
        <v>1.000119</v>
      </c>
      <c r="X164">
        <v>1.000119</v>
      </c>
      <c r="Y164">
        <v>3691702287</v>
      </c>
      <c r="Z164">
        <v>0.78142999999999996</v>
      </c>
      <c r="AA164">
        <v>0.79858899999999999</v>
      </c>
      <c r="AB164">
        <v>0.76206799999999997</v>
      </c>
      <c r="AC164">
        <v>0.77114499999999997</v>
      </c>
      <c r="AD164">
        <v>0.77114499999999997</v>
      </c>
      <c r="AE164">
        <v>649650331</v>
      </c>
      <c r="AK164" s="1">
        <v>44684</v>
      </c>
      <c r="AL164">
        <f t="shared" si="2"/>
        <v>2857.1523440000001</v>
      </c>
      <c r="AM164">
        <f>INDEX(A:AE,MATCH(AK164,worksheet!A:A,0),MATCH(worksheet!AM163,worksheet!A163:AE163,0))</f>
        <v>38528.109375</v>
      </c>
      <c r="AN164">
        <f>INDEX(A:AE,MATCH(AK164,worksheet!A:A,0),MATCH(worksheet!AN163,worksheet!A163:AE163,0))</f>
        <v>0.78142999999999996</v>
      </c>
      <c r="AO164">
        <f>INDEX(A:AE,MATCH(AK164,worksheet!A:A,0),MATCH(worksheet!AO163,worksheet!A163:AE163,0))</f>
        <v>0.99995199999999995</v>
      </c>
      <c r="AP164">
        <f>INDEX(A:AE,MATCH(AK164,worksheet!A:A,0),MATCH(worksheet!AP163,worksheet!A163:AE163,0))</f>
        <v>1.0000560000000001</v>
      </c>
    </row>
    <row r="165" spans="1:42" x14ac:dyDescent="0.25">
      <c r="A165" s="1">
        <v>44685</v>
      </c>
      <c r="B165">
        <v>2783.1311040000001</v>
      </c>
      <c r="C165">
        <v>2956.686768</v>
      </c>
      <c r="D165">
        <v>2779.273682</v>
      </c>
      <c r="E165">
        <v>2940.6447750000002</v>
      </c>
      <c r="F165">
        <v>2940.6447750000002</v>
      </c>
      <c r="G165">
        <v>18186749944</v>
      </c>
      <c r="H165">
        <v>37748.011719000002</v>
      </c>
      <c r="I165">
        <v>39902.949219000002</v>
      </c>
      <c r="J165">
        <v>37732.058594000002</v>
      </c>
      <c r="K165">
        <v>39698.371094000002</v>
      </c>
      <c r="L165">
        <v>39698.371094000002</v>
      </c>
      <c r="M165">
        <v>36754404490</v>
      </c>
      <c r="N165">
        <v>1.000021</v>
      </c>
      <c r="O165">
        <v>1.0001420000000001</v>
      </c>
      <c r="P165">
        <v>0.99994000000000005</v>
      </c>
      <c r="Q165">
        <v>1.000038</v>
      </c>
      <c r="R165">
        <v>1.000038</v>
      </c>
      <c r="S165">
        <v>72222517203</v>
      </c>
      <c r="T165">
        <v>1.0001180000000001</v>
      </c>
      <c r="U165">
        <v>1.000648</v>
      </c>
      <c r="V165">
        <v>0.99961900000000004</v>
      </c>
      <c r="W165">
        <v>1.0000770000000001</v>
      </c>
      <c r="X165">
        <v>1.0000770000000001</v>
      </c>
      <c r="Y165">
        <v>4446134900</v>
      </c>
      <c r="Z165">
        <v>0.77110699999999999</v>
      </c>
      <c r="AA165">
        <v>0.89766100000000004</v>
      </c>
      <c r="AB165">
        <v>0.76963800000000004</v>
      </c>
      <c r="AC165">
        <v>0.89694200000000002</v>
      </c>
      <c r="AD165">
        <v>0.89694200000000002</v>
      </c>
      <c r="AE165">
        <v>1516023155</v>
      </c>
      <c r="AK165" s="1">
        <v>44685</v>
      </c>
      <c r="AL165">
        <f t="shared" si="2"/>
        <v>2783.1311040000001</v>
      </c>
      <c r="AM165">
        <f>INDEX(A:AE,MATCH(AK165,worksheet!A:A,0),MATCH(worksheet!AM164,worksheet!A164:AE164,0))</f>
        <v>37748.011719000002</v>
      </c>
      <c r="AN165">
        <f>INDEX(A:AE,MATCH(AK165,worksheet!A:A,0),MATCH(worksheet!AN164,worksheet!A164:AE164,0))</f>
        <v>0.77110699999999999</v>
      </c>
      <c r="AO165">
        <f>INDEX(A:AE,MATCH(AK165,worksheet!A:A,0),MATCH(worksheet!AO164,worksheet!A164:AE164,0))</f>
        <v>1.000021</v>
      </c>
      <c r="AP165">
        <f>INDEX(A:AE,MATCH(AK165,worksheet!A:A,0),MATCH(worksheet!AP164,worksheet!A164:AE164,0))</f>
        <v>1.0001180000000001</v>
      </c>
    </row>
    <row r="166" spans="1:42" x14ac:dyDescent="0.25">
      <c r="A166" s="1">
        <v>44686</v>
      </c>
      <c r="B166">
        <v>2940.2265630000002</v>
      </c>
      <c r="C166">
        <v>2948.960693</v>
      </c>
      <c r="D166">
        <v>2704.91626</v>
      </c>
      <c r="E166">
        <v>2749.213135</v>
      </c>
      <c r="F166">
        <v>2749.213135</v>
      </c>
      <c r="G166">
        <v>22642925048</v>
      </c>
      <c r="H166">
        <v>39695.746094000002</v>
      </c>
      <c r="I166">
        <v>39789.28125</v>
      </c>
      <c r="J166">
        <v>35856.515625</v>
      </c>
      <c r="K166">
        <v>36575.140625</v>
      </c>
      <c r="L166">
        <v>36575.140625</v>
      </c>
      <c r="M166">
        <v>43106256317</v>
      </c>
      <c r="N166">
        <v>1.0000389999999999</v>
      </c>
      <c r="O166">
        <v>1.000197</v>
      </c>
      <c r="P166">
        <v>0.99992000000000003</v>
      </c>
      <c r="Q166">
        <v>0.99998799999999999</v>
      </c>
      <c r="R166">
        <v>0.99998799999999999</v>
      </c>
      <c r="S166">
        <v>85679638685</v>
      </c>
      <c r="T166">
        <v>1.0000659999999999</v>
      </c>
      <c r="U166">
        <v>1.000605</v>
      </c>
      <c r="V166">
        <v>0.99938099999999996</v>
      </c>
      <c r="W166">
        <v>0.99995800000000001</v>
      </c>
      <c r="X166">
        <v>0.99995800000000001</v>
      </c>
      <c r="Y166">
        <v>5202645491</v>
      </c>
      <c r="Z166">
        <v>0.897061</v>
      </c>
      <c r="AA166">
        <v>0.904111</v>
      </c>
      <c r="AB166">
        <v>0.77814099999999997</v>
      </c>
      <c r="AC166">
        <v>0.79115199999999997</v>
      </c>
      <c r="AD166">
        <v>0.79115199999999997</v>
      </c>
      <c r="AE166">
        <v>1802128590</v>
      </c>
      <c r="AK166" s="1">
        <v>44686</v>
      </c>
      <c r="AL166">
        <f t="shared" si="2"/>
        <v>2940.2265630000002</v>
      </c>
      <c r="AM166">
        <f>INDEX(A:AE,MATCH(AK166,worksheet!A:A,0),MATCH(worksheet!AM165,worksheet!A165:AE165,0))</f>
        <v>39695.746094000002</v>
      </c>
      <c r="AN166">
        <f>INDEX(A:AE,MATCH(AK166,worksheet!A:A,0),MATCH(worksheet!AN165,worksheet!A165:AE165,0))</f>
        <v>0.897061</v>
      </c>
      <c r="AO166">
        <f>INDEX(A:AE,MATCH(AK166,worksheet!A:A,0),MATCH(worksheet!AO165,worksheet!A165:AE165,0))</f>
        <v>1.0000389999999999</v>
      </c>
      <c r="AP166">
        <f>INDEX(A:AE,MATCH(AK166,worksheet!A:A,0),MATCH(worksheet!AP165,worksheet!A165:AE165,0))</f>
        <v>1.0000659999999999</v>
      </c>
    </row>
    <row r="167" spans="1:42" x14ac:dyDescent="0.25">
      <c r="A167" s="1">
        <v>44687</v>
      </c>
      <c r="B167">
        <v>2748.9316410000001</v>
      </c>
      <c r="C167">
        <v>2754.8376459999999</v>
      </c>
      <c r="D167">
        <v>2645.3352049999999</v>
      </c>
      <c r="E167">
        <v>2694.9797359999998</v>
      </c>
      <c r="F167">
        <v>2694.9797359999998</v>
      </c>
      <c r="G167">
        <v>21027599270</v>
      </c>
      <c r="H167">
        <v>36573.183594000002</v>
      </c>
      <c r="I167">
        <v>36624.359375</v>
      </c>
      <c r="J167">
        <v>35482.132812999997</v>
      </c>
      <c r="K167">
        <v>36040.921875</v>
      </c>
      <c r="L167">
        <v>36040.921875</v>
      </c>
      <c r="M167">
        <v>37795577489</v>
      </c>
      <c r="N167">
        <v>0.99999000000000005</v>
      </c>
      <c r="O167">
        <v>1.0002150000000001</v>
      </c>
      <c r="P167">
        <v>0.99991600000000003</v>
      </c>
      <c r="Q167">
        <v>0.99998200000000004</v>
      </c>
      <c r="R167">
        <v>0.99998200000000004</v>
      </c>
      <c r="S167">
        <v>81327879764</v>
      </c>
      <c r="T167">
        <v>0.99994700000000003</v>
      </c>
      <c r="U167">
        <v>1.0006079999999999</v>
      </c>
      <c r="V167">
        <v>0.99952300000000005</v>
      </c>
      <c r="W167">
        <v>1.0000720000000001</v>
      </c>
      <c r="X167">
        <v>1.0000720000000001</v>
      </c>
      <c r="Y167">
        <v>5376284197</v>
      </c>
      <c r="Z167">
        <v>0.79106500000000002</v>
      </c>
      <c r="AA167">
        <v>0.798315</v>
      </c>
      <c r="AB167">
        <v>0.76574200000000003</v>
      </c>
      <c r="AC167">
        <v>0.78335900000000003</v>
      </c>
      <c r="AD167">
        <v>0.78335900000000003</v>
      </c>
      <c r="AE167">
        <v>1312283636</v>
      </c>
      <c r="AK167" s="1">
        <v>44687</v>
      </c>
      <c r="AL167">
        <f t="shared" si="2"/>
        <v>2748.9316410000001</v>
      </c>
      <c r="AM167">
        <f>INDEX(A:AE,MATCH(AK167,worksheet!A:A,0),MATCH(worksheet!AM166,worksheet!A166:AE166,0))</f>
        <v>36573.183594000002</v>
      </c>
      <c r="AN167">
        <f>INDEX(A:AE,MATCH(AK167,worksheet!A:A,0),MATCH(worksheet!AN166,worksheet!A166:AE166,0))</f>
        <v>0.79106500000000002</v>
      </c>
      <c r="AO167">
        <f>INDEX(A:AE,MATCH(AK167,worksheet!A:A,0),MATCH(worksheet!AO166,worksheet!A166:AE166,0))</f>
        <v>0.99999000000000005</v>
      </c>
      <c r="AP167">
        <f>INDEX(A:AE,MATCH(AK167,worksheet!A:A,0),MATCH(worksheet!AP166,worksheet!A166:AE166,0))</f>
        <v>0.99994700000000003</v>
      </c>
    </row>
    <row r="168" spans="1:42" x14ac:dyDescent="0.25">
      <c r="A168" s="1">
        <v>44688</v>
      </c>
      <c r="B168">
        <v>2694.991943</v>
      </c>
      <c r="C168">
        <v>2696.6528320000002</v>
      </c>
      <c r="D168">
        <v>2599.5234380000002</v>
      </c>
      <c r="E168">
        <v>2636.093018</v>
      </c>
      <c r="F168">
        <v>2636.093018</v>
      </c>
      <c r="G168">
        <v>13369276367</v>
      </c>
      <c r="H168">
        <v>36042.503905999998</v>
      </c>
      <c r="I168">
        <v>36129.925780999998</v>
      </c>
      <c r="J168">
        <v>34940.824219000002</v>
      </c>
      <c r="K168">
        <v>35501.953125</v>
      </c>
      <c r="L168">
        <v>35501.953125</v>
      </c>
      <c r="M168">
        <v>24375896406</v>
      </c>
      <c r="N168">
        <v>0.99997100000000005</v>
      </c>
      <c r="O168">
        <v>1.000049</v>
      </c>
      <c r="P168">
        <v>0.99977400000000005</v>
      </c>
      <c r="Q168">
        <v>0.99992099999999995</v>
      </c>
      <c r="R168">
        <v>0.99992099999999995</v>
      </c>
      <c r="S168">
        <v>57202594793</v>
      </c>
      <c r="T168">
        <v>1.000065</v>
      </c>
      <c r="U168">
        <v>1.000427</v>
      </c>
      <c r="V168">
        <v>0.99961699999999998</v>
      </c>
      <c r="W168">
        <v>0.99990599999999996</v>
      </c>
      <c r="X168">
        <v>0.99990599999999996</v>
      </c>
      <c r="Y168">
        <v>3623126811</v>
      </c>
      <c r="Z168">
        <v>0.78335200000000005</v>
      </c>
      <c r="AA168">
        <v>0.78511600000000004</v>
      </c>
      <c r="AB168">
        <v>0.75065700000000002</v>
      </c>
      <c r="AC168">
        <v>0.76188199999999995</v>
      </c>
      <c r="AD168">
        <v>0.76188199999999995</v>
      </c>
      <c r="AE168">
        <v>801558914</v>
      </c>
      <c r="AK168" s="1">
        <v>44688</v>
      </c>
      <c r="AL168">
        <f t="shared" si="2"/>
        <v>2694.991943</v>
      </c>
      <c r="AM168">
        <f>INDEX(A:AE,MATCH(AK168,worksheet!A:A,0),MATCH(worksheet!AM167,worksheet!A167:AE167,0))</f>
        <v>36042.503905999998</v>
      </c>
      <c r="AN168">
        <f>INDEX(A:AE,MATCH(AK168,worksheet!A:A,0),MATCH(worksheet!AN167,worksheet!A167:AE167,0))</f>
        <v>0.78335200000000005</v>
      </c>
      <c r="AO168">
        <f>INDEX(A:AE,MATCH(AK168,worksheet!A:A,0),MATCH(worksheet!AO167,worksheet!A167:AE167,0))</f>
        <v>0.99997100000000005</v>
      </c>
      <c r="AP168">
        <f>INDEX(A:AE,MATCH(AK168,worksheet!A:A,0),MATCH(worksheet!AP167,worksheet!A167:AE167,0))</f>
        <v>1.000065</v>
      </c>
    </row>
    <row r="169" spans="1:42" x14ac:dyDescent="0.25">
      <c r="A169" s="1">
        <v>44689</v>
      </c>
      <c r="B169">
        <v>2636.1218260000001</v>
      </c>
      <c r="C169">
        <v>2638.8305660000001</v>
      </c>
      <c r="D169">
        <v>2498.4301759999998</v>
      </c>
      <c r="E169">
        <v>2517.459961</v>
      </c>
      <c r="F169">
        <v>2517.459961</v>
      </c>
      <c r="G169">
        <v>20802269935</v>
      </c>
      <c r="H169">
        <v>35502.941405999998</v>
      </c>
      <c r="I169">
        <v>35502.941405999998</v>
      </c>
      <c r="J169">
        <v>33878.964844000002</v>
      </c>
      <c r="K169">
        <v>34059.265625</v>
      </c>
      <c r="L169">
        <v>34059.265625</v>
      </c>
      <c r="M169">
        <v>36763041910</v>
      </c>
      <c r="N169">
        <v>0.999919</v>
      </c>
      <c r="O169">
        <v>1.0000629999999999</v>
      </c>
      <c r="P169">
        <v>0.99973999999999996</v>
      </c>
      <c r="Q169">
        <v>0.99985400000000002</v>
      </c>
      <c r="R169">
        <v>0.99985400000000002</v>
      </c>
      <c r="S169">
        <v>77900163502</v>
      </c>
      <c r="T169">
        <v>0.99991799999999997</v>
      </c>
      <c r="U169">
        <v>1.000631</v>
      </c>
      <c r="V169">
        <v>0.99954799999999999</v>
      </c>
      <c r="W169">
        <v>1.0000869999999999</v>
      </c>
      <c r="X169">
        <v>1.0000869999999999</v>
      </c>
      <c r="Y169">
        <v>5432001418</v>
      </c>
      <c r="Z169">
        <v>0.76205299999999998</v>
      </c>
      <c r="AA169">
        <v>0.76386900000000002</v>
      </c>
      <c r="AB169">
        <v>0.72927200000000003</v>
      </c>
      <c r="AC169">
        <v>0.73956299999999997</v>
      </c>
      <c r="AD169">
        <v>0.73956299999999997</v>
      </c>
      <c r="AE169">
        <v>1085127147</v>
      </c>
      <c r="AK169" s="1">
        <v>44689</v>
      </c>
      <c r="AL169">
        <f t="shared" si="2"/>
        <v>2636.1218260000001</v>
      </c>
      <c r="AM169">
        <f>INDEX(A:AE,MATCH(AK169,worksheet!A:A,0),MATCH(worksheet!AM168,worksheet!A168:AE168,0))</f>
        <v>35502.941405999998</v>
      </c>
      <c r="AN169">
        <f>INDEX(A:AE,MATCH(AK169,worksheet!A:A,0),MATCH(worksheet!AN168,worksheet!A168:AE168,0))</f>
        <v>0.76205299999999998</v>
      </c>
      <c r="AO169">
        <f>INDEX(A:AE,MATCH(AK169,worksheet!A:A,0),MATCH(worksheet!AO168,worksheet!A168:AE168,0))</f>
        <v>0.999919</v>
      </c>
      <c r="AP169">
        <f>INDEX(A:AE,MATCH(AK169,worksheet!A:A,0),MATCH(worksheet!AP168,worksheet!A168:AE168,0))</f>
        <v>0.99991799999999997</v>
      </c>
    </row>
    <row r="170" spans="1:42" x14ac:dyDescent="0.25">
      <c r="A170" s="1">
        <v>44690</v>
      </c>
      <c r="B170">
        <v>2518.5083009999998</v>
      </c>
      <c r="C170">
        <v>2528.258057</v>
      </c>
      <c r="D170">
        <v>2238.0627439999998</v>
      </c>
      <c r="E170">
        <v>2245.4304200000001</v>
      </c>
      <c r="F170">
        <v>2245.4304200000001</v>
      </c>
      <c r="G170">
        <v>36333567678</v>
      </c>
      <c r="H170">
        <v>34060.015625</v>
      </c>
      <c r="I170">
        <v>34222.074219000002</v>
      </c>
      <c r="J170">
        <v>30296.953125</v>
      </c>
      <c r="K170">
        <v>30296.953125</v>
      </c>
      <c r="L170">
        <v>30296.953125</v>
      </c>
      <c r="M170">
        <v>63355494961</v>
      </c>
      <c r="N170">
        <v>0.99987000000000004</v>
      </c>
      <c r="O170">
        <v>1.0001340000000001</v>
      </c>
      <c r="P170">
        <v>0.99977000000000005</v>
      </c>
      <c r="Q170">
        <v>0.99990900000000005</v>
      </c>
      <c r="R170">
        <v>0.99990900000000005</v>
      </c>
      <c r="S170">
        <v>120710294040</v>
      </c>
      <c r="T170">
        <v>0.99999400000000005</v>
      </c>
      <c r="U170">
        <v>1.0006820000000001</v>
      </c>
      <c r="V170">
        <v>0.99937600000000004</v>
      </c>
      <c r="W170">
        <v>0.99959500000000001</v>
      </c>
      <c r="X170">
        <v>0.99959500000000001</v>
      </c>
      <c r="Y170">
        <v>8493986111</v>
      </c>
      <c r="Z170">
        <v>0.73950899999999997</v>
      </c>
      <c r="AA170">
        <v>0.75323300000000004</v>
      </c>
      <c r="AB170">
        <v>0.61008799999999996</v>
      </c>
      <c r="AC170">
        <v>0.61008799999999996</v>
      </c>
      <c r="AD170">
        <v>0.61008799999999996</v>
      </c>
      <c r="AE170">
        <v>2306123277</v>
      </c>
      <c r="AK170" s="1">
        <v>44690</v>
      </c>
      <c r="AL170">
        <f t="shared" si="2"/>
        <v>2518.5083009999998</v>
      </c>
      <c r="AM170">
        <f>INDEX(A:AE,MATCH(AK170,worksheet!A:A,0),MATCH(worksheet!AM169,worksheet!A169:AE169,0))</f>
        <v>34060.015625</v>
      </c>
      <c r="AN170">
        <f>INDEX(A:AE,MATCH(AK170,worksheet!A:A,0),MATCH(worksheet!AN169,worksheet!A169:AE169,0))</f>
        <v>0.73950899999999997</v>
      </c>
      <c r="AO170">
        <f>INDEX(A:AE,MATCH(AK170,worksheet!A:A,0),MATCH(worksheet!AO169,worksheet!A169:AE169,0))</f>
        <v>0.99987000000000004</v>
      </c>
      <c r="AP170">
        <f>INDEX(A:AE,MATCH(AK170,worksheet!A:A,0),MATCH(worksheet!AP169,worksheet!A169:AE169,0))</f>
        <v>0.99999400000000005</v>
      </c>
    </row>
    <row r="171" spans="1:42" x14ac:dyDescent="0.25">
      <c r="A171" s="1">
        <v>44691</v>
      </c>
      <c r="B171">
        <v>2242.6503910000001</v>
      </c>
      <c r="C171">
        <v>2450.7602539999998</v>
      </c>
      <c r="D171">
        <v>2206.756836</v>
      </c>
      <c r="E171">
        <v>2343.5109859999998</v>
      </c>
      <c r="F171">
        <v>2343.5109859999998</v>
      </c>
      <c r="G171">
        <v>38202099639</v>
      </c>
      <c r="H171">
        <v>30273.654297000001</v>
      </c>
      <c r="I171">
        <v>32596.308593999998</v>
      </c>
      <c r="J171">
        <v>29944.802734000001</v>
      </c>
      <c r="K171">
        <v>31022.90625</v>
      </c>
      <c r="L171">
        <v>31022.90625</v>
      </c>
      <c r="M171">
        <v>59811038817</v>
      </c>
      <c r="N171">
        <v>0.99994499999999997</v>
      </c>
      <c r="O171">
        <v>1.0001340000000001</v>
      </c>
      <c r="P171">
        <v>0.99970899999999996</v>
      </c>
      <c r="Q171">
        <v>0.99979099999999999</v>
      </c>
      <c r="R171">
        <v>0.99979099999999999</v>
      </c>
      <c r="S171">
        <v>128692083965</v>
      </c>
      <c r="T171">
        <v>0.99957600000000002</v>
      </c>
      <c r="U171">
        <v>1.000685</v>
      </c>
      <c r="V171">
        <v>0.999278</v>
      </c>
      <c r="W171">
        <v>0.99982800000000005</v>
      </c>
      <c r="X171">
        <v>0.99982800000000005</v>
      </c>
      <c r="Y171">
        <v>8611992228</v>
      </c>
      <c r="Z171">
        <v>0.60997199999999996</v>
      </c>
      <c r="AA171">
        <v>0.69852000000000003</v>
      </c>
      <c r="AB171">
        <v>0.59068799999999999</v>
      </c>
      <c r="AC171">
        <v>0.62896300000000005</v>
      </c>
      <c r="AD171">
        <v>0.62896300000000005</v>
      </c>
      <c r="AE171">
        <v>2372592084</v>
      </c>
      <c r="AK171" s="1">
        <v>44691</v>
      </c>
      <c r="AL171">
        <f t="shared" si="2"/>
        <v>2242.6503910000001</v>
      </c>
      <c r="AM171">
        <f>INDEX(A:AE,MATCH(AK171,worksheet!A:A,0),MATCH(worksheet!AM170,worksheet!A170:AE170,0))</f>
        <v>30273.654297000001</v>
      </c>
      <c r="AN171">
        <f>INDEX(A:AE,MATCH(AK171,worksheet!A:A,0),MATCH(worksheet!AN170,worksheet!A170:AE170,0))</f>
        <v>0.60997199999999996</v>
      </c>
      <c r="AO171">
        <f>INDEX(A:AE,MATCH(AK171,worksheet!A:A,0),MATCH(worksheet!AO170,worksheet!A170:AE170,0))</f>
        <v>0.99994499999999997</v>
      </c>
      <c r="AP171">
        <f>INDEX(A:AE,MATCH(AK171,worksheet!A:A,0),MATCH(worksheet!AP170,worksheet!A170:AE170,0))</f>
        <v>0.99957600000000002</v>
      </c>
    </row>
    <row r="172" spans="1:42" x14ac:dyDescent="0.25">
      <c r="A172" s="1">
        <v>44692</v>
      </c>
      <c r="B172">
        <v>2342.7541500000002</v>
      </c>
      <c r="C172">
        <v>2441.079346</v>
      </c>
      <c r="D172">
        <v>2018.855591</v>
      </c>
      <c r="E172">
        <v>2072.108643</v>
      </c>
      <c r="F172">
        <v>2072.108643</v>
      </c>
      <c r="G172">
        <v>45743399154</v>
      </c>
      <c r="H172">
        <v>31016.183593999998</v>
      </c>
      <c r="I172">
        <v>32013.402343999998</v>
      </c>
      <c r="J172">
        <v>28170.414063</v>
      </c>
      <c r="K172">
        <v>28936.355468999998</v>
      </c>
      <c r="L172">
        <v>28936.355468999998</v>
      </c>
      <c r="M172">
        <v>70388855818</v>
      </c>
      <c r="N172">
        <v>0.99978999999999996</v>
      </c>
      <c r="O172">
        <v>0.999996</v>
      </c>
      <c r="P172">
        <v>0.99345899999999998</v>
      </c>
      <c r="Q172">
        <v>0.99587199999999998</v>
      </c>
      <c r="R172">
        <v>0.99587199999999998</v>
      </c>
      <c r="S172">
        <v>159700404396</v>
      </c>
      <c r="T172">
        <v>0.99978500000000003</v>
      </c>
      <c r="U172">
        <v>1.00135</v>
      </c>
      <c r="V172">
        <v>0.99925299999999995</v>
      </c>
      <c r="W172">
        <v>1.000766</v>
      </c>
      <c r="X172">
        <v>1.000766</v>
      </c>
      <c r="Y172">
        <v>15143285239</v>
      </c>
      <c r="Z172">
        <v>0.628772</v>
      </c>
      <c r="AA172">
        <v>0.65757100000000002</v>
      </c>
      <c r="AB172">
        <v>0.48460999999999999</v>
      </c>
      <c r="AC172">
        <v>0.51280000000000003</v>
      </c>
      <c r="AD172">
        <v>0.51280000000000003</v>
      </c>
      <c r="AE172">
        <v>2692548110</v>
      </c>
      <c r="AK172" s="1">
        <v>44692</v>
      </c>
      <c r="AL172">
        <f t="shared" si="2"/>
        <v>2342.7541500000002</v>
      </c>
      <c r="AM172">
        <f>INDEX(A:AE,MATCH(AK172,worksheet!A:A,0),MATCH(worksheet!AM171,worksheet!A171:AE171,0))</f>
        <v>31016.183593999998</v>
      </c>
      <c r="AN172">
        <f>INDEX(A:AE,MATCH(AK172,worksheet!A:A,0),MATCH(worksheet!AN171,worksheet!A171:AE171,0))</f>
        <v>0.628772</v>
      </c>
      <c r="AO172">
        <f>INDEX(A:AE,MATCH(AK172,worksheet!A:A,0),MATCH(worksheet!AO171,worksheet!A171:AE171,0))</f>
        <v>0.99978999999999996</v>
      </c>
      <c r="AP172">
        <f>INDEX(A:AE,MATCH(AK172,worksheet!A:A,0),MATCH(worksheet!AP171,worksheet!A171:AE171,0))</f>
        <v>0.99978500000000003</v>
      </c>
    </row>
    <row r="173" spans="1:42" x14ac:dyDescent="0.25">
      <c r="A173" s="1">
        <v>44693</v>
      </c>
      <c r="B173">
        <v>2072.5046390000002</v>
      </c>
      <c r="C173">
        <v>2170.4580080000001</v>
      </c>
      <c r="D173">
        <v>1748.303101</v>
      </c>
      <c r="E173">
        <v>1961.701538</v>
      </c>
      <c r="F173">
        <v>1961.701538</v>
      </c>
      <c r="G173">
        <v>42463486402</v>
      </c>
      <c r="H173">
        <v>28936.734375</v>
      </c>
      <c r="I173">
        <v>30032.439452999999</v>
      </c>
      <c r="J173">
        <v>26350.490234000001</v>
      </c>
      <c r="K173">
        <v>29047.751952999999</v>
      </c>
      <c r="L173">
        <v>29047.751952999999</v>
      </c>
      <c r="M173">
        <v>66989173272</v>
      </c>
      <c r="N173">
        <v>0.99587899999999996</v>
      </c>
      <c r="O173">
        <v>0.99773599999999996</v>
      </c>
      <c r="P173">
        <v>0.94848600000000005</v>
      </c>
      <c r="Q173">
        <v>0.99760899999999997</v>
      </c>
      <c r="R173">
        <v>0.99760899999999997</v>
      </c>
      <c r="S173">
        <v>141052751792</v>
      </c>
      <c r="T173">
        <v>1.000777</v>
      </c>
      <c r="U173">
        <v>1.0114339999999999</v>
      </c>
      <c r="V173">
        <v>0.99953099999999995</v>
      </c>
      <c r="W173">
        <v>1.000659</v>
      </c>
      <c r="X173">
        <v>1.000659</v>
      </c>
      <c r="Y173">
        <v>18612052637</v>
      </c>
      <c r="Z173">
        <v>0.51299899999999998</v>
      </c>
      <c r="AA173">
        <v>0.54549800000000004</v>
      </c>
      <c r="AB173">
        <v>0.40652899999999997</v>
      </c>
      <c r="AC173">
        <v>0.473746</v>
      </c>
      <c r="AD173">
        <v>0.473746</v>
      </c>
      <c r="AE173">
        <v>2798263564</v>
      </c>
      <c r="AK173" s="1">
        <v>44693</v>
      </c>
      <c r="AL173">
        <f t="shared" si="2"/>
        <v>2072.5046390000002</v>
      </c>
      <c r="AM173">
        <f>INDEX(A:AE,MATCH(AK173,worksheet!A:A,0),MATCH(worksheet!AM172,worksheet!A172:AE172,0))</f>
        <v>28936.734375</v>
      </c>
      <c r="AN173">
        <f>INDEX(A:AE,MATCH(AK173,worksheet!A:A,0),MATCH(worksheet!AN172,worksheet!A172:AE172,0))</f>
        <v>0.51299899999999998</v>
      </c>
      <c r="AO173">
        <f>INDEX(A:AE,MATCH(AK173,worksheet!A:A,0),MATCH(worksheet!AO172,worksheet!A172:AE172,0))</f>
        <v>0.99587899999999996</v>
      </c>
      <c r="AP173">
        <f>INDEX(A:AE,MATCH(AK173,worksheet!A:A,0),MATCH(worksheet!AP172,worksheet!A172:AE172,0))</f>
        <v>1.000777</v>
      </c>
    </row>
    <row r="174" spans="1:42" x14ac:dyDescent="0.25">
      <c r="A174" s="1">
        <v>44694</v>
      </c>
      <c r="B174">
        <v>1960.1225589999999</v>
      </c>
      <c r="C174">
        <v>2139.7133789999998</v>
      </c>
      <c r="D174">
        <v>1941.975952</v>
      </c>
      <c r="E174">
        <v>2014.4182129999999</v>
      </c>
      <c r="F174">
        <v>2014.4182129999999</v>
      </c>
      <c r="G174">
        <v>24816096567</v>
      </c>
      <c r="H174">
        <v>29030.910156000002</v>
      </c>
      <c r="I174">
        <v>30924.802734000001</v>
      </c>
      <c r="J174">
        <v>28782.330077999999</v>
      </c>
      <c r="K174">
        <v>29283.103515999999</v>
      </c>
      <c r="L174">
        <v>29283.103515999999</v>
      </c>
      <c r="M174">
        <v>42841124537</v>
      </c>
      <c r="N174">
        <v>0.99752700000000005</v>
      </c>
      <c r="O174">
        <v>0.999193</v>
      </c>
      <c r="P174">
        <v>0.99694499999999997</v>
      </c>
      <c r="Q174">
        <v>0.99823899999999999</v>
      </c>
      <c r="R174">
        <v>0.99823899999999999</v>
      </c>
      <c r="S174">
        <v>87009885196</v>
      </c>
      <c r="T174">
        <v>1.0006010000000001</v>
      </c>
      <c r="U174">
        <v>1.0019009999999999</v>
      </c>
      <c r="V174">
        <v>0.999637</v>
      </c>
      <c r="W174">
        <v>1.0003470000000001</v>
      </c>
      <c r="X174">
        <v>1.0003470000000001</v>
      </c>
      <c r="Y174">
        <v>8025797259</v>
      </c>
      <c r="Z174">
        <v>0.47341800000000001</v>
      </c>
      <c r="AA174">
        <v>0.60108799999999996</v>
      </c>
      <c r="AB174">
        <v>0.46998099999999998</v>
      </c>
      <c r="AC174">
        <v>0.52887700000000004</v>
      </c>
      <c r="AD174">
        <v>0.52887700000000004</v>
      </c>
      <c r="AE174">
        <v>1946134960</v>
      </c>
      <c r="AK174" s="1">
        <v>44694</v>
      </c>
      <c r="AL174">
        <f t="shared" si="2"/>
        <v>1960.1225589999999</v>
      </c>
      <c r="AM174">
        <f>INDEX(A:AE,MATCH(AK174,worksheet!A:A,0),MATCH(worksheet!AM173,worksheet!A173:AE173,0))</f>
        <v>29030.910156000002</v>
      </c>
      <c r="AN174">
        <f>INDEX(A:AE,MATCH(AK174,worksheet!A:A,0),MATCH(worksheet!AN173,worksheet!A173:AE173,0))</f>
        <v>0.47341800000000001</v>
      </c>
      <c r="AO174">
        <f>INDEX(A:AE,MATCH(AK174,worksheet!A:A,0),MATCH(worksheet!AO173,worksheet!A173:AE173,0))</f>
        <v>0.99752700000000005</v>
      </c>
      <c r="AP174">
        <f>INDEX(A:AE,MATCH(AK174,worksheet!A:A,0),MATCH(worksheet!AP173,worksheet!A173:AE173,0))</f>
        <v>1.0006010000000001</v>
      </c>
    </row>
    <row r="175" spans="1:42" x14ac:dyDescent="0.25">
      <c r="A175" s="1">
        <v>44695</v>
      </c>
      <c r="B175">
        <v>2014.2806399999999</v>
      </c>
      <c r="C175">
        <v>2063.429932</v>
      </c>
      <c r="D175">
        <v>1956.5729980000001</v>
      </c>
      <c r="E175">
        <v>2056.2739259999998</v>
      </c>
      <c r="F175">
        <v>2056.2739259999998</v>
      </c>
      <c r="G175">
        <v>15457044616</v>
      </c>
      <c r="H175">
        <v>29285.642577999999</v>
      </c>
      <c r="I175">
        <v>30192.802734000001</v>
      </c>
      <c r="J175">
        <v>28702.910156000002</v>
      </c>
      <c r="K175">
        <v>30101.265625</v>
      </c>
      <c r="L175">
        <v>30101.265625</v>
      </c>
      <c r="M175">
        <v>28579868620</v>
      </c>
      <c r="N175">
        <v>0.99824199999999996</v>
      </c>
      <c r="O175">
        <v>0.99897100000000005</v>
      </c>
      <c r="P175">
        <v>0.99779099999999998</v>
      </c>
      <c r="Q175">
        <v>0.99878</v>
      </c>
      <c r="R175">
        <v>0.99878</v>
      </c>
      <c r="S175">
        <v>60781876668</v>
      </c>
      <c r="T175">
        <v>1.000418</v>
      </c>
      <c r="U175">
        <v>1.000977</v>
      </c>
      <c r="V175">
        <v>0.999695</v>
      </c>
      <c r="W175">
        <v>1.000381</v>
      </c>
      <c r="X175">
        <v>1.000381</v>
      </c>
      <c r="Y175">
        <v>5734214071</v>
      </c>
      <c r="Z175">
        <v>0.52894200000000002</v>
      </c>
      <c r="AA175">
        <v>0.55422499999999997</v>
      </c>
      <c r="AB175">
        <v>0.49143500000000001</v>
      </c>
      <c r="AC175">
        <v>0.539358</v>
      </c>
      <c r="AD175">
        <v>0.539358</v>
      </c>
      <c r="AE175">
        <v>1178703676</v>
      </c>
      <c r="AK175" s="1">
        <v>44695</v>
      </c>
      <c r="AL175">
        <f t="shared" si="2"/>
        <v>2014.2806399999999</v>
      </c>
      <c r="AM175">
        <f>INDEX(A:AE,MATCH(AK175,worksheet!A:A,0),MATCH(worksheet!AM174,worksheet!A174:AE174,0))</f>
        <v>29285.642577999999</v>
      </c>
      <c r="AN175">
        <f>INDEX(A:AE,MATCH(AK175,worksheet!A:A,0),MATCH(worksheet!AN174,worksheet!A174:AE174,0))</f>
        <v>0.52894200000000002</v>
      </c>
      <c r="AO175">
        <f>INDEX(A:AE,MATCH(AK175,worksheet!A:A,0),MATCH(worksheet!AO174,worksheet!A174:AE174,0))</f>
        <v>0.99824199999999996</v>
      </c>
      <c r="AP175">
        <f>INDEX(A:AE,MATCH(AK175,worksheet!A:A,0),MATCH(worksheet!AP174,worksheet!A174:AE174,0))</f>
        <v>1.000418</v>
      </c>
    </row>
    <row r="176" spans="1:42" x14ac:dyDescent="0.25">
      <c r="A176" s="1">
        <v>44696</v>
      </c>
      <c r="B176">
        <v>2056.1831050000001</v>
      </c>
      <c r="C176">
        <v>2147.194336</v>
      </c>
      <c r="D176">
        <v>2008.16272</v>
      </c>
      <c r="E176">
        <v>2145.7067870000001</v>
      </c>
      <c r="F176">
        <v>2145.7067870000001</v>
      </c>
      <c r="G176">
        <v>14846088335</v>
      </c>
      <c r="H176">
        <v>30098.585938</v>
      </c>
      <c r="I176">
        <v>31308.191406000002</v>
      </c>
      <c r="J176">
        <v>29527.740234000001</v>
      </c>
      <c r="K176">
        <v>31305.113281000002</v>
      </c>
      <c r="L176">
        <v>31305.113281000002</v>
      </c>
      <c r="M176">
        <v>25835372065</v>
      </c>
      <c r="N176">
        <v>0.99878</v>
      </c>
      <c r="O176">
        <v>0.99907699999999999</v>
      </c>
      <c r="P176">
        <v>0.99849200000000005</v>
      </c>
      <c r="Q176">
        <v>0.99906899999999998</v>
      </c>
      <c r="R176">
        <v>0.99906899999999998</v>
      </c>
      <c r="S176">
        <v>53979914930</v>
      </c>
      <c r="T176">
        <v>1.0003679999999999</v>
      </c>
      <c r="U176">
        <v>1.001026</v>
      </c>
      <c r="V176">
        <v>0.99986299999999995</v>
      </c>
      <c r="W176">
        <v>1.000183</v>
      </c>
      <c r="X176">
        <v>1.000183</v>
      </c>
      <c r="Y176">
        <v>4610661832</v>
      </c>
      <c r="Z176">
        <v>0.53938600000000003</v>
      </c>
      <c r="AA176">
        <v>0.59788399999999997</v>
      </c>
      <c r="AB176">
        <v>0.51654599999999995</v>
      </c>
      <c r="AC176">
        <v>0.59750000000000003</v>
      </c>
      <c r="AD176">
        <v>0.59750000000000003</v>
      </c>
      <c r="AE176">
        <v>1090431332</v>
      </c>
      <c r="AK176" s="1">
        <v>44696</v>
      </c>
      <c r="AL176">
        <f t="shared" si="2"/>
        <v>2056.1831050000001</v>
      </c>
      <c r="AM176">
        <f>INDEX(A:AE,MATCH(AK176,worksheet!A:A,0),MATCH(worksheet!AM175,worksheet!A175:AE175,0))</f>
        <v>30098.585938</v>
      </c>
      <c r="AN176">
        <f>INDEX(A:AE,MATCH(AK176,worksheet!A:A,0),MATCH(worksheet!AN175,worksheet!A175:AE175,0))</f>
        <v>0.53938600000000003</v>
      </c>
      <c r="AO176">
        <f>INDEX(A:AE,MATCH(AK176,worksheet!A:A,0),MATCH(worksheet!AO175,worksheet!A175:AE175,0))</f>
        <v>0.99878</v>
      </c>
      <c r="AP176">
        <f>INDEX(A:AE,MATCH(AK176,worksheet!A:A,0),MATCH(worksheet!AP175,worksheet!A175:AE175,0))</f>
        <v>1.0003679999999999</v>
      </c>
    </row>
    <row r="177" spans="1:42" x14ac:dyDescent="0.25">
      <c r="A177" s="1">
        <v>44697</v>
      </c>
      <c r="B177">
        <v>2145.836914</v>
      </c>
      <c r="C177">
        <v>2145.836914</v>
      </c>
      <c r="D177">
        <v>1988.811768</v>
      </c>
      <c r="E177">
        <v>2022.725952</v>
      </c>
      <c r="F177">
        <v>2022.725952</v>
      </c>
      <c r="G177">
        <v>21459552191</v>
      </c>
      <c r="H177">
        <v>31304.375</v>
      </c>
      <c r="I177">
        <v>31305.341797000001</v>
      </c>
      <c r="J177">
        <v>29251.884765999999</v>
      </c>
      <c r="K177">
        <v>29862.917968999998</v>
      </c>
      <c r="L177">
        <v>29862.917968999998</v>
      </c>
      <c r="M177">
        <v>32613897286</v>
      </c>
      <c r="N177">
        <v>0.99908399999999997</v>
      </c>
      <c r="O177">
        <v>0.99915299999999996</v>
      </c>
      <c r="P177">
        <v>0.99865899999999996</v>
      </c>
      <c r="Q177">
        <v>0.99877899999999997</v>
      </c>
      <c r="R177">
        <v>0.99877899999999997</v>
      </c>
      <c r="S177">
        <v>62504490441</v>
      </c>
      <c r="T177">
        <v>1.0001949999999999</v>
      </c>
      <c r="U177">
        <v>1.0008159999999999</v>
      </c>
      <c r="V177">
        <v>0.99973999999999996</v>
      </c>
      <c r="W177">
        <v>1.0005809999999999</v>
      </c>
      <c r="X177">
        <v>1.0005809999999999</v>
      </c>
      <c r="Y177">
        <v>6650512579</v>
      </c>
      <c r="Z177">
        <v>0.59756900000000002</v>
      </c>
      <c r="AA177">
        <v>0.60846500000000003</v>
      </c>
      <c r="AB177">
        <v>0.54781199999999997</v>
      </c>
      <c r="AC177">
        <v>0.55671599999999999</v>
      </c>
      <c r="AD177">
        <v>0.55671599999999999</v>
      </c>
      <c r="AE177">
        <v>1291715346</v>
      </c>
      <c r="AK177" s="1">
        <v>44697</v>
      </c>
      <c r="AL177">
        <f t="shared" si="2"/>
        <v>2145.836914</v>
      </c>
      <c r="AM177">
        <f>INDEX(A:AE,MATCH(AK177,worksheet!A:A,0),MATCH(worksheet!AM176,worksheet!A176:AE176,0))</f>
        <v>31304.375</v>
      </c>
      <c r="AN177">
        <f>INDEX(A:AE,MATCH(AK177,worksheet!A:A,0),MATCH(worksheet!AN176,worksheet!A176:AE176,0))</f>
        <v>0.59756900000000002</v>
      </c>
      <c r="AO177">
        <f>INDEX(A:AE,MATCH(AK177,worksheet!A:A,0),MATCH(worksheet!AO176,worksheet!A176:AE176,0))</f>
        <v>0.99908399999999997</v>
      </c>
      <c r="AP177">
        <f>INDEX(A:AE,MATCH(AK177,worksheet!A:A,0),MATCH(worksheet!AP176,worksheet!A176:AE176,0))</f>
        <v>1.0001949999999999</v>
      </c>
    </row>
    <row r="178" spans="1:42" x14ac:dyDescent="0.25">
      <c r="A178" s="1">
        <v>44698</v>
      </c>
      <c r="B178">
        <v>2022.8823239999999</v>
      </c>
      <c r="C178">
        <v>2113.0598140000002</v>
      </c>
      <c r="D178">
        <v>2015.971558</v>
      </c>
      <c r="E178">
        <v>2090.4091800000001</v>
      </c>
      <c r="F178">
        <v>2090.4091800000001</v>
      </c>
      <c r="G178">
        <v>18509929297</v>
      </c>
      <c r="H178">
        <v>29862.408202999999</v>
      </c>
      <c r="I178">
        <v>30694.490234000001</v>
      </c>
      <c r="J178">
        <v>29570.302734000001</v>
      </c>
      <c r="K178">
        <v>30425.857422000001</v>
      </c>
      <c r="L178">
        <v>30425.857422000001</v>
      </c>
      <c r="M178">
        <v>29101473475</v>
      </c>
      <c r="N178">
        <v>0.99877199999999999</v>
      </c>
      <c r="O178">
        <v>0.99910699999999997</v>
      </c>
      <c r="P178">
        <v>0.99865000000000004</v>
      </c>
      <c r="Q178">
        <v>0.99890900000000005</v>
      </c>
      <c r="R178">
        <v>0.99890900000000005</v>
      </c>
      <c r="S178">
        <v>55745978864</v>
      </c>
      <c r="T178">
        <v>1.000623</v>
      </c>
      <c r="U178">
        <v>1.001045</v>
      </c>
      <c r="V178">
        <v>0.99994000000000005</v>
      </c>
      <c r="W178">
        <v>1.000219</v>
      </c>
      <c r="X178">
        <v>1.000219</v>
      </c>
      <c r="Y178">
        <v>5271575140</v>
      </c>
      <c r="Z178">
        <v>0.55669599999999997</v>
      </c>
      <c r="AA178">
        <v>0.59788600000000003</v>
      </c>
      <c r="AB178">
        <v>0.55438399999999999</v>
      </c>
      <c r="AC178">
        <v>0.57807699999999995</v>
      </c>
      <c r="AD178">
        <v>0.57807699999999995</v>
      </c>
      <c r="AE178">
        <v>935138863</v>
      </c>
      <c r="AK178" s="1">
        <v>44698</v>
      </c>
      <c r="AL178">
        <f t="shared" si="2"/>
        <v>2022.8823239999999</v>
      </c>
      <c r="AM178">
        <f>INDEX(A:AE,MATCH(AK178,worksheet!A:A,0),MATCH(worksheet!AM177,worksheet!A177:AE177,0))</f>
        <v>29862.408202999999</v>
      </c>
      <c r="AN178">
        <f>INDEX(A:AE,MATCH(AK178,worksheet!A:A,0),MATCH(worksheet!AN177,worksheet!A177:AE177,0))</f>
        <v>0.55669599999999997</v>
      </c>
      <c r="AO178">
        <f>INDEX(A:AE,MATCH(AK178,worksheet!A:A,0),MATCH(worksheet!AO177,worksheet!A177:AE177,0))</f>
        <v>0.99877199999999999</v>
      </c>
      <c r="AP178">
        <f>INDEX(A:AE,MATCH(AK178,worksheet!A:A,0),MATCH(worksheet!AP177,worksheet!A177:AE177,0))</f>
        <v>1.000623</v>
      </c>
    </row>
    <row r="179" spans="1:42" x14ac:dyDescent="0.25">
      <c r="A179" s="1">
        <v>44699</v>
      </c>
      <c r="B179">
        <v>2090.459961</v>
      </c>
      <c r="C179">
        <v>2102.3266600000002</v>
      </c>
      <c r="D179">
        <v>1916.6561280000001</v>
      </c>
      <c r="E179">
        <v>1916.6561280000001</v>
      </c>
      <c r="F179">
        <v>1916.6561280000001</v>
      </c>
      <c r="G179">
        <v>17740965589</v>
      </c>
      <c r="H179">
        <v>30424.478515999999</v>
      </c>
      <c r="I179">
        <v>30618.716797000001</v>
      </c>
      <c r="J179">
        <v>28720.271484000001</v>
      </c>
      <c r="K179">
        <v>28720.271484000001</v>
      </c>
      <c r="L179">
        <v>28720.271484000001</v>
      </c>
      <c r="M179">
        <v>31285268319</v>
      </c>
      <c r="N179">
        <v>0.99890199999999996</v>
      </c>
      <c r="O179">
        <v>0.99914999999999998</v>
      </c>
      <c r="P179">
        <v>0.99854200000000004</v>
      </c>
      <c r="Q179">
        <v>0.99880199999999997</v>
      </c>
      <c r="R179">
        <v>0.99880199999999997</v>
      </c>
      <c r="S179">
        <v>56067250693</v>
      </c>
      <c r="T179">
        <v>1.000219</v>
      </c>
      <c r="U179">
        <v>1.000799</v>
      </c>
      <c r="V179">
        <v>0.99977099999999997</v>
      </c>
      <c r="W179">
        <v>0.99977099999999997</v>
      </c>
      <c r="X179">
        <v>0.99977099999999997</v>
      </c>
      <c r="Y179">
        <v>5791540700</v>
      </c>
      <c r="Z179">
        <v>0.57805700000000004</v>
      </c>
      <c r="AA179">
        <v>0.58449899999999999</v>
      </c>
      <c r="AB179">
        <v>0.50561500000000004</v>
      </c>
      <c r="AC179">
        <v>0.50561500000000004</v>
      </c>
      <c r="AD179">
        <v>0.50561500000000004</v>
      </c>
      <c r="AE179">
        <v>933793601</v>
      </c>
      <c r="AK179" s="1">
        <v>44699</v>
      </c>
      <c r="AL179">
        <f t="shared" si="2"/>
        <v>2090.459961</v>
      </c>
      <c r="AM179">
        <f>INDEX(A:AE,MATCH(AK179,worksheet!A:A,0),MATCH(worksheet!AM178,worksheet!A178:AE178,0))</f>
        <v>30424.478515999999</v>
      </c>
      <c r="AN179">
        <f>INDEX(A:AE,MATCH(AK179,worksheet!A:A,0),MATCH(worksheet!AN178,worksheet!A178:AE178,0))</f>
        <v>0.57805700000000004</v>
      </c>
      <c r="AO179">
        <f>INDEX(A:AE,MATCH(AK179,worksheet!A:A,0),MATCH(worksheet!AO178,worksheet!A178:AE178,0))</f>
        <v>0.99890199999999996</v>
      </c>
      <c r="AP179">
        <f>INDEX(A:AE,MATCH(AK179,worksheet!A:A,0),MATCH(worksheet!AP178,worksheet!A178:AE178,0))</f>
        <v>1.000219</v>
      </c>
    </row>
    <row r="180" spans="1:42" x14ac:dyDescent="0.25">
      <c r="A180" s="1">
        <v>44700</v>
      </c>
      <c r="B180">
        <v>1916.1495359999999</v>
      </c>
      <c r="C180">
        <v>2028.3881839999999</v>
      </c>
      <c r="D180">
        <v>1907.0205080000001</v>
      </c>
      <c r="E180">
        <v>2018.336182</v>
      </c>
      <c r="F180">
        <v>2018.336182</v>
      </c>
      <c r="G180">
        <v>18734247914</v>
      </c>
      <c r="H180">
        <v>28720.359375</v>
      </c>
      <c r="I180">
        <v>30430.751952999999</v>
      </c>
      <c r="J180">
        <v>28708.955077999999</v>
      </c>
      <c r="K180">
        <v>30314.333984000001</v>
      </c>
      <c r="L180">
        <v>30314.333984000001</v>
      </c>
      <c r="M180">
        <v>33773447707</v>
      </c>
      <c r="N180">
        <v>0.99878599999999995</v>
      </c>
      <c r="O180">
        <v>0.99912199999999995</v>
      </c>
      <c r="P180">
        <v>0.99855000000000005</v>
      </c>
      <c r="Q180">
        <v>0.99897100000000005</v>
      </c>
      <c r="R180">
        <v>0.99897100000000005</v>
      </c>
      <c r="S180">
        <v>59651836770</v>
      </c>
      <c r="T180">
        <v>0.99980999999999998</v>
      </c>
      <c r="U180">
        <v>1.0008220000000001</v>
      </c>
      <c r="V180">
        <v>0.99980999999999998</v>
      </c>
      <c r="W180">
        <v>1.0002690000000001</v>
      </c>
      <c r="X180">
        <v>1.0002690000000001</v>
      </c>
      <c r="Y180">
        <v>6580258237</v>
      </c>
      <c r="Z180">
        <v>0.50549900000000003</v>
      </c>
      <c r="AA180">
        <v>0.54424899999999998</v>
      </c>
      <c r="AB180">
        <v>0.49561100000000002</v>
      </c>
      <c r="AC180">
        <v>0.53332100000000005</v>
      </c>
      <c r="AD180">
        <v>0.53332100000000005</v>
      </c>
      <c r="AE180">
        <v>939230823</v>
      </c>
      <c r="AK180" s="1">
        <v>44700</v>
      </c>
      <c r="AL180">
        <f t="shared" si="2"/>
        <v>1916.1495359999999</v>
      </c>
      <c r="AM180">
        <f>INDEX(A:AE,MATCH(AK180,worksheet!A:A,0),MATCH(worksheet!AM179,worksheet!A179:AE179,0))</f>
        <v>28720.359375</v>
      </c>
      <c r="AN180">
        <f>INDEX(A:AE,MATCH(AK180,worksheet!A:A,0),MATCH(worksheet!AN179,worksheet!A179:AE179,0))</f>
        <v>0.50549900000000003</v>
      </c>
      <c r="AO180">
        <f>INDEX(A:AE,MATCH(AK180,worksheet!A:A,0),MATCH(worksheet!AO179,worksheet!A179:AE179,0))</f>
        <v>0.99878599999999995</v>
      </c>
      <c r="AP180">
        <f>INDEX(A:AE,MATCH(AK180,worksheet!A:A,0),MATCH(worksheet!AP179,worksheet!A179:AE179,0))</f>
        <v>0.99980999999999998</v>
      </c>
    </row>
    <row r="181" spans="1:42" x14ac:dyDescent="0.25">
      <c r="A181" s="1">
        <v>44701</v>
      </c>
      <c r="B181">
        <v>2018.0001219999999</v>
      </c>
      <c r="C181">
        <v>2054.7958979999999</v>
      </c>
      <c r="D181">
        <v>1926.6767580000001</v>
      </c>
      <c r="E181">
        <v>1961.3156739999999</v>
      </c>
      <c r="F181">
        <v>1961.3156739999999</v>
      </c>
      <c r="G181">
        <v>15892482289</v>
      </c>
      <c r="H181">
        <v>30311.119140999999</v>
      </c>
      <c r="I181">
        <v>30664.976563</v>
      </c>
      <c r="J181">
        <v>28793.605468999998</v>
      </c>
      <c r="K181">
        <v>29200.740234000001</v>
      </c>
      <c r="L181">
        <v>29200.740234000001</v>
      </c>
      <c r="M181">
        <v>30749382605</v>
      </c>
      <c r="N181">
        <v>0.99895599999999996</v>
      </c>
      <c r="O181">
        <v>0.99936999999999998</v>
      </c>
      <c r="P181">
        <v>0.99870000000000003</v>
      </c>
      <c r="Q181">
        <v>0.99881799999999998</v>
      </c>
      <c r="R181">
        <v>0.99881799999999998</v>
      </c>
      <c r="S181">
        <v>54960961209</v>
      </c>
      <c r="T181">
        <v>1.000278</v>
      </c>
      <c r="U181">
        <v>1.0008870000000001</v>
      </c>
      <c r="V181">
        <v>0.99978699999999998</v>
      </c>
      <c r="W181">
        <v>0.99990699999999999</v>
      </c>
      <c r="X181">
        <v>0.99990699999999999</v>
      </c>
      <c r="Y181">
        <v>5519038708</v>
      </c>
      <c r="Z181">
        <v>0.53336399999999995</v>
      </c>
      <c r="AA181">
        <v>0.54341099999999998</v>
      </c>
      <c r="AB181">
        <v>0.50313799999999997</v>
      </c>
      <c r="AC181">
        <v>0.51790700000000001</v>
      </c>
      <c r="AD181">
        <v>0.51790700000000001</v>
      </c>
      <c r="AE181">
        <v>722609837</v>
      </c>
      <c r="AK181" s="1">
        <v>44701</v>
      </c>
      <c r="AL181">
        <f t="shared" si="2"/>
        <v>2018.0001219999999</v>
      </c>
      <c r="AM181">
        <f>INDEX(A:AE,MATCH(AK181,worksheet!A:A,0),MATCH(worksheet!AM180,worksheet!A180:AE180,0))</f>
        <v>30311.119140999999</v>
      </c>
      <c r="AN181">
        <f>INDEX(A:AE,MATCH(AK181,worksheet!A:A,0),MATCH(worksheet!AN180,worksheet!A180:AE180,0))</f>
        <v>0.53336399999999995</v>
      </c>
      <c r="AO181">
        <f>INDEX(A:AE,MATCH(AK181,worksheet!A:A,0),MATCH(worksheet!AO180,worksheet!A180:AE180,0))</f>
        <v>0.99895599999999996</v>
      </c>
      <c r="AP181">
        <f>INDEX(A:AE,MATCH(AK181,worksheet!A:A,0),MATCH(worksheet!AP180,worksheet!A180:AE180,0))</f>
        <v>1.000278</v>
      </c>
    </row>
    <row r="182" spans="1:42" x14ac:dyDescent="0.25">
      <c r="A182" s="1">
        <v>44702</v>
      </c>
      <c r="B182">
        <v>1961.0179439999999</v>
      </c>
      <c r="C182">
        <v>1985.395996</v>
      </c>
      <c r="D182">
        <v>1944.2651370000001</v>
      </c>
      <c r="E182">
        <v>1974.518311</v>
      </c>
      <c r="F182">
        <v>1974.518311</v>
      </c>
      <c r="G182">
        <v>8546822406</v>
      </c>
      <c r="H182">
        <v>29199.859375</v>
      </c>
      <c r="I182">
        <v>29588.869140999999</v>
      </c>
      <c r="J182">
        <v>29027.394531000002</v>
      </c>
      <c r="K182">
        <v>29432.226563</v>
      </c>
      <c r="L182">
        <v>29432.226563</v>
      </c>
      <c r="M182">
        <v>17274840442</v>
      </c>
      <c r="N182">
        <v>0.99889399999999995</v>
      </c>
      <c r="O182">
        <v>0.99903799999999998</v>
      </c>
      <c r="P182">
        <v>0.99859900000000001</v>
      </c>
      <c r="Q182">
        <v>0.99879300000000004</v>
      </c>
      <c r="R182">
        <v>0.99879300000000004</v>
      </c>
      <c r="S182">
        <v>34924240134</v>
      </c>
      <c r="T182">
        <v>0.99994400000000006</v>
      </c>
      <c r="U182">
        <v>1.0008619999999999</v>
      </c>
      <c r="V182">
        <v>0.99986600000000003</v>
      </c>
      <c r="W182">
        <v>1.0002660000000001</v>
      </c>
      <c r="X182">
        <v>1.0002660000000001</v>
      </c>
      <c r="Y182">
        <v>3085866979</v>
      </c>
      <c r="Z182">
        <v>0.51790499999999995</v>
      </c>
      <c r="AA182">
        <v>0.53639000000000003</v>
      </c>
      <c r="AB182">
        <v>0.51142399999999999</v>
      </c>
      <c r="AC182">
        <v>0.52831399999999995</v>
      </c>
      <c r="AD182">
        <v>0.52831399999999995</v>
      </c>
      <c r="AE182">
        <v>428041383</v>
      </c>
      <c r="AK182" s="1">
        <v>44702</v>
      </c>
      <c r="AL182">
        <f t="shared" si="2"/>
        <v>1961.0179439999999</v>
      </c>
      <c r="AM182">
        <f>INDEX(A:AE,MATCH(AK182,worksheet!A:A,0),MATCH(worksheet!AM181,worksheet!A181:AE181,0))</f>
        <v>29199.859375</v>
      </c>
      <c r="AN182">
        <f>INDEX(A:AE,MATCH(AK182,worksheet!A:A,0),MATCH(worksheet!AN181,worksheet!A181:AE181,0))</f>
        <v>0.51790499999999995</v>
      </c>
      <c r="AO182">
        <f>INDEX(A:AE,MATCH(AK182,worksheet!A:A,0),MATCH(worksheet!AO181,worksheet!A181:AE181,0))</f>
        <v>0.99889399999999995</v>
      </c>
      <c r="AP182">
        <f>INDEX(A:AE,MATCH(AK182,worksheet!A:A,0),MATCH(worksheet!AP181,worksheet!A181:AE181,0))</f>
        <v>0.99994400000000006</v>
      </c>
    </row>
    <row r="183" spans="1:42" x14ac:dyDescent="0.25">
      <c r="A183" s="1">
        <v>44703</v>
      </c>
      <c r="B183">
        <v>1974.670654</v>
      </c>
      <c r="C183">
        <v>2047.1914059999999</v>
      </c>
      <c r="D183">
        <v>1966.038818</v>
      </c>
      <c r="E183">
        <v>2043.1701660000001</v>
      </c>
      <c r="F183">
        <v>2043.1701660000001</v>
      </c>
      <c r="G183">
        <v>10941123403</v>
      </c>
      <c r="H183">
        <v>29432.472656000002</v>
      </c>
      <c r="I183">
        <v>30425.861327999999</v>
      </c>
      <c r="J183">
        <v>29275.183593999998</v>
      </c>
      <c r="K183">
        <v>30323.722656000002</v>
      </c>
      <c r="L183">
        <v>30323.722656000002</v>
      </c>
      <c r="M183">
        <v>21631532270</v>
      </c>
      <c r="N183">
        <v>0.99878699999999998</v>
      </c>
      <c r="O183">
        <v>0.99912100000000004</v>
      </c>
      <c r="P183">
        <v>0.99858999999999998</v>
      </c>
      <c r="Q183">
        <v>0.99906600000000001</v>
      </c>
      <c r="R183">
        <v>0.99906600000000001</v>
      </c>
      <c r="S183">
        <v>40965864100</v>
      </c>
      <c r="T183">
        <v>1.0002549999999999</v>
      </c>
      <c r="U183">
        <v>1.000834</v>
      </c>
      <c r="V183">
        <v>0.99993699999999996</v>
      </c>
      <c r="W183">
        <v>1.000092</v>
      </c>
      <c r="X183">
        <v>1.000092</v>
      </c>
      <c r="Y183">
        <v>3493584223</v>
      </c>
      <c r="Z183">
        <v>0.52834400000000004</v>
      </c>
      <c r="AA183">
        <v>0.54701699999999998</v>
      </c>
      <c r="AB183">
        <v>0.523393</v>
      </c>
      <c r="AC183">
        <v>0.54261800000000004</v>
      </c>
      <c r="AD183">
        <v>0.54261800000000004</v>
      </c>
      <c r="AE183">
        <v>489742264</v>
      </c>
      <c r="AK183" s="1">
        <v>44703</v>
      </c>
      <c r="AL183">
        <f t="shared" si="2"/>
        <v>1974.670654</v>
      </c>
      <c r="AM183">
        <f>INDEX(A:AE,MATCH(AK183,worksheet!A:A,0),MATCH(worksheet!AM182,worksheet!A182:AE182,0))</f>
        <v>29432.472656000002</v>
      </c>
      <c r="AN183">
        <f>INDEX(A:AE,MATCH(AK183,worksheet!A:A,0),MATCH(worksheet!AN182,worksheet!A182:AE182,0))</f>
        <v>0.52834400000000004</v>
      </c>
      <c r="AO183">
        <f>INDEX(A:AE,MATCH(AK183,worksheet!A:A,0),MATCH(worksheet!AO182,worksheet!A182:AE182,0))</f>
        <v>0.99878699999999998</v>
      </c>
      <c r="AP183">
        <f>INDEX(A:AE,MATCH(AK183,worksheet!A:A,0),MATCH(worksheet!AP182,worksheet!A182:AE182,0))</f>
        <v>1.0002549999999999</v>
      </c>
    </row>
    <row r="184" spans="1:42" x14ac:dyDescent="0.25">
      <c r="A184" s="1">
        <v>44704</v>
      </c>
      <c r="B184">
        <v>2042.3447269999999</v>
      </c>
      <c r="C184">
        <v>2080.3334960000002</v>
      </c>
      <c r="D184">
        <v>1964.3865969999999</v>
      </c>
      <c r="E184">
        <v>1972.181885</v>
      </c>
      <c r="F184">
        <v>1972.181885</v>
      </c>
      <c r="G184">
        <v>16434529708</v>
      </c>
      <c r="H184">
        <v>30309.396484000001</v>
      </c>
      <c r="I184">
        <v>30590.585938</v>
      </c>
      <c r="J184">
        <v>28975.560547000001</v>
      </c>
      <c r="K184">
        <v>29098.910156000002</v>
      </c>
      <c r="L184">
        <v>29098.910156000002</v>
      </c>
      <c r="M184">
        <v>31483454557</v>
      </c>
      <c r="N184">
        <v>0.99906499999999998</v>
      </c>
      <c r="O184">
        <v>0.99929400000000002</v>
      </c>
      <c r="P184">
        <v>0.99882899999999997</v>
      </c>
      <c r="Q184">
        <v>0.99908799999999998</v>
      </c>
      <c r="R184">
        <v>0.99908799999999998</v>
      </c>
      <c r="S184">
        <v>58585612765</v>
      </c>
      <c r="T184">
        <v>1.0001150000000001</v>
      </c>
      <c r="U184">
        <v>1.0009060000000001</v>
      </c>
      <c r="V184">
        <v>0.99972799999999995</v>
      </c>
      <c r="W184">
        <v>1.0001409999999999</v>
      </c>
      <c r="X184">
        <v>1.0001409999999999</v>
      </c>
      <c r="Y184">
        <v>5594245864</v>
      </c>
      <c r="Z184">
        <v>0.54248399999999997</v>
      </c>
      <c r="AA184">
        <v>0.557805</v>
      </c>
      <c r="AB184">
        <v>0.50943300000000002</v>
      </c>
      <c r="AC184">
        <v>0.51260499999999998</v>
      </c>
      <c r="AD184">
        <v>0.51260499999999998</v>
      </c>
      <c r="AE184">
        <v>753004177</v>
      </c>
      <c r="AK184" s="1">
        <v>44704</v>
      </c>
      <c r="AL184">
        <f t="shared" si="2"/>
        <v>2042.3447269999999</v>
      </c>
      <c r="AM184">
        <f>INDEX(A:AE,MATCH(AK184,worksheet!A:A,0),MATCH(worksheet!AM183,worksheet!A183:AE183,0))</f>
        <v>30309.396484000001</v>
      </c>
      <c r="AN184">
        <f>INDEX(A:AE,MATCH(AK184,worksheet!A:A,0),MATCH(worksheet!AN183,worksheet!A183:AE183,0))</f>
        <v>0.54248399999999997</v>
      </c>
      <c r="AO184">
        <f>INDEX(A:AE,MATCH(AK184,worksheet!A:A,0),MATCH(worksheet!AO183,worksheet!A183:AE183,0))</f>
        <v>0.99906499999999998</v>
      </c>
      <c r="AP184">
        <f>INDEX(A:AE,MATCH(AK184,worksheet!A:A,0),MATCH(worksheet!AP183,worksheet!A183:AE183,0))</f>
        <v>1.0001150000000001</v>
      </c>
    </row>
    <row r="185" spans="1:42" x14ac:dyDescent="0.25">
      <c r="A185" s="1">
        <v>44705</v>
      </c>
      <c r="B185">
        <v>1972.3908690000001</v>
      </c>
      <c r="C185">
        <v>1991.5355219999999</v>
      </c>
      <c r="D185">
        <v>1920.6881100000001</v>
      </c>
      <c r="E185">
        <v>1978.982788</v>
      </c>
      <c r="F185">
        <v>1978.982788</v>
      </c>
      <c r="G185">
        <v>13057109007</v>
      </c>
      <c r="H185">
        <v>29101.125</v>
      </c>
      <c r="I185">
        <v>29774.355468999998</v>
      </c>
      <c r="J185">
        <v>28786.589843999998</v>
      </c>
      <c r="K185">
        <v>29655.585938</v>
      </c>
      <c r="L185">
        <v>29655.585938</v>
      </c>
      <c r="M185">
        <v>26616506245</v>
      </c>
      <c r="N185">
        <v>0.99904800000000005</v>
      </c>
      <c r="O185">
        <v>0.99920399999999998</v>
      </c>
      <c r="P185">
        <v>0.99884700000000004</v>
      </c>
      <c r="Q185">
        <v>0.99910699999999997</v>
      </c>
      <c r="R185">
        <v>0.99910699999999997</v>
      </c>
      <c r="S185">
        <v>51053417289</v>
      </c>
      <c r="T185">
        <v>1.000149</v>
      </c>
      <c r="U185">
        <v>1.000907</v>
      </c>
      <c r="V185">
        <v>0.99973800000000002</v>
      </c>
      <c r="W185">
        <v>1.0001789999999999</v>
      </c>
      <c r="X185">
        <v>1.0001789999999999</v>
      </c>
      <c r="Y185">
        <v>4616931095</v>
      </c>
      <c r="Z185">
        <v>0.512687</v>
      </c>
      <c r="AA185">
        <v>0.52425900000000003</v>
      </c>
      <c r="AB185">
        <v>0.49595699999999998</v>
      </c>
      <c r="AC185">
        <v>0.52122400000000002</v>
      </c>
      <c r="AD185">
        <v>0.52122400000000002</v>
      </c>
      <c r="AE185">
        <v>678125877</v>
      </c>
      <c r="AK185" s="1">
        <v>44705</v>
      </c>
      <c r="AL185">
        <f t="shared" si="2"/>
        <v>1972.3908690000001</v>
      </c>
      <c r="AM185">
        <f>INDEX(A:AE,MATCH(AK185,worksheet!A:A,0),MATCH(worksheet!AM184,worksheet!A184:AE184,0))</f>
        <v>29101.125</v>
      </c>
      <c r="AN185">
        <f>INDEX(A:AE,MATCH(AK185,worksheet!A:A,0),MATCH(worksheet!AN184,worksheet!A184:AE184,0))</f>
        <v>0.512687</v>
      </c>
      <c r="AO185">
        <f>INDEX(A:AE,MATCH(AK185,worksheet!A:A,0),MATCH(worksheet!AO184,worksheet!A184:AE184,0))</f>
        <v>0.99904800000000005</v>
      </c>
      <c r="AP185">
        <f>INDEX(A:AE,MATCH(AK185,worksheet!A:A,0),MATCH(worksheet!AP184,worksheet!A184:AE184,0))</f>
        <v>1.000149</v>
      </c>
    </row>
    <row r="186" spans="1:42" x14ac:dyDescent="0.25">
      <c r="A186" s="1">
        <v>44706</v>
      </c>
      <c r="B186">
        <v>1978.6770019999999</v>
      </c>
      <c r="C186">
        <v>2014.3695070000001</v>
      </c>
      <c r="D186">
        <v>1943.9385990000001</v>
      </c>
      <c r="E186">
        <v>1944.8278809999999</v>
      </c>
      <c r="F186">
        <v>1944.8278809999999</v>
      </c>
      <c r="G186">
        <v>13364545730</v>
      </c>
      <c r="H186">
        <v>29653.134765999999</v>
      </c>
      <c r="I186">
        <v>30157.785156000002</v>
      </c>
      <c r="J186">
        <v>29384.949218999998</v>
      </c>
      <c r="K186">
        <v>29562.361327999999</v>
      </c>
      <c r="L186">
        <v>29562.361327999999</v>
      </c>
      <c r="M186">
        <v>27525063551</v>
      </c>
      <c r="N186">
        <v>0.99909300000000001</v>
      </c>
      <c r="O186">
        <v>0.99918499999999999</v>
      </c>
      <c r="P186">
        <v>0.99881699999999995</v>
      </c>
      <c r="Q186">
        <v>0.99897599999999998</v>
      </c>
      <c r="R186">
        <v>0.99897599999999998</v>
      </c>
      <c r="S186">
        <v>50311844127</v>
      </c>
      <c r="T186">
        <v>1.0001770000000001</v>
      </c>
      <c r="U186">
        <v>1.001007</v>
      </c>
      <c r="V186">
        <v>0.99977800000000006</v>
      </c>
      <c r="W186">
        <v>0.99982099999999996</v>
      </c>
      <c r="X186">
        <v>0.99982099999999996</v>
      </c>
      <c r="Y186">
        <v>4580073336</v>
      </c>
      <c r="Z186">
        <v>0.52124199999999998</v>
      </c>
      <c r="AA186">
        <v>0.53146199999999999</v>
      </c>
      <c r="AB186">
        <v>0.50828899999999999</v>
      </c>
      <c r="AC186">
        <v>0.51387700000000003</v>
      </c>
      <c r="AD186">
        <v>0.51387700000000003</v>
      </c>
      <c r="AE186">
        <v>589015500</v>
      </c>
      <c r="AK186" s="1">
        <v>44706</v>
      </c>
      <c r="AL186">
        <f t="shared" si="2"/>
        <v>1978.6770019999999</v>
      </c>
      <c r="AM186">
        <f>INDEX(A:AE,MATCH(AK186,worksheet!A:A,0),MATCH(worksheet!AM185,worksheet!A185:AE185,0))</f>
        <v>29653.134765999999</v>
      </c>
      <c r="AN186">
        <f>INDEX(A:AE,MATCH(AK186,worksheet!A:A,0),MATCH(worksheet!AN185,worksheet!A185:AE185,0))</f>
        <v>0.52124199999999998</v>
      </c>
      <c r="AO186">
        <f>INDEX(A:AE,MATCH(AK186,worksheet!A:A,0),MATCH(worksheet!AO185,worksheet!A185:AE185,0))</f>
        <v>0.99909300000000001</v>
      </c>
      <c r="AP186">
        <f>INDEX(A:AE,MATCH(AK186,worksheet!A:A,0),MATCH(worksheet!AP185,worksheet!A185:AE185,0))</f>
        <v>1.0001770000000001</v>
      </c>
    </row>
    <row r="187" spans="1:42" x14ac:dyDescent="0.25">
      <c r="A187" s="1">
        <v>44707</v>
      </c>
      <c r="B187">
        <v>1945.0333250000001</v>
      </c>
      <c r="C187">
        <v>1962.171143</v>
      </c>
      <c r="D187">
        <v>1759.1995850000001</v>
      </c>
      <c r="E187">
        <v>1803.9133300000001</v>
      </c>
      <c r="F187">
        <v>1803.9133300000001</v>
      </c>
      <c r="G187">
        <v>23458681818</v>
      </c>
      <c r="H187">
        <v>29564.777343999998</v>
      </c>
      <c r="I187">
        <v>29834.160156000002</v>
      </c>
      <c r="J187">
        <v>28261.90625</v>
      </c>
      <c r="K187">
        <v>29267.224609000001</v>
      </c>
      <c r="L187">
        <v>29267.224609000001</v>
      </c>
      <c r="M187">
        <v>36774325352</v>
      </c>
      <c r="N187">
        <v>0.99896700000000005</v>
      </c>
      <c r="O187">
        <v>0.99921199999999999</v>
      </c>
      <c r="P187">
        <v>0.99878299999999998</v>
      </c>
      <c r="Q187">
        <v>0.99890699999999999</v>
      </c>
      <c r="R187">
        <v>0.99890699999999999</v>
      </c>
      <c r="S187">
        <v>67771285444</v>
      </c>
      <c r="T187">
        <v>0.999838</v>
      </c>
      <c r="U187">
        <v>1.001172</v>
      </c>
      <c r="V187">
        <v>0.99973999999999996</v>
      </c>
      <c r="W187">
        <v>0.99992999999999999</v>
      </c>
      <c r="X187">
        <v>0.99992999999999999</v>
      </c>
      <c r="Y187">
        <v>6850921932</v>
      </c>
      <c r="Z187">
        <v>0.51395299999999999</v>
      </c>
      <c r="AA187">
        <v>0.52010800000000001</v>
      </c>
      <c r="AB187">
        <v>0.466368</v>
      </c>
      <c r="AC187">
        <v>0.480883</v>
      </c>
      <c r="AD187">
        <v>0.480883</v>
      </c>
      <c r="AE187">
        <v>909554798</v>
      </c>
      <c r="AK187" s="1">
        <v>44707</v>
      </c>
      <c r="AL187">
        <f t="shared" si="2"/>
        <v>1945.0333250000001</v>
      </c>
      <c r="AM187">
        <f>INDEX(A:AE,MATCH(AK187,worksheet!A:A,0),MATCH(worksheet!AM186,worksheet!A186:AE186,0))</f>
        <v>29564.777343999998</v>
      </c>
      <c r="AN187">
        <f>INDEX(A:AE,MATCH(AK187,worksheet!A:A,0),MATCH(worksheet!AN186,worksheet!A186:AE186,0))</f>
        <v>0.51395299999999999</v>
      </c>
      <c r="AO187">
        <f>INDEX(A:AE,MATCH(AK187,worksheet!A:A,0),MATCH(worksheet!AO186,worksheet!A186:AE186,0))</f>
        <v>0.99896700000000005</v>
      </c>
      <c r="AP187">
        <f>INDEX(A:AE,MATCH(AK187,worksheet!A:A,0),MATCH(worksheet!AP186,worksheet!A186:AE186,0))</f>
        <v>0.999838</v>
      </c>
    </row>
    <row r="188" spans="1:42" x14ac:dyDescent="0.25">
      <c r="A188" s="1">
        <v>44708</v>
      </c>
      <c r="B188">
        <v>1802.543823</v>
      </c>
      <c r="C188">
        <v>1814.6564940000001</v>
      </c>
      <c r="D188">
        <v>1721.2647710000001</v>
      </c>
      <c r="E188">
        <v>1724.9228519999999</v>
      </c>
      <c r="F188">
        <v>1724.9228519999999</v>
      </c>
      <c r="G188">
        <v>25470760032</v>
      </c>
      <c r="H188">
        <v>29251.140625</v>
      </c>
      <c r="I188">
        <v>29346.943359000001</v>
      </c>
      <c r="J188">
        <v>28326.613281000002</v>
      </c>
      <c r="K188">
        <v>28627.574218999998</v>
      </c>
      <c r="L188">
        <v>28627.574218999998</v>
      </c>
      <c r="M188">
        <v>36582005748</v>
      </c>
      <c r="N188">
        <v>0.99890199999999996</v>
      </c>
      <c r="O188">
        <v>0.99918399999999996</v>
      </c>
      <c r="P188">
        <v>0.99878699999999998</v>
      </c>
      <c r="Q188">
        <v>0.99886299999999995</v>
      </c>
      <c r="R188">
        <v>0.99886299999999995</v>
      </c>
      <c r="S188">
        <v>67961870830</v>
      </c>
      <c r="T188">
        <v>0.99996399999999996</v>
      </c>
      <c r="U188">
        <v>1.001228</v>
      </c>
      <c r="V188">
        <v>0.99970499999999995</v>
      </c>
      <c r="W188">
        <v>1.0004029999999999</v>
      </c>
      <c r="X188">
        <v>1.0004029999999999</v>
      </c>
      <c r="Y188">
        <v>6832701659</v>
      </c>
      <c r="Z188">
        <v>0.48064299999999999</v>
      </c>
      <c r="AA188">
        <v>0.48287099999999999</v>
      </c>
      <c r="AB188">
        <v>0.44736700000000001</v>
      </c>
      <c r="AC188">
        <v>0.455507</v>
      </c>
      <c r="AD188">
        <v>0.455507</v>
      </c>
      <c r="AE188">
        <v>922413717</v>
      </c>
      <c r="AK188" s="1">
        <v>44708</v>
      </c>
      <c r="AL188">
        <f t="shared" si="2"/>
        <v>1802.543823</v>
      </c>
      <c r="AM188">
        <f>INDEX(A:AE,MATCH(AK188,worksheet!A:A,0),MATCH(worksheet!AM187,worksheet!A187:AE187,0))</f>
        <v>29251.140625</v>
      </c>
      <c r="AN188">
        <f>INDEX(A:AE,MATCH(AK188,worksheet!A:A,0),MATCH(worksheet!AN187,worksheet!A187:AE187,0))</f>
        <v>0.48064299999999999</v>
      </c>
      <c r="AO188">
        <f>INDEX(A:AE,MATCH(AK188,worksheet!A:A,0),MATCH(worksheet!AO187,worksheet!A187:AE187,0))</f>
        <v>0.99890199999999996</v>
      </c>
      <c r="AP188">
        <f>INDEX(A:AE,MATCH(AK188,worksheet!A:A,0),MATCH(worksheet!AP187,worksheet!A187:AE187,0))</f>
        <v>0.99996399999999996</v>
      </c>
    </row>
    <row r="189" spans="1:42" x14ac:dyDescent="0.25">
      <c r="A189" s="1">
        <v>44709</v>
      </c>
      <c r="B189">
        <v>1724.635986</v>
      </c>
      <c r="C189">
        <v>1757.9417719999999</v>
      </c>
      <c r="D189">
        <v>1724.635986</v>
      </c>
      <c r="E189">
        <v>1757.9417719999999</v>
      </c>
      <c r="F189">
        <v>1757.9417719999999</v>
      </c>
      <c r="G189">
        <v>23214777872</v>
      </c>
      <c r="H189">
        <v>28622.625</v>
      </c>
      <c r="I189">
        <v>28814.900390999999</v>
      </c>
      <c r="J189">
        <v>28554.566406000002</v>
      </c>
      <c r="K189">
        <v>28814.900390999999</v>
      </c>
      <c r="L189">
        <v>28814.900390999999</v>
      </c>
      <c r="M189">
        <v>35519577634</v>
      </c>
      <c r="N189">
        <v>0.99901099999999998</v>
      </c>
      <c r="O189">
        <v>0.99918899999999999</v>
      </c>
      <c r="P189">
        <v>0.99877899999999997</v>
      </c>
      <c r="Q189">
        <v>0.99900199999999995</v>
      </c>
      <c r="R189">
        <v>0.99900199999999995</v>
      </c>
      <c r="S189">
        <v>37159842905</v>
      </c>
      <c r="T189">
        <v>1.000251</v>
      </c>
      <c r="U189">
        <v>1.000847</v>
      </c>
      <c r="V189">
        <v>0.999838</v>
      </c>
      <c r="W189">
        <v>1.0001500000000001</v>
      </c>
      <c r="X189">
        <v>1.0001500000000001</v>
      </c>
      <c r="Y189">
        <v>4367920911</v>
      </c>
      <c r="Z189">
        <v>0.45817600000000003</v>
      </c>
      <c r="AA189">
        <v>0.467449</v>
      </c>
      <c r="AB189">
        <v>0.449708</v>
      </c>
      <c r="AC189">
        <v>0.46476400000000001</v>
      </c>
      <c r="AD189">
        <v>0.46476400000000001</v>
      </c>
      <c r="AE189">
        <v>448858644</v>
      </c>
      <c r="AK189" s="1">
        <v>44709</v>
      </c>
      <c r="AL189">
        <f t="shared" si="2"/>
        <v>1724.635986</v>
      </c>
      <c r="AM189">
        <f>INDEX(A:AE,MATCH(AK189,worksheet!A:A,0),MATCH(worksheet!AM188,worksheet!A188:AE188,0))</f>
        <v>28622.625</v>
      </c>
      <c r="AN189">
        <f>INDEX(A:AE,MATCH(AK189,worksheet!A:A,0),MATCH(worksheet!AN188,worksheet!A188:AE188,0))</f>
        <v>0.45817600000000003</v>
      </c>
      <c r="AO189">
        <f>INDEX(A:AE,MATCH(AK189,worksheet!A:A,0),MATCH(worksheet!AO188,worksheet!A188:AE188,0))</f>
        <v>0.99901099999999998</v>
      </c>
      <c r="AP189">
        <f>INDEX(A:AE,MATCH(AK189,worksheet!A:A,0),MATCH(worksheet!AP188,worksheet!A188:AE188,0))</f>
        <v>1.000251</v>
      </c>
    </row>
    <row r="190" spans="1:42" x14ac:dyDescent="0.25">
      <c r="A190" s="1">
        <v>44710</v>
      </c>
      <c r="B190">
        <v>1792.184448</v>
      </c>
      <c r="C190">
        <v>1818.776611</v>
      </c>
      <c r="D190">
        <v>1765.9373780000001</v>
      </c>
      <c r="E190">
        <v>1812.0310059999999</v>
      </c>
      <c r="F190">
        <v>1812.0310059999999</v>
      </c>
      <c r="G190">
        <v>10642556101</v>
      </c>
      <c r="H190">
        <v>29019.867188</v>
      </c>
      <c r="I190">
        <v>29498.009765999999</v>
      </c>
      <c r="J190">
        <v>28841.107422000001</v>
      </c>
      <c r="K190">
        <v>29445.957031000002</v>
      </c>
      <c r="L190">
        <v>29445.957031000002</v>
      </c>
      <c r="M190">
        <v>18093886409</v>
      </c>
      <c r="N190">
        <v>0.99900800000000001</v>
      </c>
      <c r="O190">
        <v>0.99924599999999997</v>
      </c>
      <c r="P190">
        <v>0.99890900000000005</v>
      </c>
      <c r="Q190">
        <v>0.99917800000000001</v>
      </c>
      <c r="R190">
        <v>0.99917800000000001</v>
      </c>
      <c r="S190">
        <v>34572061153</v>
      </c>
      <c r="T190">
        <v>1.000149</v>
      </c>
      <c r="U190">
        <v>1.000826</v>
      </c>
      <c r="V190">
        <v>0.99982800000000005</v>
      </c>
      <c r="W190">
        <v>1.000586</v>
      </c>
      <c r="X190">
        <v>1.000586</v>
      </c>
      <c r="Y190">
        <v>3972282488</v>
      </c>
      <c r="Z190">
        <v>0.46473199999999998</v>
      </c>
      <c r="AA190">
        <v>0.48184100000000002</v>
      </c>
      <c r="AB190">
        <v>0.45738000000000001</v>
      </c>
      <c r="AC190">
        <v>0.481126</v>
      </c>
      <c r="AD190">
        <v>0.481126</v>
      </c>
      <c r="AE190">
        <v>444269488</v>
      </c>
      <c r="AK190" s="1">
        <v>44710</v>
      </c>
      <c r="AL190">
        <f t="shared" si="2"/>
        <v>1792.184448</v>
      </c>
      <c r="AM190">
        <f>INDEX(A:AE,MATCH(AK190,worksheet!A:A,0),MATCH(worksheet!AM189,worksheet!A189:AE189,0))</f>
        <v>29019.867188</v>
      </c>
      <c r="AN190">
        <f>INDEX(A:AE,MATCH(AK190,worksheet!A:A,0),MATCH(worksheet!AN189,worksheet!A189:AE189,0))</f>
        <v>0.46473199999999998</v>
      </c>
      <c r="AO190">
        <f>INDEX(A:AE,MATCH(AK190,worksheet!A:A,0),MATCH(worksheet!AO189,worksheet!A189:AE189,0))</f>
        <v>0.99900800000000001</v>
      </c>
      <c r="AP190">
        <f>INDEX(A:AE,MATCH(AK190,worksheet!A:A,0),MATCH(worksheet!AP189,worksheet!A189:AE189,0))</f>
        <v>1.000149</v>
      </c>
    </row>
    <row r="191" spans="1:42" x14ac:dyDescent="0.25">
      <c r="A191" s="1">
        <v>44711</v>
      </c>
      <c r="B191">
        <v>1811.885986</v>
      </c>
      <c r="C191">
        <v>2005.2108149999999</v>
      </c>
      <c r="D191">
        <v>1804.4560550000001</v>
      </c>
      <c r="E191">
        <v>1996.441284</v>
      </c>
      <c r="F191">
        <v>1996.441284</v>
      </c>
      <c r="G191">
        <v>19580808705</v>
      </c>
      <c r="H191">
        <v>29443.365234000001</v>
      </c>
      <c r="I191">
        <v>31949.630859000001</v>
      </c>
      <c r="J191">
        <v>29303.572265999999</v>
      </c>
      <c r="K191">
        <v>31726.390625</v>
      </c>
      <c r="L191">
        <v>31726.390625</v>
      </c>
      <c r="M191">
        <v>39277993274</v>
      </c>
      <c r="N191">
        <v>0.99918700000000005</v>
      </c>
      <c r="O191">
        <v>0.99949699999999997</v>
      </c>
      <c r="P191">
        <v>0.99895800000000001</v>
      </c>
      <c r="Q191">
        <v>0.99937600000000004</v>
      </c>
      <c r="R191">
        <v>0.99937600000000004</v>
      </c>
      <c r="S191">
        <v>65155466235</v>
      </c>
      <c r="T191">
        <v>1.0005679999999999</v>
      </c>
      <c r="U191">
        <v>1.0008710000000001</v>
      </c>
      <c r="V191">
        <v>0.99958199999999997</v>
      </c>
      <c r="W191">
        <v>1.0000990000000001</v>
      </c>
      <c r="X191">
        <v>1.0000990000000001</v>
      </c>
      <c r="Y191">
        <v>6484139842</v>
      </c>
      <c r="Z191">
        <v>0.48113400000000001</v>
      </c>
      <c r="AA191">
        <v>0.57495600000000002</v>
      </c>
      <c r="AB191">
        <v>0.47808299999999998</v>
      </c>
      <c r="AC191">
        <v>0.57007300000000005</v>
      </c>
      <c r="AD191">
        <v>0.57007300000000005</v>
      </c>
      <c r="AE191">
        <v>1185015742</v>
      </c>
      <c r="AK191" s="1">
        <v>44711</v>
      </c>
      <c r="AL191">
        <f t="shared" si="2"/>
        <v>1811.885986</v>
      </c>
      <c r="AM191">
        <f>INDEX(A:AE,MATCH(AK191,worksheet!A:A,0),MATCH(worksheet!AM190,worksheet!A190:AE190,0))</f>
        <v>29443.365234000001</v>
      </c>
      <c r="AN191">
        <f>INDEX(A:AE,MATCH(AK191,worksheet!A:A,0),MATCH(worksheet!AN190,worksheet!A190:AE190,0))</f>
        <v>0.48113400000000001</v>
      </c>
      <c r="AO191">
        <f>INDEX(A:AE,MATCH(AK191,worksheet!A:A,0),MATCH(worksheet!AO190,worksheet!A190:AE190,0))</f>
        <v>0.99918700000000005</v>
      </c>
      <c r="AP191">
        <f>INDEX(A:AE,MATCH(AK191,worksheet!A:A,0),MATCH(worksheet!AP190,worksheet!A190:AE190,0))</f>
        <v>1.0005679999999999</v>
      </c>
    </row>
    <row r="192" spans="1:42" x14ac:dyDescent="0.25">
      <c r="A192" s="1">
        <v>44712</v>
      </c>
      <c r="B192">
        <v>1996.408081</v>
      </c>
      <c r="C192">
        <v>2005.490967</v>
      </c>
      <c r="D192">
        <v>1932.3520510000001</v>
      </c>
      <c r="E192">
        <v>1942.3280030000001</v>
      </c>
      <c r="F192">
        <v>1942.3280030000001</v>
      </c>
      <c r="G192">
        <v>18363115560</v>
      </c>
      <c r="H192">
        <v>31723.865234000001</v>
      </c>
      <c r="I192">
        <v>32249.863281000002</v>
      </c>
      <c r="J192">
        <v>31286.154297000001</v>
      </c>
      <c r="K192">
        <v>31792.310547000001</v>
      </c>
      <c r="L192">
        <v>31792.310547000001</v>
      </c>
      <c r="M192">
        <v>33538210634</v>
      </c>
      <c r="N192">
        <v>0.99937799999999999</v>
      </c>
      <c r="O192">
        <v>0.99949299999999996</v>
      </c>
      <c r="P192">
        <v>0.99928499999999998</v>
      </c>
      <c r="Q192">
        <v>0.99938800000000005</v>
      </c>
      <c r="R192">
        <v>0.99938800000000005</v>
      </c>
      <c r="S192">
        <v>62841794272</v>
      </c>
      <c r="T192">
        <v>1.0000800000000001</v>
      </c>
      <c r="U192">
        <v>1.0007760000000001</v>
      </c>
      <c r="V192">
        <v>0.99977400000000005</v>
      </c>
      <c r="W192">
        <v>1.00021</v>
      </c>
      <c r="X192">
        <v>1.00021</v>
      </c>
      <c r="Y192">
        <v>5896228360</v>
      </c>
      <c r="Z192">
        <v>0.56999999999999995</v>
      </c>
      <c r="AA192">
        <v>0.68231299999999995</v>
      </c>
      <c r="AB192">
        <v>0.56963600000000003</v>
      </c>
      <c r="AC192">
        <v>0.62525399999999998</v>
      </c>
      <c r="AD192">
        <v>0.62525399999999998</v>
      </c>
      <c r="AE192">
        <v>3269050143</v>
      </c>
      <c r="AK192" s="1">
        <v>44712</v>
      </c>
      <c r="AL192">
        <f t="shared" si="2"/>
        <v>1996.408081</v>
      </c>
      <c r="AM192">
        <f>INDEX(A:AE,MATCH(AK192,worksheet!A:A,0),MATCH(worksheet!AM191,worksheet!A191:AE191,0))</f>
        <v>31723.865234000001</v>
      </c>
      <c r="AN192">
        <f>INDEX(A:AE,MATCH(AK192,worksheet!A:A,0),MATCH(worksheet!AN191,worksheet!A191:AE191,0))</f>
        <v>0.56999999999999995</v>
      </c>
      <c r="AO192">
        <f>INDEX(A:AE,MATCH(AK192,worksheet!A:A,0),MATCH(worksheet!AO191,worksheet!A191:AE191,0))</f>
        <v>0.99937799999999999</v>
      </c>
      <c r="AP192">
        <f>INDEX(A:AE,MATCH(AK192,worksheet!A:A,0),MATCH(worksheet!AP191,worksheet!A191:AE191,0))</f>
        <v>1.0000800000000001</v>
      </c>
    </row>
    <row r="193" spans="1:42" x14ac:dyDescent="0.25">
      <c r="A193" s="1">
        <v>44713</v>
      </c>
      <c r="B193">
        <v>1942.050659</v>
      </c>
      <c r="C193">
        <v>1965.166626</v>
      </c>
      <c r="D193">
        <v>1776.0532229999999</v>
      </c>
      <c r="E193">
        <v>1823.569336</v>
      </c>
      <c r="F193">
        <v>1823.569336</v>
      </c>
      <c r="G193">
        <v>21037797760</v>
      </c>
      <c r="H193">
        <v>31792.554688</v>
      </c>
      <c r="I193">
        <v>31957.285156000002</v>
      </c>
      <c r="J193">
        <v>29501.587890999999</v>
      </c>
      <c r="K193">
        <v>29799.080077999999</v>
      </c>
      <c r="L193">
        <v>29799.080077999999</v>
      </c>
      <c r="M193">
        <v>41135817341</v>
      </c>
      <c r="N193">
        <v>0.99938099999999996</v>
      </c>
      <c r="O193">
        <v>0.999502</v>
      </c>
      <c r="P193">
        <v>0.99886900000000001</v>
      </c>
      <c r="Q193">
        <v>0.99926000000000004</v>
      </c>
      <c r="R193">
        <v>0.99926000000000004</v>
      </c>
      <c r="S193">
        <v>68866735590</v>
      </c>
      <c r="T193">
        <v>1.000216</v>
      </c>
      <c r="U193">
        <v>1.000718</v>
      </c>
      <c r="V193">
        <v>0.99971200000000005</v>
      </c>
      <c r="W193">
        <v>1.00013</v>
      </c>
      <c r="X193">
        <v>1.00013</v>
      </c>
      <c r="Y193">
        <v>6158677984</v>
      </c>
      <c r="Z193">
        <v>0.625417</v>
      </c>
      <c r="AA193">
        <v>0.62997700000000001</v>
      </c>
      <c r="AB193">
        <v>0.54080899999999998</v>
      </c>
      <c r="AC193">
        <v>0.55274999999999996</v>
      </c>
      <c r="AD193">
        <v>0.55274999999999996</v>
      </c>
      <c r="AE193">
        <v>1404107650</v>
      </c>
      <c r="AK193" s="1">
        <v>44713</v>
      </c>
      <c r="AL193">
        <f t="shared" si="2"/>
        <v>1942.050659</v>
      </c>
      <c r="AM193">
        <f>INDEX(A:AE,MATCH(AK193,worksheet!A:A,0),MATCH(worksheet!AM192,worksheet!A192:AE192,0))</f>
        <v>31792.554688</v>
      </c>
      <c r="AN193">
        <f>INDEX(A:AE,MATCH(AK193,worksheet!A:A,0),MATCH(worksheet!AN192,worksheet!A192:AE192,0))</f>
        <v>0.625417</v>
      </c>
      <c r="AO193">
        <f>INDEX(A:AE,MATCH(AK193,worksheet!A:A,0),MATCH(worksheet!AO192,worksheet!A192:AE192,0))</f>
        <v>0.99938099999999996</v>
      </c>
      <c r="AP193">
        <f>INDEX(A:AE,MATCH(AK193,worksheet!A:A,0),MATCH(worksheet!AP192,worksheet!A192:AE192,0))</f>
        <v>1.000216</v>
      </c>
    </row>
    <row r="194" spans="1:42" x14ac:dyDescent="0.25">
      <c r="A194" s="1">
        <v>44714</v>
      </c>
      <c r="B194">
        <v>1822.4121090000001</v>
      </c>
      <c r="C194">
        <v>1845.3139650000001</v>
      </c>
      <c r="D194">
        <v>1789.6641850000001</v>
      </c>
      <c r="E194">
        <v>1834.150513</v>
      </c>
      <c r="F194">
        <v>1834.150513</v>
      </c>
      <c r="G194">
        <v>17065041354</v>
      </c>
      <c r="H194">
        <v>29794.890625</v>
      </c>
      <c r="I194">
        <v>30604.734375</v>
      </c>
      <c r="J194">
        <v>29652.705077999999</v>
      </c>
      <c r="K194">
        <v>30467.488281000002</v>
      </c>
      <c r="L194">
        <v>30467.488281000002</v>
      </c>
      <c r="M194">
        <v>29083562061</v>
      </c>
      <c r="N194">
        <v>0.99923200000000001</v>
      </c>
      <c r="O194">
        <v>0.99949100000000002</v>
      </c>
      <c r="P194">
        <v>0.99910399999999999</v>
      </c>
      <c r="Q194">
        <v>0.99931700000000001</v>
      </c>
      <c r="R194">
        <v>0.99931700000000001</v>
      </c>
      <c r="S194">
        <v>50520845556</v>
      </c>
      <c r="T194">
        <v>1.00014</v>
      </c>
      <c r="U194">
        <v>1.0008079999999999</v>
      </c>
      <c r="V194">
        <v>0.99982400000000005</v>
      </c>
      <c r="W194">
        <v>1.000224</v>
      </c>
      <c r="X194">
        <v>1.000224</v>
      </c>
      <c r="Y194">
        <v>4994899697</v>
      </c>
      <c r="Z194">
        <v>0.55263600000000002</v>
      </c>
      <c r="AA194">
        <v>0.59581099999999998</v>
      </c>
      <c r="AB194">
        <v>0.55044400000000004</v>
      </c>
      <c r="AC194">
        <v>0.58779499999999996</v>
      </c>
      <c r="AD194">
        <v>0.58779499999999996</v>
      </c>
      <c r="AE194">
        <v>1257661647</v>
      </c>
      <c r="AK194" s="1">
        <v>44714</v>
      </c>
      <c r="AL194">
        <f t="shared" si="2"/>
        <v>1822.4121090000001</v>
      </c>
      <c r="AM194">
        <f>INDEX(A:AE,MATCH(AK194,worksheet!A:A,0),MATCH(worksheet!AM193,worksheet!A193:AE193,0))</f>
        <v>29794.890625</v>
      </c>
      <c r="AN194">
        <f>INDEX(A:AE,MATCH(AK194,worksheet!A:A,0),MATCH(worksheet!AN193,worksheet!A193:AE193,0))</f>
        <v>0.55263600000000002</v>
      </c>
      <c r="AO194">
        <f>INDEX(A:AE,MATCH(AK194,worksheet!A:A,0),MATCH(worksheet!AO193,worksheet!A193:AE193,0))</f>
        <v>0.99923200000000001</v>
      </c>
      <c r="AP194">
        <f>INDEX(A:AE,MATCH(AK194,worksheet!A:A,0),MATCH(worksheet!AP193,worksheet!A193:AE193,0))</f>
        <v>1.00014</v>
      </c>
    </row>
    <row r="195" spans="1:42" x14ac:dyDescent="0.25">
      <c r="A195" s="1">
        <v>44715</v>
      </c>
      <c r="B195">
        <v>1834.13501</v>
      </c>
      <c r="C195">
        <v>1840.0588379999999</v>
      </c>
      <c r="D195">
        <v>1746.5097659999999</v>
      </c>
      <c r="E195">
        <v>1775.0786129999999</v>
      </c>
      <c r="F195">
        <v>1775.0786129999999</v>
      </c>
      <c r="G195">
        <v>14878001811</v>
      </c>
      <c r="H195">
        <v>30467.806640999999</v>
      </c>
      <c r="I195">
        <v>30633.035156000002</v>
      </c>
      <c r="J195">
        <v>29375.689452999999</v>
      </c>
      <c r="K195">
        <v>29704.390625</v>
      </c>
      <c r="L195">
        <v>29704.390625</v>
      </c>
      <c r="M195">
        <v>26175547452</v>
      </c>
      <c r="N195">
        <v>0.99929500000000004</v>
      </c>
      <c r="O195">
        <v>0.99949100000000002</v>
      </c>
      <c r="P195">
        <v>0.99902199999999997</v>
      </c>
      <c r="Q195">
        <v>0.99917</v>
      </c>
      <c r="R195">
        <v>0.99917</v>
      </c>
      <c r="S195">
        <v>43789145735</v>
      </c>
      <c r="T195">
        <v>1.000272</v>
      </c>
      <c r="U195">
        <v>1.000761</v>
      </c>
      <c r="V195">
        <v>0.99976500000000001</v>
      </c>
      <c r="W195">
        <v>1.000143</v>
      </c>
      <c r="X195">
        <v>1.000143</v>
      </c>
      <c r="Y195">
        <v>4266590882</v>
      </c>
      <c r="Z195">
        <v>0.58783600000000003</v>
      </c>
      <c r="AA195">
        <v>0.60328999999999999</v>
      </c>
      <c r="AB195">
        <v>0.54148600000000002</v>
      </c>
      <c r="AC195">
        <v>0.55965799999999999</v>
      </c>
      <c r="AD195">
        <v>0.55965799999999999</v>
      </c>
      <c r="AE195">
        <v>910186327</v>
      </c>
      <c r="AK195" s="1">
        <v>44715</v>
      </c>
      <c r="AL195">
        <f t="shared" ref="AL195:AL258" si="3">INDEX($A:$AE,MATCH(AK195,$A:$A,0),MATCH($AL194,$A194:$AE194,0))</f>
        <v>1834.13501</v>
      </c>
      <c r="AM195">
        <f>INDEX(A:AE,MATCH(AK195,worksheet!A:A,0),MATCH(worksheet!AM194,worksheet!A194:AE194,0))</f>
        <v>30467.806640999999</v>
      </c>
      <c r="AN195">
        <f>INDEX(A:AE,MATCH(AK195,worksheet!A:A,0),MATCH(worksheet!AN194,worksheet!A194:AE194,0))</f>
        <v>0.58783600000000003</v>
      </c>
      <c r="AO195">
        <f>INDEX(A:AE,MATCH(AK195,worksheet!A:A,0),MATCH(worksheet!AO194,worksheet!A194:AE194,0))</f>
        <v>0.99929500000000004</v>
      </c>
      <c r="AP195">
        <f>INDEX(A:AE,MATCH(AK195,worksheet!A:A,0),MATCH(worksheet!AP194,worksheet!A194:AE194,0))</f>
        <v>1.000272</v>
      </c>
    </row>
    <row r="196" spans="1:42" x14ac:dyDescent="0.25">
      <c r="A196" s="1">
        <v>44716</v>
      </c>
      <c r="B196">
        <v>1775.2208250000001</v>
      </c>
      <c r="C196">
        <v>1810.299683</v>
      </c>
      <c r="D196">
        <v>1751.5333250000001</v>
      </c>
      <c r="E196">
        <v>1801.6094969999999</v>
      </c>
      <c r="F196">
        <v>1801.6094969999999</v>
      </c>
      <c r="G196">
        <v>8677951273</v>
      </c>
      <c r="H196">
        <v>29706.138672000001</v>
      </c>
      <c r="I196">
        <v>29930.564452999999</v>
      </c>
      <c r="J196">
        <v>29500.005859000001</v>
      </c>
      <c r="K196">
        <v>29832.914063</v>
      </c>
      <c r="L196">
        <v>29832.914063</v>
      </c>
      <c r="M196">
        <v>16588370958</v>
      </c>
      <c r="N196">
        <v>0.99917400000000001</v>
      </c>
      <c r="O196">
        <v>0.99935700000000005</v>
      </c>
      <c r="P196">
        <v>0.99903200000000003</v>
      </c>
      <c r="Q196">
        <v>0.99931300000000001</v>
      </c>
      <c r="R196">
        <v>0.99931300000000001</v>
      </c>
      <c r="S196">
        <v>30834183068</v>
      </c>
      <c r="T196">
        <v>1.000175</v>
      </c>
      <c r="U196">
        <v>1.000726</v>
      </c>
      <c r="V196">
        <v>0.99982800000000005</v>
      </c>
      <c r="W196">
        <v>1.000243</v>
      </c>
      <c r="X196">
        <v>1.000243</v>
      </c>
      <c r="Y196">
        <v>3190396150</v>
      </c>
      <c r="Z196">
        <v>0.55995700000000004</v>
      </c>
      <c r="AA196">
        <v>0.57057000000000002</v>
      </c>
      <c r="AB196">
        <v>0.54808800000000002</v>
      </c>
      <c r="AC196">
        <v>0.56606900000000004</v>
      </c>
      <c r="AD196">
        <v>0.56606900000000004</v>
      </c>
      <c r="AE196">
        <v>559861766</v>
      </c>
      <c r="AK196" s="1">
        <v>44716</v>
      </c>
      <c r="AL196">
        <f t="shared" si="3"/>
        <v>1775.2208250000001</v>
      </c>
      <c r="AM196">
        <f>INDEX(A:AE,MATCH(AK196,worksheet!A:A,0),MATCH(worksheet!AM195,worksheet!A195:AE195,0))</f>
        <v>29706.138672000001</v>
      </c>
      <c r="AN196">
        <f>INDEX(A:AE,MATCH(AK196,worksheet!A:A,0),MATCH(worksheet!AN195,worksheet!A195:AE195,0))</f>
        <v>0.55995700000000004</v>
      </c>
      <c r="AO196">
        <f>INDEX(A:AE,MATCH(AK196,worksheet!A:A,0),MATCH(worksheet!AO195,worksheet!A195:AE195,0))</f>
        <v>0.99917400000000001</v>
      </c>
      <c r="AP196">
        <f>INDEX(A:AE,MATCH(AK196,worksheet!A:A,0),MATCH(worksheet!AP195,worksheet!A195:AE195,0))</f>
        <v>1.000175</v>
      </c>
    </row>
    <row r="197" spans="1:42" x14ac:dyDescent="0.25">
      <c r="A197" s="1">
        <v>44717</v>
      </c>
      <c r="B197">
        <v>1801.81897</v>
      </c>
      <c r="C197">
        <v>1825.8596190000001</v>
      </c>
      <c r="D197">
        <v>1777.1333010000001</v>
      </c>
      <c r="E197">
        <v>1805.204956</v>
      </c>
      <c r="F197">
        <v>1805.204956</v>
      </c>
      <c r="G197">
        <v>8850385937</v>
      </c>
      <c r="H197">
        <v>29835.117188</v>
      </c>
      <c r="I197">
        <v>30117.744140999999</v>
      </c>
      <c r="J197">
        <v>29574.449218999998</v>
      </c>
      <c r="K197">
        <v>29906.662109000001</v>
      </c>
      <c r="L197">
        <v>29906.662109000001</v>
      </c>
      <c r="M197">
        <v>17264085441</v>
      </c>
      <c r="N197">
        <v>0.999309</v>
      </c>
      <c r="O197">
        <v>0.99935799999999997</v>
      </c>
      <c r="P197">
        <v>0.99919400000000003</v>
      </c>
      <c r="Q197">
        <v>0.99929599999999996</v>
      </c>
      <c r="R197">
        <v>0.99929599999999996</v>
      </c>
      <c r="S197">
        <v>30872185296</v>
      </c>
      <c r="T197">
        <v>1.000205</v>
      </c>
      <c r="U197">
        <v>1.0009600000000001</v>
      </c>
      <c r="V197">
        <v>0.99988200000000005</v>
      </c>
      <c r="W197">
        <v>1.0001439999999999</v>
      </c>
      <c r="X197">
        <v>1.0001439999999999</v>
      </c>
      <c r="Y197">
        <v>3227635578</v>
      </c>
      <c r="Z197">
        <v>0.56609100000000001</v>
      </c>
      <c r="AA197">
        <v>0.57955299999999998</v>
      </c>
      <c r="AB197">
        <v>0.55639799999999995</v>
      </c>
      <c r="AC197">
        <v>0.56708999999999998</v>
      </c>
      <c r="AD197">
        <v>0.56708999999999998</v>
      </c>
      <c r="AE197">
        <v>478128224</v>
      </c>
      <c r="AK197" s="1">
        <v>44717</v>
      </c>
      <c r="AL197">
        <f t="shared" si="3"/>
        <v>1801.81897</v>
      </c>
      <c r="AM197">
        <f>INDEX(A:AE,MATCH(AK197,worksheet!A:A,0),MATCH(worksheet!AM196,worksheet!A196:AE196,0))</f>
        <v>29835.117188</v>
      </c>
      <c r="AN197">
        <f>INDEX(A:AE,MATCH(AK197,worksheet!A:A,0),MATCH(worksheet!AN196,worksheet!A196:AE196,0))</f>
        <v>0.56609100000000001</v>
      </c>
      <c r="AO197">
        <f>INDEX(A:AE,MATCH(AK197,worksheet!A:A,0),MATCH(worksheet!AO196,worksheet!A196:AE196,0))</f>
        <v>0.999309</v>
      </c>
      <c r="AP197">
        <f>INDEX(A:AE,MATCH(AK197,worksheet!A:A,0),MATCH(worksheet!AP196,worksheet!A196:AE196,0))</f>
        <v>1.000205</v>
      </c>
    </row>
    <row r="198" spans="1:42" x14ac:dyDescent="0.25">
      <c r="A198" s="1">
        <v>44718</v>
      </c>
      <c r="B198">
        <v>1805.635986</v>
      </c>
      <c r="C198">
        <v>1915.030518</v>
      </c>
      <c r="D198">
        <v>1804.9902340000001</v>
      </c>
      <c r="E198">
        <v>1859.289673</v>
      </c>
      <c r="F198">
        <v>1859.289673</v>
      </c>
      <c r="G198">
        <v>16518471852</v>
      </c>
      <c r="H198">
        <v>29910.283202999999</v>
      </c>
      <c r="I198">
        <v>31693.291015999999</v>
      </c>
      <c r="J198">
        <v>29894.1875</v>
      </c>
      <c r="K198">
        <v>31370.671875</v>
      </c>
      <c r="L198">
        <v>31370.671875</v>
      </c>
      <c r="M198">
        <v>31947336829</v>
      </c>
      <c r="N198">
        <v>0.99928600000000001</v>
      </c>
      <c r="O198">
        <v>0.99953700000000001</v>
      </c>
      <c r="P198">
        <v>0.99922100000000003</v>
      </c>
      <c r="Q198">
        <v>0.99931099999999995</v>
      </c>
      <c r="R198">
        <v>0.99931099999999995</v>
      </c>
      <c r="S198">
        <v>51540243030</v>
      </c>
      <c r="T198">
        <v>1.00014</v>
      </c>
      <c r="U198">
        <v>1.000834</v>
      </c>
      <c r="V198">
        <v>0.999664</v>
      </c>
      <c r="W198">
        <v>1.0000819999999999</v>
      </c>
      <c r="X198">
        <v>1.0000819999999999</v>
      </c>
      <c r="Y198">
        <v>4623471415</v>
      </c>
      <c r="Z198">
        <v>0.56720700000000002</v>
      </c>
      <c r="AA198">
        <v>0.64345200000000002</v>
      </c>
      <c r="AB198">
        <v>0.566608</v>
      </c>
      <c r="AC198">
        <v>0.60932799999999998</v>
      </c>
      <c r="AD198">
        <v>0.60932799999999998</v>
      </c>
      <c r="AE198">
        <v>1417826128</v>
      </c>
      <c r="AK198" s="1">
        <v>44718</v>
      </c>
      <c r="AL198">
        <f t="shared" si="3"/>
        <v>1805.635986</v>
      </c>
      <c r="AM198">
        <f>INDEX(A:AE,MATCH(AK198,worksheet!A:A,0),MATCH(worksheet!AM197,worksheet!A197:AE197,0))</f>
        <v>29910.283202999999</v>
      </c>
      <c r="AN198">
        <f>INDEX(A:AE,MATCH(AK198,worksheet!A:A,0),MATCH(worksheet!AN197,worksheet!A197:AE197,0))</f>
        <v>0.56720700000000002</v>
      </c>
      <c r="AO198">
        <f>INDEX(A:AE,MATCH(AK198,worksheet!A:A,0),MATCH(worksheet!AO197,worksheet!A197:AE197,0))</f>
        <v>0.99928600000000001</v>
      </c>
      <c r="AP198">
        <f>INDEX(A:AE,MATCH(AK198,worksheet!A:A,0),MATCH(worksheet!AP197,worksheet!A197:AE197,0))</f>
        <v>1.00014</v>
      </c>
    </row>
    <row r="199" spans="1:42" x14ac:dyDescent="0.25">
      <c r="A199" s="1">
        <v>44719</v>
      </c>
      <c r="B199">
        <v>1859.33374</v>
      </c>
      <c r="C199">
        <v>1862.9149170000001</v>
      </c>
      <c r="D199">
        <v>1729.4135739999999</v>
      </c>
      <c r="E199">
        <v>1814.0483400000001</v>
      </c>
      <c r="F199">
        <v>1814.0483400000001</v>
      </c>
      <c r="G199">
        <v>24020076750</v>
      </c>
      <c r="H199">
        <v>31371.742188</v>
      </c>
      <c r="I199">
        <v>31489.683593999998</v>
      </c>
      <c r="J199">
        <v>29311.683593999998</v>
      </c>
      <c r="K199">
        <v>31155.478515999999</v>
      </c>
      <c r="L199">
        <v>31155.478515999999</v>
      </c>
      <c r="M199">
        <v>40770974039</v>
      </c>
      <c r="N199">
        <v>0.99929800000000002</v>
      </c>
      <c r="O199">
        <v>0.99957099999999999</v>
      </c>
      <c r="P199">
        <v>0.99914700000000001</v>
      </c>
      <c r="Q199">
        <v>0.99941400000000002</v>
      </c>
      <c r="R199">
        <v>0.99941400000000002</v>
      </c>
      <c r="S199">
        <v>67008901675</v>
      </c>
      <c r="T199">
        <v>1.000089</v>
      </c>
      <c r="U199">
        <v>1.000847</v>
      </c>
      <c r="V199">
        <v>0.99974200000000002</v>
      </c>
      <c r="W199">
        <v>1.000103</v>
      </c>
      <c r="X199">
        <v>1.000103</v>
      </c>
      <c r="Y199">
        <v>5926284249</v>
      </c>
      <c r="Z199">
        <v>0.60933999999999999</v>
      </c>
      <c r="AA199">
        <v>0.64199300000000004</v>
      </c>
      <c r="AB199">
        <v>0.574847</v>
      </c>
      <c r="AC199">
        <v>0.61544500000000002</v>
      </c>
      <c r="AD199">
        <v>0.61544500000000002</v>
      </c>
      <c r="AE199">
        <v>1450579665</v>
      </c>
      <c r="AK199" s="1">
        <v>44719</v>
      </c>
      <c r="AL199">
        <f t="shared" si="3"/>
        <v>1859.33374</v>
      </c>
      <c r="AM199">
        <f>INDEX(A:AE,MATCH(AK199,worksheet!A:A,0),MATCH(worksheet!AM198,worksheet!A198:AE198,0))</f>
        <v>31371.742188</v>
      </c>
      <c r="AN199">
        <f>INDEX(A:AE,MATCH(AK199,worksheet!A:A,0),MATCH(worksheet!AN198,worksheet!A198:AE198,0))</f>
        <v>0.60933999999999999</v>
      </c>
      <c r="AO199">
        <f>INDEX(A:AE,MATCH(AK199,worksheet!A:A,0),MATCH(worksheet!AO198,worksheet!A198:AE198,0))</f>
        <v>0.99929800000000002</v>
      </c>
      <c r="AP199">
        <f>INDEX(A:AE,MATCH(AK199,worksheet!A:A,0),MATCH(worksheet!AP198,worksheet!A198:AE198,0))</f>
        <v>1.000089</v>
      </c>
    </row>
    <row r="200" spans="1:42" x14ac:dyDescent="0.25">
      <c r="A200" s="1">
        <v>44720</v>
      </c>
      <c r="B200">
        <v>1814.1007079999999</v>
      </c>
      <c r="C200">
        <v>1830.676025</v>
      </c>
      <c r="D200">
        <v>1770.2312010000001</v>
      </c>
      <c r="E200">
        <v>1793.5722659999999</v>
      </c>
      <c r="F200">
        <v>1793.5722659999999</v>
      </c>
      <c r="G200">
        <v>18041476023</v>
      </c>
      <c r="H200">
        <v>31151.480468999998</v>
      </c>
      <c r="I200">
        <v>31253.691406000002</v>
      </c>
      <c r="J200">
        <v>29944.404297000001</v>
      </c>
      <c r="K200">
        <v>30214.355468999998</v>
      </c>
      <c r="L200">
        <v>30214.355468999998</v>
      </c>
      <c r="M200">
        <v>30242059107</v>
      </c>
      <c r="N200">
        <v>0.99941500000000005</v>
      </c>
      <c r="O200">
        <v>0.99956400000000001</v>
      </c>
      <c r="P200">
        <v>0.99919899999999995</v>
      </c>
      <c r="Q200">
        <v>0.99926199999999998</v>
      </c>
      <c r="R200">
        <v>0.99926199999999998</v>
      </c>
      <c r="S200">
        <v>52176620958</v>
      </c>
      <c r="T200">
        <v>1.0000439999999999</v>
      </c>
      <c r="U200">
        <v>1.0008300000000001</v>
      </c>
      <c r="V200">
        <v>0.99979399999999996</v>
      </c>
      <c r="W200">
        <v>1.0002180000000001</v>
      </c>
      <c r="X200">
        <v>1.0002180000000001</v>
      </c>
      <c r="Y200">
        <v>4466105669</v>
      </c>
      <c r="Z200">
        <v>0.61548499999999995</v>
      </c>
      <c r="AA200">
        <v>0.666099</v>
      </c>
      <c r="AB200">
        <v>0.610954</v>
      </c>
      <c r="AC200">
        <v>0.64161400000000002</v>
      </c>
      <c r="AD200">
        <v>0.64161400000000002</v>
      </c>
      <c r="AE200">
        <v>1636846100</v>
      </c>
      <c r="AK200" s="1">
        <v>44720</v>
      </c>
      <c r="AL200">
        <f t="shared" si="3"/>
        <v>1814.1007079999999</v>
      </c>
      <c r="AM200">
        <f>INDEX(A:AE,MATCH(AK200,worksheet!A:A,0),MATCH(worksheet!AM199,worksheet!A199:AE199,0))</f>
        <v>31151.480468999998</v>
      </c>
      <c r="AN200">
        <f>INDEX(A:AE,MATCH(AK200,worksheet!A:A,0),MATCH(worksheet!AN199,worksheet!A199:AE199,0))</f>
        <v>0.61548499999999995</v>
      </c>
      <c r="AO200">
        <f>INDEX(A:AE,MATCH(AK200,worksheet!A:A,0),MATCH(worksheet!AO199,worksheet!A199:AE199,0))</f>
        <v>0.99941500000000005</v>
      </c>
      <c r="AP200">
        <f>INDEX(A:AE,MATCH(AK200,worksheet!A:A,0),MATCH(worksheet!AP199,worksheet!A199:AE199,0))</f>
        <v>1.0000439999999999</v>
      </c>
    </row>
    <row r="201" spans="1:42" x14ac:dyDescent="0.25">
      <c r="A201" s="1">
        <v>44721</v>
      </c>
      <c r="B201">
        <v>1793.512817</v>
      </c>
      <c r="C201">
        <v>1827.293091</v>
      </c>
      <c r="D201">
        <v>1779.8675539999999</v>
      </c>
      <c r="E201">
        <v>1789.8260499999999</v>
      </c>
      <c r="F201">
        <v>1789.8260499999999</v>
      </c>
      <c r="G201">
        <v>12013083393</v>
      </c>
      <c r="H201">
        <v>30215.279297000001</v>
      </c>
      <c r="I201">
        <v>30609.310547000001</v>
      </c>
      <c r="J201">
        <v>30020.265625</v>
      </c>
      <c r="K201">
        <v>30111.998047000001</v>
      </c>
      <c r="L201">
        <v>30111.998047000001</v>
      </c>
      <c r="M201">
        <v>21692004719</v>
      </c>
      <c r="N201">
        <v>0.99927299999999997</v>
      </c>
      <c r="O201">
        <v>0.99949900000000003</v>
      </c>
      <c r="P201">
        <v>0.99915900000000002</v>
      </c>
      <c r="Q201">
        <v>0.99931400000000004</v>
      </c>
      <c r="R201">
        <v>0.99931400000000004</v>
      </c>
      <c r="S201">
        <v>42359067750</v>
      </c>
      <c r="T201">
        <v>1.0002120000000001</v>
      </c>
      <c r="U201">
        <v>1.000632</v>
      </c>
      <c r="V201">
        <v>0.99974700000000005</v>
      </c>
      <c r="W201">
        <v>1.0002439999999999</v>
      </c>
      <c r="X201">
        <v>1.0002439999999999</v>
      </c>
      <c r="Y201">
        <v>3391661643</v>
      </c>
      <c r="Z201">
        <v>0.64164900000000002</v>
      </c>
      <c r="AA201">
        <v>0.65521600000000002</v>
      </c>
      <c r="AB201">
        <v>0.62774600000000003</v>
      </c>
      <c r="AC201">
        <v>0.63292000000000004</v>
      </c>
      <c r="AD201">
        <v>0.63292000000000004</v>
      </c>
      <c r="AE201">
        <v>1166081755</v>
      </c>
      <c r="AK201" s="1">
        <v>44721</v>
      </c>
      <c r="AL201">
        <f t="shared" si="3"/>
        <v>1793.512817</v>
      </c>
      <c r="AM201">
        <f>INDEX(A:AE,MATCH(AK201,worksheet!A:A,0),MATCH(worksheet!AM200,worksheet!A200:AE200,0))</f>
        <v>30215.279297000001</v>
      </c>
      <c r="AN201">
        <f>INDEX(A:AE,MATCH(AK201,worksheet!A:A,0),MATCH(worksheet!AN200,worksheet!A200:AE200,0))</f>
        <v>0.64164900000000002</v>
      </c>
      <c r="AO201">
        <f>INDEX(A:AE,MATCH(AK201,worksheet!A:A,0),MATCH(worksheet!AO200,worksheet!A200:AE200,0))</f>
        <v>0.99927299999999997</v>
      </c>
      <c r="AP201">
        <f>INDEX(A:AE,MATCH(AK201,worksheet!A:A,0),MATCH(worksheet!AP200,worksheet!A200:AE200,0))</f>
        <v>1.0002120000000001</v>
      </c>
    </row>
    <row r="202" spans="1:42" x14ac:dyDescent="0.25">
      <c r="A202" s="1">
        <v>44722</v>
      </c>
      <c r="B202">
        <v>1789.6899410000001</v>
      </c>
      <c r="C202">
        <v>1797.607788</v>
      </c>
      <c r="D202">
        <v>1663.4339600000001</v>
      </c>
      <c r="E202">
        <v>1665.042236</v>
      </c>
      <c r="F202">
        <v>1665.042236</v>
      </c>
      <c r="G202">
        <v>18504740451</v>
      </c>
      <c r="H202">
        <v>30110.330077999999</v>
      </c>
      <c r="I202">
        <v>30245.808593999998</v>
      </c>
      <c r="J202">
        <v>28978.146484000001</v>
      </c>
      <c r="K202">
        <v>29083.804688</v>
      </c>
      <c r="L202">
        <v>29083.804688</v>
      </c>
      <c r="M202">
        <v>29867476527</v>
      </c>
      <c r="N202">
        <v>0.99935200000000002</v>
      </c>
      <c r="O202">
        <v>0.99944500000000003</v>
      </c>
      <c r="P202">
        <v>0.99910900000000002</v>
      </c>
      <c r="Q202">
        <v>0.99917999999999996</v>
      </c>
      <c r="R202">
        <v>0.99917999999999996</v>
      </c>
      <c r="S202">
        <v>49685289881</v>
      </c>
      <c r="T202">
        <v>1.000208</v>
      </c>
      <c r="U202">
        <v>1.0004770000000001</v>
      </c>
      <c r="V202">
        <v>0.99969799999999998</v>
      </c>
      <c r="W202">
        <v>1.0000629999999999</v>
      </c>
      <c r="X202">
        <v>1.0000629999999999</v>
      </c>
      <c r="Y202">
        <v>4483108536</v>
      </c>
      <c r="Z202">
        <v>0.63286299999999995</v>
      </c>
      <c r="AA202">
        <v>0.63508299999999995</v>
      </c>
      <c r="AB202">
        <v>0.573932</v>
      </c>
      <c r="AC202">
        <v>0.57421599999999995</v>
      </c>
      <c r="AD202">
        <v>0.57421599999999995</v>
      </c>
      <c r="AE202">
        <v>1170021356</v>
      </c>
      <c r="AK202" s="1">
        <v>44722</v>
      </c>
      <c r="AL202">
        <f t="shared" si="3"/>
        <v>1789.6899410000001</v>
      </c>
      <c r="AM202">
        <f>INDEX(A:AE,MATCH(AK202,worksheet!A:A,0),MATCH(worksheet!AM201,worksheet!A201:AE201,0))</f>
        <v>30110.330077999999</v>
      </c>
      <c r="AN202">
        <f>INDEX(A:AE,MATCH(AK202,worksheet!A:A,0),MATCH(worksheet!AN201,worksheet!A201:AE201,0))</f>
        <v>0.63286299999999995</v>
      </c>
      <c r="AO202">
        <f>INDEX(A:AE,MATCH(AK202,worksheet!A:A,0),MATCH(worksheet!AO201,worksheet!A201:AE201,0))</f>
        <v>0.99935200000000002</v>
      </c>
      <c r="AP202">
        <f>INDEX(A:AE,MATCH(AK202,worksheet!A:A,0),MATCH(worksheet!AP201,worksheet!A201:AE201,0))</f>
        <v>1.000208</v>
      </c>
    </row>
    <row r="203" spans="1:42" x14ac:dyDescent="0.25">
      <c r="A203" s="1">
        <v>44723</v>
      </c>
      <c r="B203">
        <v>1665.2178960000001</v>
      </c>
      <c r="C203">
        <v>1679.3142089999999</v>
      </c>
      <c r="D203">
        <v>1507.0389399999999</v>
      </c>
      <c r="E203">
        <v>1529.663452</v>
      </c>
      <c r="F203">
        <v>1529.663452</v>
      </c>
      <c r="G203">
        <v>21127089064</v>
      </c>
      <c r="H203">
        <v>29084.666015999999</v>
      </c>
      <c r="I203">
        <v>29401.916015999999</v>
      </c>
      <c r="J203">
        <v>28236.212890999999</v>
      </c>
      <c r="K203">
        <v>28360.810547000001</v>
      </c>
      <c r="L203">
        <v>28360.810547000001</v>
      </c>
      <c r="M203">
        <v>27246574439</v>
      </c>
      <c r="N203">
        <v>0.99918200000000001</v>
      </c>
      <c r="O203">
        <v>0.99930799999999997</v>
      </c>
      <c r="P203">
        <v>0.99900900000000004</v>
      </c>
      <c r="Q203">
        <v>0.99902500000000005</v>
      </c>
      <c r="R203">
        <v>0.99902500000000005</v>
      </c>
      <c r="S203">
        <v>48736816876</v>
      </c>
      <c r="T203">
        <v>1.0000880000000001</v>
      </c>
      <c r="U203">
        <v>1.001088</v>
      </c>
      <c r="V203">
        <v>0.99973800000000002</v>
      </c>
      <c r="W203">
        <v>1.0000899999999999</v>
      </c>
      <c r="X203">
        <v>1.0000899999999999</v>
      </c>
      <c r="Y203">
        <v>4801662884</v>
      </c>
      <c r="Z203">
        <v>0.574268</v>
      </c>
      <c r="AA203">
        <v>0.61366100000000001</v>
      </c>
      <c r="AB203">
        <v>0.54649700000000001</v>
      </c>
      <c r="AC203">
        <v>0.55277699999999996</v>
      </c>
      <c r="AD203">
        <v>0.55277699999999996</v>
      </c>
      <c r="AE203">
        <v>1232257018</v>
      </c>
      <c r="AK203" s="1">
        <v>44723</v>
      </c>
      <c r="AL203">
        <f t="shared" si="3"/>
        <v>1665.2178960000001</v>
      </c>
      <c r="AM203">
        <f>INDEX(A:AE,MATCH(AK203,worksheet!A:A,0),MATCH(worksheet!AM202,worksheet!A202:AE202,0))</f>
        <v>29084.666015999999</v>
      </c>
      <c r="AN203">
        <f>INDEX(A:AE,MATCH(AK203,worksheet!A:A,0),MATCH(worksheet!AN202,worksheet!A202:AE202,0))</f>
        <v>0.574268</v>
      </c>
      <c r="AO203">
        <f>INDEX(A:AE,MATCH(AK203,worksheet!A:A,0),MATCH(worksheet!AO202,worksheet!A202:AE202,0))</f>
        <v>0.99918200000000001</v>
      </c>
      <c r="AP203">
        <f>INDEX(A:AE,MATCH(AK203,worksheet!A:A,0),MATCH(worksheet!AP202,worksheet!A202:AE202,0))</f>
        <v>1.0000880000000001</v>
      </c>
    </row>
    <row r="204" spans="1:42" x14ac:dyDescent="0.25">
      <c r="A204" s="1">
        <v>44724</v>
      </c>
      <c r="B204">
        <v>1530.189697</v>
      </c>
      <c r="C204">
        <v>1539.705078</v>
      </c>
      <c r="D204">
        <v>1436.1839600000001</v>
      </c>
      <c r="E204">
        <v>1445.216553</v>
      </c>
      <c r="F204">
        <v>1445.216553</v>
      </c>
      <c r="G204">
        <v>23465074882</v>
      </c>
      <c r="H204">
        <v>28373.513672000001</v>
      </c>
      <c r="I204">
        <v>28502.685547000001</v>
      </c>
      <c r="J204">
        <v>26762.648438</v>
      </c>
      <c r="K204">
        <v>26762.648438</v>
      </c>
      <c r="L204">
        <v>26762.648438</v>
      </c>
      <c r="M204">
        <v>34163220274</v>
      </c>
      <c r="N204">
        <v>0.99901399999999996</v>
      </c>
      <c r="O204">
        <v>0.99914899999999995</v>
      </c>
      <c r="P204">
        <v>0.99884200000000001</v>
      </c>
      <c r="Q204">
        <v>0.99907999999999997</v>
      </c>
      <c r="R204">
        <v>0.99907999999999997</v>
      </c>
      <c r="S204">
        <v>59051274983</v>
      </c>
      <c r="T204">
        <v>1.0001949999999999</v>
      </c>
      <c r="U204">
        <v>1.000915</v>
      </c>
      <c r="V204">
        <v>0.99952700000000005</v>
      </c>
      <c r="W204">
        <v>1.000049</v>
      </c>
      <c r="X204">
        <v>1.000049</v>
      </c>
      <c r="Y204">
        <v>6008997676</v>
      </c>
      <c r="Z204">
        <v>0.55297700000000005</v>
      </c>
      <c r="AA204">
        <v>0.55993000000000004</v>
      </c>
      <c r="AB204">
        <v>0.496861</v>
      </c>
      <c r="AC204">
        <v>0.496861</v>
      </c>
      <c r="AD204">
        <v>0.496861</v>
      </c>
      <c r="AE204">
        <v>1474640183</v>
      </c>
      <c r="AK204" s="1">
        <v>44724</v>
      </c>
      <c r="AL204">
        <f t="shared" si="3"/>
        <v>1530.189697</v>
      </c>
      <c r="AM204">
        <f>INDEX(A:AE,MATCH(AK204,worksheet!A:A,0),MATCH(worksheet!AM203,worksheet!A203:AE203,0))</f>
        <v>28373.513672000001</v>
      </c>
      <c r="AN204">
        <f>INDEX(A:AE,MATCH(AK204,worksheet!A:A,0),MATCH(worksheet!AN203,worksheet!A203:AE203,0))</f>
        <v>0.55297700000000005</v>
      </c>
      <c r="AO204">
        <f>INDEX(A:AE,MATCH(AK204,worksheet!A:A,0),MATCH(worksheet!AO203,worksheet!A203:AE203,0))</f>
        <v>0.99901399999999996</v>
      </c>
      <c r="AP204">
        <f>INDEX(A:AE,MATCH(AK204,worksheet!A:A,0),MATCH(worksheet!AP203,worksheet!A203:AE203,0))</f>
        <v>1.0001949999999999</v>
      </c>
    </row>
    <row r="205" spans="1:42" x14ac:dyDescent="0.25">
      <c r="A205" s="1">
        <v>44725</v>
      </c>
      <c r="B205">
        <v>1443.8354489999999</v>
      </c>
      <c r="C205">
        <v>1448.7380370000001</v>
      </c>
      <c r="D205">
        <v>1181.9482419999999</v>
      </c>
      <c r="E205">
        <v>1204.582764</v>
      </c>
      <c r="F205">
        <v>1204.582764</v>
      </c>
      <c r="G205">
        <v>45162788786</v>
      </c>
      <c r="H205">
        <v>26737.578125</v>
      </c>
      <c r="I205">
        <v>26795.589843999998</v>
      </c>
      <c r="J205">
        <v>22141.257813</v>
      </c>
      <c r="K205">
        <v>22487.388672000001</v>
      </c>
      <c r="L205">
        <v>22487.388672000001</v>
      </c>
      <c r="M205">
        <v>68204556440</v>
      </c>
      <c r="N205">
        <v>0.99906899999999998</v>
      </c>
      <c r="O205">
        <v>0.99912599999999996</v>
      </c>
      <c r="P205">
        <v>0.99754699999999996</v>
      </c>
      <c r="Q205">
        <v>0.99859399999999998</v>
      </c>
      <c r="R205">
        <v>0.99859399999999998</v>
      </c>
      <c r="S205">
        <v>107410569162</v>
      </c>
      <c r="T205">
        <v>0.99997400000000003</v>
      </c>
      <c r="U205">
        <v>1.001117</v>
      </c>
      <c r="V205">
        <v>0.99950099999999997</v>
      </c>
      <c r="W205">
        <v>1.000434</v>
      </c>
      <c r="X205">
        <v>1.000434</v>
      </c>
      <c r="Y205">
        <v>13815639937</v>
      </c>
      <c r="Z205">
        <v>0.49609999999999999</v>
      </c>
      <c r="AA205">
        <v>0.49646299999999999</v>
      </c>
      <c r="AB205">
        <v>0.43920599999999999</v>
      </c>
      <c r="AC205">
        <v>0.46313300000000002</v>
      </c>
      <c r="AD205">
        <v>0.46313300000000002</v>
      </c>
      <c r="AE205">
        <v>2551895485</v>
      </c>
      <c r="AK205" s="1">
        <v>44725</v>
      </c>
      <c r="AL205">
        <f t="shared" si="3"/>
        <v>1443.8354489999999</v>
      </c>
      <c r="AM205">
        <f>INDEX(A:AE,MATCH(AK205,worksheet!A:A,0),MATCH(worksheet!AM204,worksheet!A204:AE204,0))</f>
        <v>26737.578125</v>
      </c>
      <c r="AN205">
        <f>INDEX(A:AE,MATCH(AK205,worksheet!A:A,0),MATCH(worksheet!AN204,worksheet!A204:AE204,0))</f>
        <v>0.49609999999999999</v>
      </c>
      <c r="AO205">
        <f>INDEX(A:AE,MATCH(AK205,worksheet!A:A,0),MATCH(worksheet!AO204,worksheet!A204:AE204,0))</f>
        <v>0.99906899999999998</v>
      </c>
      <c r="AP205">
        <f>INDEX(A:AE,MATCH(AK205,worksheet!A:A,0),MATCH(worksheet!AP204,worksheet!A204:AE204,0))</f>
        <v>0.99997400000000003</v>
      </c>
    </row>
    <row r="206" spans="1:42" x14ac:dyDescent="0.25">
      <c r="A206" s="1">
        <v>44726</v>
      </c>
      <c r="B206">
        <v>1204.555298</v>
      </c>
      <c r="C206">
        <v>1252.471802</v>
      </c>
      <c r="D206">
        <v>1094.701904</v>
      </c>
      <c r="E206">
        <v>1211.662842</v>
      </c>
      <c r="F206">
        <v>1211.662842</v>
      </c>
      <c r="G206">
        <v>33327826525</v>
      </c>
      <c r="H206">
        <v>22487.986327999999</v>
      </c>
      <c r="I206">
        <v>23018.951172000001</v>
      </c>
      <c r="J206">
        <v>20950.818359000001</v>
      </c>
      <c r="K206">
        <v>22206.792968999998</v>
      </c>
      <c r="L206">
        <v>22206.792968999998</v>
      </c>
      <c r="M206">
        <v>50913575242</v>
      </c>
      <c r="N206">
        <v>0.99860199999999999</v>
      </c>
      <c r="O206">
        <v>0.999108</v>
      </c>
      <c r="P206">
        <v>0.99855499999999997</v>
      </c>
      <c r="Q206">
        <v>0.99895400000000001</v>
      </c>
      <c r="R206">
        <v>0.99895400000000001</v>
      </c>
      <c r="S206">
        <v>81024425505</v>
      </c>
      <c r="T206">
        <v>1.0005029999999999</v>
      </c>
      <c r="U206">
        <v>1.0012259999999999</v>
      </c>
      <c r="V206">
        <v>0.99959200000000004</v>
      </c>
      <c r="W206">
        <v>1.0007280000000001</v>
      </c>
      <c r="X206">
        <v>1.0007280000000001</v>
      </c>
      <c r="Y206">
        <v>9261666900</v>
      </c>
      <c r="Z206">
        <v>0.46325100000000002</v>
      </c>
      <c r="AA206">
        <v>0.51740299999999995</v>
      </c>
      <c r="AB206">
        <v>0.43853700000000001</v>
      </c>
      <c r="AC206">
        <v>0.48438599999999998</v>
      </c>
      <c r="AD206">
        <v>0.48438599999999998</v>
      </c>
      <c r="AE206">
        <v>2241209963</v>
      </c>
      <c r="AK206" s="1">
        <v>44726</v>
      </c>
      <c r="AL206">
        <f t="shared" si="3"/>
        <v>1204.555298</v>
      </c>
      <c r="AM206">
        <f>INDEX(A:AE,MATCH(AK206,worksheet!A:A,0),MATCH(worksheet!AM205,worksheet!A205:AE205,0))</f>
        <v>22487.986327999999</v>
      </c>
      <c r="AN206">
        <f>INDEX(A:AE,MATCH(AK206,worksheet!A:A,0),MATCH(worksheet!AN205,worksheet!A205:AE205,0))</f>
        <v>0.46325100000000002</v>
      </c>
      <c r="AO206">
        <f>INDEX(A:AE,MATCH(AK206,worksheet!A:A,0),MATCH(worksheet!AO205,worksheet!A205:AE205,0))</f>
        <v>0.99860199999999999</v>
      </c>
      <c r="AP206">
        <f>INDEX(A:AE,MATCH(AK206,worksheet!A:A,0),MATCH(worksheet!AP205,worksheet!A205:AE205,0))</f>
        <v>1.0005029999999999</v>
      </c>
    </row>
    <row r="207" spans="1:42" x14ac:dyDescent="0.25">
      <c r="A207" s="1">
        <v>44727</v>
      </c>
      <c r="B207">
        <v>1211.365967</v>
      </c>
      <c r="C207">
        <v>1236.627563</v>
      </c>
      <c r="D207">
        <v>1025.6842039999999</v>
      </c>
      <c r="E207">
        <v>1233.2064210000001</v>
      </c>
      <c r="F207">
        <v>1233.2064210000001</v>
      </c>
      <c r="G207">
        <v>37539999450</v>
      </c>
      <c r="H207">
        <v>22196.730468999998</v>
      </c>
      <c r="I207">
        <v>22642.671875</v>
      </c>
      <c r="J207">
        <v>20178.376952999999</v>
      </c>
      <c r="K207">
        <v>22572.839843999998</v>
      </c>
      <c r="L207">
        <v>22572.839843999998</v>
      </c>
      <c r="M207">
        <v>54912007015</v>
      </c>
      <c r="N207">
        <v>0.99893399999999999</v>
      </c>
      <c r="O207">
        <v>0.99902299999999999</v>
      </c>
      <c r="P207">
        <v>0.99818300000000004</v>
      </c>
      <c r="Q207">
        <v>0.998942</v>
      </c>
      <c r="R207">
        <v>0.998942</v>
      </c>
      <c r="S207">
        <v>89017006423</v>
      </c>
      <c r="T207">
        <v>1.0006429999999999</v>
      </c>
      <c r="U207">
        <v>1.0013399999999999</v>
      </c>
      <c r="V207">
        <v>0.99977700000000003</v>
      </c>
      <c r="W207">
        <v>1.000704</v>
      </c>
      <c r="X207">
        <v>1.000704</v>
      </c>
      <c r="Y207">
        <v>10865090032</v>
      </c>
      <c r="Z207">
        <v>0.48415999999999998</v>
      </c>
      <c r="AA207">
        <v>0.53679200000000005</v>
      </c>
      <c r="AB207">
        <v>0.450104</v>
      </c>
      <c r="AC207">
        <v>0.53329599999999999</v>
      </c>
      <c r="AD207">
        <v>0.53329599999999999</v>
      </c>
      <c r="AE207">
        <v>2335125416</v>
      </c>
      <c r="AK207" s="1">
        <v>44727</v>
      </c>
      <c r="AL207">
        <f t="shared" si="3"/>
        <v>1211.365967</v>
      </c>
      <c r="AM207">
        <f>INDEX(A:AE,MATCH(AK207,worksheet!A:A,0),MATCH(worksheet!AM206,worksheet!A206:AE206,0))</f>
        <v>22196.730468999998</v>
      </c>
      <c r="AN207">
        <f>INDEX(A:AE,MATCH(AK207,worksheet!A:A,0),MATCH(worksheet!AN206,worksheet!A206:AE206,0))</f>
        <v>0.48415999999999998</v>
      </c>
      <c r="AO207">
        <f>INDEX(A:AE,MATCH(AK207,worksheet!A:A,0),MATCH(worksheet!AO206,worksheet!A206:AE206,0))</f>
        <v>0.99893399999999999</v>
      </c>
      <c r="AP207">
        <f>INDEX(A:AE,MATCH(AK207,worksheet!A:A,0),MATCH(worksheet!AP206,worksheet!A206:AE206,0))</f>
        <v>1.0006429999999999</v>
      </c>
    </row>
    <row r="208" spans="1:42" x14ac:dyDescent="0.25">
      <c r="A208" s="1">
        <v>44728</v>
      </c>
      <c r="B208">
        <v>1233.6035159999999</v>
      </c>
      <c r="C208">
        <v>1246.140625</v>
      </c>
      <c r="D208">
        <v>1058.7845460000001</v>
      </c>
      <c r="E208">
        <v>1067.7307129999999</v>
      </c>
      <c r="F208">
        <v>1067.7307129999999</v>
      </c>
      <c r="G208">
        <v>18907671369</v>
      </c>
      <c r="H208">
        <v>22576.304688</v>
      </c>
      <c r="I208">
        <v>22868.921875</v>
      </c>
      <c r="J208">
        <v>20265.226563</v>
      </c>
      <c r="K208">
        <v>20381.650390999999</v>
      </c>
      <c r="L208">
        <v>20381.650390999999</v>
      </c>
      <c r="M208">
        <v>31183975654</v>
      </c>
      <c r="N208">
        <v>0.99892000000000003</v>
      </c>
      <c r="O208">
        <v>0.99913399999999997</v>
      </c>
      <c r="P208">
        <v>0.99864200000000003</v>
      </c>
      <c r="Q208">
        <v>0.99892999999999998</v>
      </c>
      <c r="R208">
        <v>0.99892999999999998</v>
      </c>
      <c r="S208">
        <v>52400892767</v>
      </c>
      <c r="T208">
        <v>1.0007109999999999</v>
      </c>
      <c r="U208">
        <v>1.000909</v>
      </c>
      <c r="V208">
        <v>0.99978900000000004</v>
      </c>
      <c r="W208">
        <v>1.0003679999999999</v>
      </c>
      <c r="X208">
        <v>1.0003679999999999</v>
      </c>
      <c r="Y208">
        <v>6216714654</v>
      </c>
      <c r="Z208">
        <v>0.53352900000000003</v>
      </c>
      <c r="AA208">
        <v>0.54401699999999997</v>
      </c>
      <c r="AB208">
        <v>0.46901799999999999</v>
      </c>
      <c r="AC208">
        <v>0.475022</v>
      </c>
      <c r="AD208">
        <v>0.475022</v>
      </c>
      <c r="AE208">
        <v>1226235066</v>
      </c>
      <c r="AK208" s="1">
        <v>44728</v>
      </c>
      <c r="AL208">
        <f t="shared" si="3"/>
        <v>1233.6035159999999</v>
      </c>
      <c r="AM208">
        <f>INDEX(A:AE,MATCH(AK208,worksheet!A:A,0),MATCH(worksheet!AM207,worksheet!A207:AE207,0))</f>
        <v>22576.304688</v>
      </c>
      <c r="AN208">
        <f>INDEX(A:AE,MATCH(AK208,worksheet!A:A,0),MATCH(worksheet!AN207,worksheet!A207:AE207,0))</f>
        <v>0.53352900000000003</v>
      </c>
      <c r="AO208">
        <f>INDEX(A:AE,MATCH(AK208,worksheet!A:A,0),MATCH(worksheet!AO207,worksheet!A207:AE207,0))</f>
        <v>0.99892000000000003</v>
      </c>
      <c r="AP208">
        <f>INDEX(A:AE,MATCH(AK208,worksheet!A:A,0),MATCH(worksheet!AP207,worksheet!A207:AE207,0))</f>
        <v>1.0007109999999999</v>
      </c>
    </row>
    <row r="209" spans="1:42" x14ac:dyDescent="0.25">
      <c r="A209" s="1">
        <v>44729</v>
      </c>
      <c r="B209">
        <v>1067.9876710000001</v>
      </c>
      <c r="C209">
        <v>1112.471558</v>
      </c>
      <c r="D209">
        <v>1060.8676760000001</v>
      </c>
      <c r="E209">
        <v>1086.5192870000001</v>
      </c>
      <c r="F209">
        <v>1086.5192870000001</v>
      </c>
      <c r="G209">
        <v>14591486540</v>
      </c>
      <c r="H209">
        <v>20385.71875</v>
      </c>
      <c r="I209">
        <v>21243.3125</v>
      </c>
      <c r="J209">
        <v>20326.519531000002</v>
      </c>
      <c r="K209">
        <v>20471.482422000001</v>
      </c>
      <c r="L209">
        <v>20471.482422000001</v>
      </c>
      <c r="M209">
        <v>27132421514</v>
      </c>
      <c r="N209">
        <v>0.99895100000000003</v>
      </c>
      <c r="O209">
        <v>0.99907400000000002</v>
      </c>
      <c r="P209">
        <v>0.99868100000000004</v>
      </c>
      <c r="Q209">
        <v>0.99903600000000004</v>
      </c>
      <c r="R209">
        <v>0.99903600000000004</v>
      </c>
      <c r="S209">
        <v>43836219287</v>
      </c>
      <c r="T209">
        <v>1.0004489999999999</v>
      </c>
      <c r="U209">
        <v>1.001064</v>
      </c>
      <c r="V209">
        <v>0.99992199999999998</v>
      </c>
      <c r="W209">
        <v>1.000208</v>
      </c>
      <c r="X209">
        <v>1.000208</v>
      </c>
      <c r="Y209">
        <v>5283451774</v>
      </c>
      <c r="Z209">
        <v>0.47518300000000002</v>
      </c>
      <c r="AA209">
        <v>0.50273900000000005</v>
      </c>
      <c r="AB209">
        <v>0.47347800000000001</v>
      </c>
      <c r="AC209">
        <v>0.48739199999999999</v>
      </c>
      <c r="AD209">
        <v>0.48739199999999999</v>
      </c>
      <c r="AE209">
        <v>872710309</v>
      </c>
      <c r="AK209" s="1">
        <v>44729</v>
      </c>
      <c r="AL209">
        <f t="shared" si="3"/>
        <v>1067.9876710000001</v>
      </c>
      <c r="AM209">
        <f>INDEX(A:AE,MATCH(AK209,worksheet!A:A,0),MATCH(worksheet!AM208,worksheet!A208:AE208,0))</f>
        <v>20385.71875</v>
      </c>
      <c r="AN209">
        <f>INDEX(A:AE,MATCH(AK209,worksheet!A:A,0),MATCH(worksheet!AN208,worksheet!A208:AE208,0))</f>
        <v>0.47518300000000002</v>
      </c>
      <c r="AO209">
        <f>INDEX(A:AE,MATCH(AK209,worksheet!A:A,0),MATCH(worksheet!AO208,worksheet!A208:AE208,0))</f>
        <v>0.99895100000000003</v>
      </c>
      <c r="AP209">
        <f>INDEX(A:AE,MATCH(AK209,worksheet!A:A,0),MATCH(worksheet!AP208,worksheet!A208:AE208,0))</f>
        <v>1.0004489999999999</v>
      </c>
    </row>
    <row r="210" spans="1:42" x14ac:dyDescent="0.25">
      <c r="A210" s="1">
        <v>44730</v>
      </c>
      <c r="B210">
        <v>1086.3779300000001</v>
      </c>
      <c r="C210">
        <v>1095.16687</v>
      </c>
      <c r="D210">
        <v>896.10900900000001</v>
      </c>
      <c r="E210">
        <v>993.63678000000004</v>
      </c>
      <c r="F210">
        <v>993.63678000000004</v>
      </c>
      <c r="G210">
        <v>21655406608</v>
      </c>
      <c r="H210">
        <v>20473.425781000002</v>
      </c>
      <c r="I210">
        <v>20736.041015999999</v>
      </c>
      <c r="J210">
        <v>17708.623047000001</v>
      </c>
      <c r="K210">
        <v>19017.642577999999</v>
      </c>
      <c r="L210">
        <v>19017.642577999999</v>
      </c>
      <c r="M210">
        <v>42009436760</v>
      </c>
      <c r="N210">
        <v>0.99901799999999996</v>
      </c>
      <c r="O210">
        <v>0.99904499999999996</v>
      </c>
      <c r="P210">
        <v>0.99845399999999995</v>
      </c>
      <c r="Q210">
        <v>0.99866699999999997</v>
      </c>
      <c r="R210">
        <v>0.99866699999999997</v>
      </c>
      <c r="S210">
        <v>61973128141</v>
      </c>
      <c r="T210">
        <v>1.000151</v>
      </c>
      <c r="U210">
        <v>1.0013240000000001</v>
      </c>
      <c r="V210">
        <v>0.999587</v>
      </c>
      <c r="W210">
        <v>1.0003150000000001</v>
      </c>
      <c r="X210">
        <v>1.0003150000000001</v>
      </c>
      <c r="Y210">
        <v>7168140282</v>
      </c>
      <c r="Z210">
        <v>0.48736699999999999</v>
      </c>
      <c r="AA210">
        <v>0.49466900000000003</v>
      </c>
      <c r="AB210">
        <v>0.42341899999999999</v>
      </c>
      <c r="AC210">
        <v>0.45618199999999998</v>
      </c>
      <c r="AD210">
        <v>0.45618199999999998</v>
      </c>
      <c r="AE210">
        <v>1214101657</v>
      </c>
      <c r="AK210" s="1">
        <v>44730</v>
      </c>
      <c r="AL210">
        <f t="shared" si="3"/>
        <v>1086.3779300000001</v>
      </c>
      <c r="AM210">
        <f>INDEX(A:AE,MATCH(AK210,worksheet!A:A,0),MATCH(worksheet!AM209,worksheet!A209:AE209,0))</f>
        <v>20473.425781000002</v>
      </c>
      <c r="AN210">
        <f>INDEX(A:AE,MATCH(AK210,worksheet!A:A,0),MATCH(worksheet!AN209,worksheet!A209:AE209,0))</f>
        <v>0.48736699999999999</v>
      </c>
      <c r="AO210">
        <f>INDEX(A:AE,MATCH(AK210,worksheet!A:A,0),MATCH(worksheet!AO209,worksheet!A209:AE209,0))</f>
        <v>0.99901799999999996</v>
      </c>
      <c r="AP210">
        <f>INDEX(A:AE,MATCH(AK210,worksheet!A:A,0),MATCH(worksheet!AP209,worksheet!A209:AE209,0))</f>
        <v>1.000151</v>
      </c>
    </row>
    <row r="211" spans="1:42" x14ac:dyDescent="0.25">
      <c r="A211" s="1">
        <v>44731</v>
      </c>
      <c r="B211">
        <v>993.40063499999997</v>
      </c>
      <c r="C211">
        <v>1142.3408199999999</v>
      </c>
      <c r="D211">
        <v>943.11633300000005</v>
      </c>
      <c r="E211">
        <v>1127.6564940000001</v>
      </c>
      <c r="F211">
        <v>1127.6564940000001</v>
      </c>
      <c r="G211">
        <v>21795481981</v>
      </c>
      <c r="H211">
        <v>19010.902343999998</v>
      </c>
      <c r="I211">
        <v>20683.822265999999</v>
      </c>
      <c r="J211">
        <v>18067.152343999998</v>
      </c>
      <c r="K211">
        <v>20553.271484000001</v>
      </c>
      <c r="L211">
        <v>20553.271484000001</v>
      </c>
      <c r="M211">
        <v>35329942625</v>
      </c>
      <c r="N211">
        <v>0.99865599999999999</v>
      </c>
      <c r="O211">
        <v>0.99901200000000001</v>
      </c>
      <c r="P211">
        <v>0.99846999999999997</v>
      </c>
      <c r="Q211">
        <v>0.998969</v>
      </c>
      <c r="R211">
        <v>0.998969</v>
      </c>
      <c r="S211">
        <v>55603476684</v>
      </c>
      <c r="T211">
        <v>1.0002580000000001</v>
      </c>
      <c r="U211">
        <v>1.001096</v>
      </c>
      <c r="V211">
        <v>0.99989600000000001</v>
      </c>
      <c r="W211">
        <v>1.0004040000000001</v>
      </c>
      <c r="X211">
        <v>1.0004040000000001</v>
      </c>
      <c r="Y211">
        <v>6073489273</v>
      </c>
      <c r="Z211">
        <v>0.45596999999999999</v>
      </c>
      <c r="AA211">
        <v>0.48722599999999999</v>
      </c>
      <c r="AB211">
        <v>0.43721300000000002</v>
      </c>
      <c r="AC211">
        <v>0.48436400000000002</v>
      </c>
      <c r="AD211">
        <v>0.48436400000000002</v>
      </c>
      <c r="AE211">
        <v>1050008285</v>
      </c>
      <c r="AK211" s="1">
        <v>44731</v>
      </c>
      <c r="AL211">
        <f t="shared" si="3"/>
        <v>993.40063499999997</v>
      </c>
      <c r="AM211">
        <f>INDEX(A:AE,MATCH(AK211,worksheet!A:A,0),MATCH(worksheet!AM210,worksheet!A210:AE210,0))</f>
        <v>19010.902343999998</v>
      </c>
      <c r="AN211">
        <f>INDEX(A:AE,MATCH(AK211,worksheet!A:A,0),MATCH(worksheet!AN210,worksheet!A210:AE210,0))</f>
        <v>0.45596999999999999</v>
      </c>
      <c r="AO211">
        <f>INDEX(A:AE,MATCH(AK211,worksheet!A:A,0),MATCH(worksheet!AO210,worksheet!A210:AE210,0))</f>
        <v>0.99865599999999999</v>
      </c>
      <c r="AP211">
        <f>INDEX(A:AE,MATCH(AK211,worksheet!A:A,0),MATCH(worksheet!AP210,worksheet!A210:AE210,0))</f>
        <v>1.0002580000000001</v>
      </c>
    </row>
    <row r="212" spans="1:42" x14ac:dyDescent="0.25">
      <c r="A212" s="1">
        <v>44732</v>
      </c>
      <c r="B212">
        <v>1127.65625</v>
      </c>
      <c r="C212">
        <v>1159.9853519999999</v>
      </c>
      <c r="D212">
        <v>1066.113159</v>
      </c>
      <c r="E212">
        <v>1127.642456</v>
      </c>
      <c r="F212">
        <v>1127.642456</v>
      </c>
      <c r="G212">
        <v>19739691429</v>
      </c>
      <c r="H212">
        <v>20553.371093999998</v>
      </c>
      <c r="I212">
        <v>20913.322265999999</v>
      </c>
      <c r="J212">
        <v>19689.169922000001</v>
      </c>
      <c r="K212">
        <v>20599.537109000001</v>
      </c>
      <c r="L212">
        <v>20599.537109000001</v>
      </c>
      <c r="M212">
        <v>30818458597</v>
      </c>
      <c r="N212">
        <v>0.99894700000000003</v>
      </c>
      <c r="O212">
        <v>0.99911099999999997</v>
      </c>
      <c r="P212">
        <v>0.99862899999999999</v>
      </c>
      <c r="Q212">
        <v>0.99895699999999998</v>
      </c>
      <c r="R212">
        <v>0.99895699999999998</v>
      </c>
      <c r="S212">
        <v>52157987688</v>
      </c>
      <c r="T212">
        <v>1.0004090000000001</v>
      </c>
      <c r="U212">
        <v>1.000983</v>
      </c>
      <c r="V212">
        <v>0.99984399999999996</v>
      </c>
      <c r="W212">
        <v>1.0001519999999999</v>
      </c>
      <c r="X212">
        <v>1.0001519999999999</v>
      </c>
      <c r="Y212">
        <v>5394231917</v>
      </c>
      <c r="Z212">
        <v>0.48440299999999997</v>
      </c>
      <c r="AA212">
        <v>0.507965</v>
      </c>
      <c r="AB212">
        <v>0.46288600000000002</v>
      </c>
      <c r="AC212">
        <v>0.492261</v>
      </c>
      <c r="AD212">
        <v>0.492261</v>
      </c>
      <c r="AE212">
        <v>1096263588</v>
      </c>
      <c r="AK212" s="1">
        <v>44732</v>
      </c>
      <c r="AL212">
        <f t="shared" si="3"/>
        <v>1127.65625</v>
      </c>
      <c r="AM212">
        <f>INDEX(A:AE,MATCH(AK212,worksheet!A:A,0),MATCH(worksheet!AM211,worksheet!A211:AE211,0))</f>
        <v>20553.371093999998</v>
      </c>
      <c r="AN212">
        <f>INDEX(A:AE,MATCH(AK212,worksheet!A:A,0),MATCH(worksheet!AN211,worksheet!A211:AE211,0))</f>
        <v>0.48440299999999997</v>
      </c>
      <c r="AO212">
        <f>INDEX(A:AE,MATCH(AK212,worksheet!A:A,0),MATCH(worksheet!AO211,worksheet!A211:AE211,0))</f>
        <v>0.99894700000000003</v>
      </c>
      <c r="AP212">
        <f>INDEX(A:AE,MATCH(AK212,worksheet!A:A,0),MATCH(worksheet!AP211,worksheet!A211:AE211,0))</f>
        <v>1.0004090000000001</v>
      </c>
    </row>
    <row r="213" spans="1:42" x14ac:dyDescent="0.25">
      <c r="A213" s="1">
        <v>44733</v>
      </c>
      <c r="B213">
        <v>1127.511841</v>
      </c>
      <c r="C213">
        <v>1185.432495</v>
      </c>
      <c r="D213">
        <v>1112.5726320000001</v>
      </c>
      <c r="E213">
        <v>1124.8245850000001</v>
      </c>
      <c r="F213">
        <v>1124.8245850000001</v>
      </c>
      <c r="G213">
        <v>15632089439</v>
      </c>
      <c r="H213">
        <v>20594.294922000001</v>
      </c>
      <c r="I213">
        <v>21620.628906000002</v>
      </c>
      <c r="J213">
        <v>20415.0625</v>
      </c>
      <c r="K213">
        <v>20710.597656000002</v>
      </c>
      <c r="L213">
        <v>20710.597656000002</v>
      </c>
      <c r="M213">
        <v>28970212744</v>
      </c>
      <c r="N213">
        <v>0.99897100000000005</v>
      </c>
      <c r="O213">
        <v>0.99920600000000004</v>
      </c>
      <c r="P213">
        <v>0.99889799999999995</v>
      </c>
      <c r="Q213">
        <v>0.99909400000000004</v>
      </c>
      <c r="R213">
        <v>0.99909400000000004</v>
      </c>
      <c r="S213">
        <v>50165859626</v>
      </c>
      <c r="T213">
        <v>1.0001800000000001</v>
      </c>
      <c r="U213">
        <v>1.001109</v>
      </c>
      <c r="V213">
        <v>0.99983900000000003</v>
      </c>
      <c r="W213">
        <v>0.99994300000000003</v>
      </c>
      <c r="X213">
        <v>0.99994300000000003</v>
      </c>
      <c r="Y213">
        <v>4898540814</v>
      </c>
      <c r="Z213">
        <v>0.49226999999999999</v>
      </c>
      <c r="AA213">
        <v>0.50972799999999996</v>
      </c>
      <c r="AB213">
        <v>0.47731800000000002</v>
      </c>
      <c r="AC213">
        <v>0.47920400000000002</v>
      </c>
      <c r="AD213">
        <v>0.47920400000000002</v>
      </c>
      <c r="AE213">
        <v>1018828248</v>
      </c>
      <c r="AK213" s="1">
        <v>44733</v>
      </c>
      <c r="AL213">
        <f t="shared" si="3"/>
        <v>1127.511841</v>
      </c>
      <c r="AM213">
        <f>INDEX(A:AE,MATCH(AK213,worksheet!A:A,0),MATCH(worksheet!AM212,worksheet!A212:AE212,0))</f>
        <v>20594.294922000001</v>
      </c>
      <c r="AN213">
        <f>INDEX(A:AE,MATCH(AK213,worksheet!A:A,0),MATCH(worksheet!AN212,worksheet!A212:AE212,0))</f>
        <v>0.49226999999999999</v>
      </c>
      <c r="AO213">
        <f>INDEX(A:AE,MATCH(AK213,worksheet!A:A,0),MATCH(worksheet!AO212,worksheet!A212:AE212,0))</f>
        <v>0.99897100000000005</v>
      </c>
      <c r="AP213">
        <f>INDEX(A:AE,MATCH(AK213,worksheet!A:A,0),MATCH(worksheet!AP212,worksheet!A212:AE212,0))</f>
        <v>1.0001800000000001</v>
      </c>
    </row>
    <row r="214" spans="1:42" x14ac:dyDescent="0.25">
      <c r="A214" s="1">
        <v>44734</v>
      </c>
      <c r="B214">
        <v>1125.3729249999999</v>
      </c>
      <c r="C214">
        <v>1126.2617190000001</v>
      </c>
      <c r="D214">
        <v>1049.7633060000001</v>
      </c>
      <c r="E214">
        <v>1051.421875</v>
      </c>
      <c r="F214">
        <v>1051.421875</v>
      </c>
      <c r="G214">
        <v>15010593493</v>
      </c>
      <c r="H214">
        <v>20719.414063</v>
      </c>
      <c r="I214">
        <v>20835.75</v>
      </c>
      <c r="J214">
        <v>19848.078125</v>
      </c>
      <c r="K214">
        <v>19987.029297000001</v>
      </c>
      <c r="L214">
        <v>19987.029297000001</v>
      </c>
      <c r="M214">
        <v>28574793478</v>
      </c>
      <c r="N214">
        <v>0.99909300000000001</v>
      </c>
      <c r="O214">
        <v>0.99912599999999996</v>
      </c>
      <c r="P214">
        <v>0.99887199999999998</v>
      </c>
      <c r="Q214">
        <v>0.99909499999999996</v>
      </c>
      <c r="R214">
        <v>0.99909499999999996</v>
      </c>
      <c r="S214">
        <v>46130025676</v>
      </c>
      <c r="T214">
        <v>0.99996399999999996</v>
      </c>
      <c r="U214">
        <v>1.000791</v>
      </c>
      <c r="V214">
        <v>0.99962799999999996</v>
      </c>
      <c r="W214">
        <v>1.000108</v>
      </c>
      <c r="X214">
        <v>1.000108</v>
      </c>
      <c r="Y214">
        <v>4567777097</v>
      </c>
      <c r="Z214">
        <v>0.47950599999999999</v>
      </c>
      <c r="AA214">
        <v>0.48099599999999998</v>
      </c>
      <c r="AB214">
        <v>0.45794299999999999</v>
      </c>
      <c r="AC214">
        <v>0.45856799999999998</v>
      </c>
      <c r="AD214">
        <v>0.45856799999999998</v>
      </c>
      <c r="AE214">
        <v>818977392</v>
      </c>
      <c r="AK214" s="1">
        <v>44734</v>
      </c>
      <c r="AL214">
        <f t="shared" si="3"/>
        <v>1125.3729249999999</v>
      </c>
      <c r="AM214">
        <f>INDEX(A:AE,MATCH(AK214,worksheet!A:A,0),MATCH(worksheet!AM213,worksheet!A213:AE213,0))</f>
        <v>20719.414063</v>
      </c>
      <c r="AN214">
        <f>INDEX(A:AE,MATCH(AK214,worksheet!A:A,0),MATCH(worksheet!AN213,worksheet!A213:AE213,0))</f>
        <v>0.47950599999999999</v>
      </c>
      <c r="AO214">
        <f>INDEX(A:AE,MATCH(AK214,worksheet!A:A,0),MATCH(worksheet!AO213,worksheet!A213:AE213,0))</f>
        <v>0.99909300000000001</v>
      </c>
      <c r="AP214">
        <f>INDEX(A:AE,MATCH(AK214,worksheet!A:A,0),MATCH(worksheet!AP213,worksheet!A213:AE213,0))</f>
        <v>0.99996399999999996</v>
      </c>
    </row>
    <row r="215" spans="1:42" x14ac:dyDescent="0.25">
      <c r="A215" s="1">
        <v>44735</v>
      </c>
      <c r="B215">
        <v>1051.329346</v>
      </c>
      <c r="C215">
        <v>1146.494263</v>
      </c>
      <c r="D215">
        <v>1050.2196039999999</v>
      </c>
      <c r="E215">
        <v>1143.3867190000001</v>
      </c>
      <c r="F215">
        <v>1143.3867190000001</v>
      </c>
      <c r="G215">
        <v>14657862919</v>
      </c>
      <c r="H215">
        <v>19986.607422000001</v>
      </c>
      <c r="I215">
        <v>21135.761718999998</v>
      </c>
      <c r="J215">
        <v>19950.117188</v>
      </c>
      <c r="K215">
        <v>21085.876952999999</v>
      </c>
      <c r="L215">
        <v>21085.876952999999</v>
      </c>
      <c r="M215">
        <v>26188097173</v>
      </c>
      <c r="N215">
        <v>0.99909599999999998</v>
      </c>
      <c r="O215">
        <v>0.99932799999999999</v>
      </c>
      <c r="P215">
        <v>0.99889799999999995</v>
      </c>
      <c r="Q215">
        <v>0.99927999999999995</v>
      </c>
      <c r="R215">
        <v>0.99927999999999995</v>
      </c>
      <c r="S215">
        <v>43198538082</v>
      </c>
      <c r="T215">
        <v>1.0000929999999999</v>
      </c>
      <c r="U215">
        <v>1.0007790000000001</v>
      </c>
      <c r="V215">
        <v>0.99981900000000001</v>
      </c>
      <c r="W215">
        <v>1.0005390000000001</v>
      </c>
      <c r="X215">
        <v>1.0005390000000001</v>
      </c>
      <c r="Y215">
        <v>4598601365</v>
      </c>
      <c r="Z215">
        <v>0.458652</v>
      </c>
      <c r="AA215">
        <v>0.48222100000000001</v>
      </c>
      <c r="AB215">
        <v>0.45804</v>
      </c>
      <c r="AC215">
        <v>0.480292</v>
      </c>
      <c r="AD215">
        <v>0.480292</v>
      </c>
      <c r="AE215">
        <v>711554788</v>
      </c>
      <c r="AK215" s="1">
        <v>44735</v>
      </c>
      <c r="AL215">
        <f t="shared" si="3"/>
        <v>1051.329346</v>
      </c>
      <c r="AM215">
        <f>INDEX(A:AE,MATCH(AK215,worksheet!A:A,0),MATCH(worksheet!AM214,worksheet!A214:AE214,0))</f>
        <v>19986.607422000001</v>
      </c>
      <c r="AN215">
        <f>INDEX(A:AE,MATCH(AK215,worksheet!A:A,0),MATCH(worksheet!AN214,worksheet!A214:AE214,0))</f>
        <v>0.458652</v>
      </c>
      <c r="AO215">
        <f>INDEX(A:AE,MATCH(AK215,worksheet!A:A,0),MATCH(worksheet!AO214,worksheet!A214:AE214,0))</f>
        <v>0.99909599999999998</v>
      </c>
      <c r="AP215">
        <f>INDEX(A:AE,MATCH(AK215,worksheet!A:A,0),MATCH(worksheet!AP214,worksheet!A214:AE214,0))</f>
        <v>1.0000929999999999</v>
      </c>
    </row>
    <row r="216" spans="1:42" x14ac:dyDescent="0.25">
      <c r="A216" s="1">
        <v>44736</v>
      </c>
      <c r="B216">
        <v>1143.204712</v>
      </c>
      <c r="C216">
        <v>1238.616943</v>
      </c>
      <c r="D216">
        <v>1134.514038</v>
      </c>
      <c r="E216">
        <v>1226.8447269999999</v>
      </c>
      <c r="F216">
        <v>1226.8447269999999</v>
      </c>
      <c r="G216">
        <v>16981552654</v>
      </c>
      <c r="H216">
        <v>21084.648438</v>
      </c>
      <c r="I216">
        <v>21472.917968999998</v>
      </c>
      <c r="J216">
        <v>20777.511718999998</v>
      </c>
      <c r="K216">
        <v>21231.65625</v>
      </c>
      <c r="L216">
        <v>21231.65625</v>
      </c>
      <c r="M216">
        <v>24957784918</v>
      </c>
      <c r="N216">
        <v>0.99925900000000001</v>
      </c>
      <c r="O216">
        <v>0.99950399999999995</v>
      </c>
      <c r="P216">
        <v>0.99913700000000005</v>
      </c>
      <c r="Q216">
        <v>0.99932500000000002</v>
      </c>
      <c r="R216">
        <v>0.99932500000000002</v>
      </c>
      <c r="S216">
        <v>46919267632</v>
      </c>
      <c r="T216">
        <v>1.0005599999999999</v>
      </c>
      <c r="U216">
        <v>1.0006200000000001</v>
      </c>
      <c r="V216">
        <v>0.999807</v>
      </c>
      <c r="W216">
        <v>0.99986399999999998</v>
      </c>
      <c r="X216">
        <v>0.99986399999999998</v>
      </c>
      <c r="Y216">
        <v>5032854948</v>
      </c>
      <c r="Z216">
        <v>0.48019899999999999</v>
      </c>
      <c r="AA216">
        <v>0.50881600000000005</v>
      </c>
      <c r="AB216">
        <v>0.477045</v>
      </c>
      <c r="AC216">
        <v>0.499224</v>
      </c>
      <c r="AD216">
        <v>0.499224</v>
      </c>
      <c r="AE216">
        <v>945924412</v>
      </c>
      <c r="AK216" s="1">
        <v>44736</v>
      </c>
      <c r="AL216">
        <f t="shared" si="3"/>
        <v>1143.204712</v>
      </c>
      <c r="AM216">
        <f>INDEX(A:AE,MATCH(AK216,worksheet!A:A,0),MATCH(worksheet!AM215,worksheet!A215:AE215,0))</f>
        <v>21084.648438</v>
      </c>
      <c r="AN216">
        <f>INDEX(A:AE,MATCH(AK216,worksheet!A:A,0),MATCH(worksheet!AN215,worksheet!A215:AE215,0))</f>
        <v>0.48019899999999999</v>
      </c>
      <c r="AO216">
        <f>INDEX(A:AE,MATCH(AK216,worksheet!A:A,0),MATCH(worksheet!AO215,worksheet!A215:AE215,0))</f>
        <v>0.99925900000000001</v>
      </c>
      <c r="AP216">
        <f>INDEX(A:AE,MATCH(AK216,worksheet!A:A,0),MATCH(worksheet!AP215,worksheet!A215:AE215,0))</f>
        <v>1.0005599999999999</v>
      </c>
    </row>
    <row r="217" spans="1:42" x14ac:dyDescent="0.25">
      <c r="A217" s="1">
        <v>44737</v>
      </c>
      <c r="B217">
        <v>1226.724731</v>
      </c>
      <c r="C217">
        <v>1246.3942870000001</v>
      </c>
      <c r="D217">
        <v>1184.5620120000001</v>
      </c>
      <c r="E217">
        <v>1243.446899</v>
      </c>
      <c r="F217">
        <v>1243.446899</v>
      </c>
      <c r="G217">
        <v>12481946184</v>
      </c>
      <c r="H217">
        <v>21233.609375</v>
      </c>
      <c r="I217">
        <v>21520.914063</v>
      </c>
      <c r="J217">
        <v>20964.585938</v>
      </c>
      <c r="K217">
        <v>21502.337890999999</v>
      </c>
      <c r="L217">
        <v>21502.337890999999</v>
      </c>
      <c r="M217">
        <v>18372538715</v>
      </c>
      <c r="N217">
        <v>0.999336</v>
      </c>
      <c r="O217">
        <v>0.99961100000000003</v>
      </c>
      <c r="P217">
        <v>0.99927299999999997</v>
      </c>
      <c r="Q217">
        <v>0.99954799999999999</v>
      </c>
      <c r="R217">
        <v>0.99954799999999999</v>
      </c>
      <c r="S217">
        <v>36390241725</v>
      </c>
      <c r="T217">
        <v>0.99992000000000003</v>
      </c>
      <c r="U217">
        <v>1.0006600000000001</v>
      </c>
      <c r="V217">
        <v>0.99966200000000005</v>
      </c>
      <c r="W217">
        <v>1.0001040000000001</v>
      </c>
      <c r="X217">
        <v>1.0001040000000001</v>
      </c>
      <c r="Y217">
        <v>3411506544</v>
      </c>
      <c r="Z217">
        <v>0.49923299999999998</v>
      </c>
      <c r="AA217">
        <v>0.50694300000000003</v>
      </c>
      <c r="AB217">
        <v>0.47951700000000003</v>
      </c>
      <c r="AC217">
        <v>0.498946</v>
      </c>
      <c r="AD217">
        <v>0.498946</v>
      </c>
      <c r="AE217">
        <v>649820170</v>
      </c>
      <c r="AK217" s="1">
        <v>44737</v>
      </c>
      <c r="AL217">
        <f t="shared" si="3"/>
        <v>1226.724731</v>
      </c>
      <c r="AM217">
        <f>INDEX(A:AE,MATCH(AK217,worksheet!A:A,0),MATCH(worksheet!AM216,worksheet!A216:AE216,0))</f>
        <v>21233.609375</v>
      </c>
      <c r="AN217">
        <f>INDEX(A:AE,MATCH(AK217,worksheet!A:A,0),MATCH(worksheet!AN216,worksheet!A216:AE216,0))</f>
        <v>0.49923299999999998</v>
      </c>
      <c r="AO217">
        <f>INDEX(A:AE,MATCH(AK217,worksheet!A:A,0),MATCH(worksheet!AO216,worksheet!A216:AE216,0))</f>
        <v>0.999336</v>
      </c>
      <c r="AP217">
        <f>INDEX(A:AE,MATCH(AK217,worksheet!A:A,0),MATCH(worksheet!AP216,worksheet!A216:AE216,0))</f>
        <v>0.99992000000000003</v>
      </c>
    </row>
    <row r="218" spans="1:42" x14ac:dyDescent="0.25">
      <c r="A218" s="1">
        <v>44738</v>
      </c>
      <c r="B218">
        <v>1242.9875489999999</v>
      </c>
      <c r="C218">
        <v>1272.131226</v>
      </c>
      <c r="D218">
        <v>1199.4063719999999</v>
      </c>
      <c r="E218">
        <v>1199.8316649999999</v>
      </c>
      <c r="F218">
        <v>1199.8316649999999</v>
      </c>
      <c r="G218">
        <v>12096607824</v>
      </c>
      <c r="H218">
        <v>21496.494140999999</v>
      </c>
      <c r="I218">
        <v>21783.724609000001</v>
      </c>
      <c r="J218">
        <v>21016.269531000002</v>
      </c>
      <c r="K218">
        <v>21027.294922000001</v>
      </c>
      <c r="L218">
        <v>21027.294922000001</v>
      </c>
      <c r="M218">
        <v>18027170497</v>
      </c>
      <c r="N218">
        <v>0.99955099999999997</v>
      </c>
      <c r="O218">
        <v>0.99959500000000001</v>
      </c>
      <c r="P218">
        <v>0.99937399999999998</v>
      </c>
      <c r="Q218">
        <v>0.99939800000000001</v>
      </c>
      <c r="R218">
        <v>0.99939800000000001</v>
      </c>
      <c r="S218">
        <v>37228683270</v>
      </c>
      <c r="T218">
        <v>1.0000830000000001</v>
      </c>
      <c r="U218">
        <v>1.0007360000000001</v>
      </c>
      <c r="V218">
        <v>0.99981200000000003</v>
      </c>
      <c r="W218">
        <v>0.99981299999999995</v>
      </c>
      <c r="X218">
        <v>0.99981299999999995</v>
      </c>
      <c r="Y218">
        <v>3243270528</v>
      </c>
      <c r="Z218">
        <v>0.49887599999999999</v>
      </c>
      <c r="AA218">
        <v>0.52403699999999998</v>
      </c>
      <c r="AB218">
        <v>0.48942600000000003</v>
      </c>
      <c r="AC218">
        <v>0.489653</v>
      </c>
      <c r="AD218">
        <v>0.489653</v>
      </c>
      <c r="AE218">
        <v>842528877</v>
      </c>
      <c r="AK218" s="1">
        <v>44738</v>
      </c>
      <c r="AL218">
        <f t="shared" si="3"/>
        <v>1242.9875489999999</v>
      </c>
      <c r="AM218">
        <f>INDEX(A:AE,MATCH(AK218,worksheet!A:A,0),MATCH(worksheet!AM217,worksheet!A217:AE217,0))</f>
        <v>21496.494140999999</v>
      </c>
      <c r="AN218">
        <f>INDEX(A:AE,MATCH(AK218,worksheet!A:A,0),MATCH(worksheet!AN217,worksheet!A217:AE217,0))</f>
        <v>0.49887599999999999</v>
      </c>
      <c r="AO218">
        <f>INDEX(A:AE,MATCH(AK218,worksheet!A:A,0),MATCH(worksheet!AO217,worksheet!A217:AE217,0))</f>
        <v>0.99955099999999997</v>
      </c>
      <c r="AP218">
        <f>INDEX(A:AE,MATCH(AK218,worksheet!A:A,0),MATCH(worksheet!AP217,worksheet!A217:AE217,0))</f>
        <v>1.0000830000000001</v>
      </c>
    </row>
    <row r="219" spans="1:42" x14ac:dyDescent="0.25">
      <c r="A219" s="1">
        <v>44739</v>
      </c>
      <c r="B219">
        <v>1199.713135</v>
      </c>
      <c r="C219">
        <v>1234.1807859999999</v>
      </c>
      <c r="D219">
        <v>1179.7924800000001</v>
      </c>
      <c r="E219">
        <v>1193.680664</v>
      </c>
      <c r="F219">
        <v>1193.680664</v>
      </c>
      <c r="G219">
        <v>12492225250</v>
      </c>
      <c r="H219">
        <v>21028.238281000002</v>
      </c>
      <c r="I219">
        <v>21478.089843999998</v>
      </c>
      <c r="J219">
        <v>20620.199218999998</v>
      </c>
      <c r="K219">
        <v>20735.478515999999</v>
      </c>
      <c r="L219">
        <v>20735.478515999999</v>
      </c>
      <c r="M219">
        <v>20965695707</v>
      </c>
      <c r="N219">
        <v>0.99945799999999996</v>
      </c>
      <c r="O219">
        <v>0.99959900000000002</v>
      </c>
      <c r="P219">
        <v>0.99898399999999998</v>
      </c>
      <c r="Q219">
        <v>0.99909199999999998</v>
      </c>
      <c r="R219">
        <v>0.99909199999999998</v>
      </c>
      <c r="S219">
        <v>39296953700</v>
      </c>
      <c r="T219">
        <v>1.0000089999999999</v>
      </c>
      <c r="U219">
        <v>1.000637</v>
      </c>
      <c r="V219">
        <v>0.99977300000000002</v>
      </c>
      <c r="W219">
        <v>1.0001660000000001</v>
      </c>
      <c r="X219">
        <v>1.0001660000000001</v>
      </c>
      <c r="Y219">
        <v>3977297459</v>
      </c>
      <c r="Z219">
        <v>0.48955799999999999</v>
      </c>
      <c r="AA219">
        <v>0.50761500000000004</v>
      </c>
      <c r="AB219">
        <v>0.47861999999999999</v>
      </c>
      <c r="AC219">
        <v>0.48579</v>
      </c>
      <c r="AD219">
        <v>0.48579</v>
      </c>
      <c r="AE219">
        <v>709992597</v>
      </c>
      <c r="AK219" s="1">
        <v>44739</v>
      </c>
      <c r="AL219">
        <f t="shared" si="3"/>
        <v>1199.713135</v>
      </c>
      <c r="AM219">
        <f>INDEX(A:AE,MATCH(AK219,worksheet!A:A,0),MATCH(worksheet!AM218,worksheet!A218:AE218,0))</f>
        <v>21028.238281000002</v>
      </c>
      <c r="AN219">
        <f>INDEX(A:AE,MATCH(AK219,worksheet!A:A,0),MATCH(worksheet!AN218,worksheet!A218:AE218,0))</f>
        <v>0.48955799999999999</v>
      </c>
      <c r="AO219">
        <f>INDEX(A:AE,MATCH(AK219,worksheet!A:A,0),MATCH(worksheet!AO218,worksheet!A218:AE218,0))</f>
        <v>0.99945799999999996</v>
      </c>
      <c r="AP219">
        <f>INDEX(A:AE,MATCH(AK219,worksheet!A:A,0),MATCH(worksheet!AP218,worksheet!A218:AE218,0))</f>
        <v>1.0000089999999999</v>
      </c>
    </row>
    <row r="220" spans="1:42" x14ac:dyDescent="0.25">
      <c r="A220" s="1">
        <v>44740</v>
      </c>
      <c r="B220">
        <v>1193.2540280000001</v>
      </c>
      <c r="C220">
        <v>1229.739014</v>
      </c>
      <c r="D220">
        <v>1141.159668</v>
      </c>
      <c r="E220">
        <v>1144.5792240000001</v>
      </c>
      <c r="F220">
        <v>1144.5792240000001</v>
      </c>
      <c r="G220">
        <v>14023205651</v>
      </c>
      <c r="H220">
        <v>20731.544922000001</v>
      </c>
      <c r="I220">
        <v>21164.423827999999</v>
      </c>
      <c r="J220">
        <v>20228.8125</v>
      </c>
      <c r="K220">
        <v>20280.634765999999</v>
      </c>
      <c r="L220">
        <v>20280.634765999999</v>
      </c>
      <c r="M220">
        <v>21381535161</v>
      </c>
      <c r="N220">
        <v>0.99910399999999999</v>
      </c>
      <c r="O220">
        <v>0.99913399999999997</v>
      </c>
      <c r="P220">
        <v>0.99878199999999995</v>
      </c>
      <c r="Q220">
        <v>0.99883200000000005</v>
      </c>
      <c r="R220">
        <v>0.99883200000000005</v>
      </c>
      <c r="S220">
        <v>40773930242</v>
      </c>
      <c r="T220">
        <v>1.0001230000000001</v>
      </c>
      <c r="U220">
        <v>1.0006870000000001</v>
      </c>
      <c r="V220">
        <v>0.99981500000000001</v>
      </c>
      <c r="W220">
        <v>1.00014</v>
      </c>
      <c r="X220">
        <v>1.00014</v>
      </c>
      <c r="Y220">
        <v>4237935225</v>
      </c>
      <c r="Z220">
        <v>0.48557099999999997</v>
      </c>
      <c r="AA220">
        <v>0.49654399999999999</v>
      </c>
      <c r="AB220">
        <v>0.46822799999999998</v>
      </c>
      <c r="AC220">
        <v>0.46967100000000001</v>
      </c>
      <c r="AD220">
        <v>0.46967100000000001</v>
      </c>
      <c r="AE220">
        <v>724759074</v>
      </c>
      <c r="AK220" s="1">
        <v>44740</v>
      </c>
      <c r="AL220">
        <f t="shared" si="3"/>
        <v>1193.2540280000001</v>
      </c>
      <c r="AM220">
        <f>INDEX(A:AE,MATCH(AK220,worksheet!A:A,0),MATCH(worksheet!AM219,worksheet!A219:AE219,0))</f>
        <v>20731.544922000001</v>
      </c>
      <c r="AN220">
        <f>INDEX(A:AE,MATCH(AK220,worksheet!A:A,0),MATCH(worksheet!AN219,worksheet!A219:AE219,0))</f>
        <v>0.48557099999999997</v>
      </c>
      <c r="AO220">
        <f>INDEX(A:AE,MATCH(AK220,worksheet!A:A,0),MATCH(worksheet!AO219,worksheet!A219:AE219,0))</f>
        <v>0.99910399999999999</v>
      </c>
      <c r="AP220">
        <f>INDEX(A:AE,MATCH(AK220,worksheet!A:A,0),MATCH(worksheet!AP219,worksheet!A219:AE219,0))</f>
        <v>1.0001230000000001</v>
      </c>
    </row>
    <row r="221" spans="1:42" x14ac:dyDescent="0.25">
      <c r="A221" s="1">
        <v>44741</v>
      </c>
      <c r="B221">
        <v>1144.524414</v>
      </c>
      <c r="C221">
        <v>1152.684814</v>
      </c>
      <c r="D221">
        <v>1092.099121</v>
      </c>
      <c r="E221">
        <v>1098.9438479999999</v>
      </c>
      <c r="F221">
        <v>1098.9438479999999</v>
      </c>
      <c r="G221">
        <v>15386286815</v>
      </c>
      <c r="H221">
        <v>20281.169922000001</v>
      </c>
      <c r="I221">
        <v>20364.15625</v>
      </c>
      <c r="J221">
        <v>19937.791015999999</v>
      </c>
      <c r="K221">
        <v>20104.023438</v>
      </c>
      <c r="L221">
        <v>20104.023438</v>
      </c>
      <c r="M221">
        <v>23552740328</v>
      </c>
      <c r="N221">
        <v>0.99884399999999995</v>
      </c>
      <c r="O221">
        <v>0.999058</v>
      </c>
      <c r="P221">
        <v>0.99851900000000005</v>
      </c>
      <c r="Q221">
        <v>0.99888399999999999</v>
      </c>
      <c r="R221">
        <v>0.99888399999999999</v>
      </c>
      <c r="S221">
        <v>44380636377</v>
      </c>
      <c r="T221">
        <v>1.000121</v>
      </c>
      <c r="U221">
        <v>1.0006820000000001</v>
      </c>
      <c r="V221">
        <v>0.99983699999999998</v>
      </c>
      <c r="W221">
        <v>1.0003649999999999</v>
      </c>
      <c r="X221">
        <v>1.0003649999999999</v>
      </c>
      <c r="Y221">
        <v>5094612628</v>
      </c>
      <c r="Z221">
        <v>0.46967300000000001</v>
      </c>
      <c r="AA221">
        <v>0.47591600000000001</v>
      </c>
      <c r="AB221">
        <v>0.46046300000000001</v>
      </c>
      <c r="AC221">
        <v>0.46550900000000001</v>
      </c>
      <c r="AD221">
        <v>0.46550900000000001</v>
      </c>
      <c r="AE221">
        <v>769352065</v>
      </c>
      <c r="AK221" s="1">
        <v>44741</v>
      </c>
      <c r="AL221">
        <f t="shared" si="3"/>
        <v>1144.524414</v>
      </c>
      <c r="AM221">
        <f>INDEX(A:AE,MATCH(AK221,worksheet!A:A,0),MATCH(worksheet!AM220,worksheet!A220:AE220,0))</f>
        <v>20281.169922000001</v>
      </c>
      <c r="AN221">
        <f>INDEX(A:AE,MATCH(AK221,worksheet!A:A,0),MATCH(worksheet!AN220,worksheet!A220:AE220,0))</f>
        <v>0.46967300000000001</v>
      </c>
      <c r="AO221">
        <f>INDEX(A:AE,MATCH(AK221,worksheet!A:A,0),MATCH(worksheet!AO220,worksheet!A220:AE220,0))</f>
        <v>0.99884399999999995</v>
      </c>
      <c r="AP221">
        <f>INDEX(A:AE,MATCH(AK221,worksheet!A:A,0),MATCH(worksheet!AP220,worksheet!A220:AE220,0))</f>
        <v>1.000121</v>
      </c>
    </row>
    <row r="222" spans="1:42" x14ac:dyDescent="0.25">
      <c r="A222" s="1">
        <v>44742</v>
      </c>
      <c r="B222">
        <v>1099.353149</v>
      </c>
      <c r="C222">
        <v>1103.6904300000001</v>
      </c>
      <c r="D222">
        <v>1009.094849</v>
      </c>
      <c r="E222">
        <v>1067.298828</v>
      </c>
      <c r="F222">
        <v>1067.298828</v>
      </c>
      <c r="G222">
        <v>16350755497</v>
      </c>
      <c r="H222">
        <v>20108.3125</v>
      </c>
      <c r="I222">
        <v>20141.160156000002</v>
      </c>
      <c r="J222">
        <v>18729.65625</v>
      </c>
      <c r="K222">
        <v>19784.726563</v>
      </c>
      <c r="L222">
        <v>19784.726563</v>
      </c>
      <c r="M222">
        <v>26267239923</v>
      </c>
      <c r="N222">
        <v>0.998888</v>
      </c>
      <c r="O222">
        <v>0.99909300000000001</v>
      </c>
      <c r="P222">
        <v>0.99876200000000004</v>
      </c>
      <c r="Q222">
        <v>0.99881900000000001</v>
      </c>
      <c r="R222">
        <v>0.99881900000000001</v>
      </c>
      <c r="S222">
        <v>45578518327</v>
      </c>
      <c r="T222">
        <v>1.0003930000000001</v>
      </c>
      <c r="U222">
        <v>1.000793</v>
      </c>
      <c r="V222">
        <v>0.99974399999999997</v>
      </c>
      <c r="W222">
        <v>0.99991399999999997</v>
      </c>
      <c r="X222">
        <v>0.99991399999999997</v>
      </c>
      <c r="Y222">
        <v>5219514116</v>
      </c>
      <c r="Z222">
        <v>0.46560200000000002</v>
      </c>
      <c r="AA222">
        <v>0.46673599999999998</v>
      </c>
      <c r="AB222">
        <v>0.43618499999999999</v>
      </c>
      <c r="AC222">
        <v>0.45884900000000001</v>
      </c>
      <c r="AD222">
        <v>0.45884900000000001</v>
      </c>
      <c r="AE222">
        <v>903962268</v>
      </c>
      <c r="AK222" s="1">
        <v>44742</v>
      </c>
      <c r="AL222">
        <f t="shared" si="3"/>
        <v>1099.353149</v>
      </c>
      <c r="AM222">
        <f>INDEX(A:AE,MATCH(AK222,worksheet!A:A,0),MATCH(worksheet!AM221,worksheet!A221:AE221,0))</f>
        <v>20108.3125</v>
      </c>
      <c r="AN222">
        <f>INDEX(A:AE,MATCH(AK222,worksheet!A:A,0),MATCH(worksheet!AN221,worksheet!A221:AE221,0))</f>
        <v>0.46560200000000002</v>
      </c>
      <c r="AO222">
        <f>INDEX(A:AE,MATCH(AK222,worksheet!A:A,0),MATCH(worksheet!AO221,worksheet!A221:AE221,0))</f>
        <v>0.998888</v>
      </c>
      <c r="AP222">
        <f>INDEX(A:AE,MATCH(AK222,worksheet!A:A,0),MATCH(worksheet!AP221,worksheet!A221:AE221,0))</f>
        <v>1.0003930000000001</v>
      </c>
    </row>
    <row r="223" spans="1:42" x14ac:dyDescent="0.25">
      <c r="A223" s="1">
        <v>44743</v>
      </c>
      <c r="B223">
        <v>1068.3167719999999</v>
      </c>
      <c r="C223">
        <v>1100.2238769999999</v>
      </c>
      <c r="D223">
        <v>1040.1507570000001</v>
      </c>
      <c r="E223">
        <v>1059.7673339999999</v>
      </c>
      <c r="F223">
        <v>1059.7673339999999</v>
      </c>
      <c r="G223">
        <v>17499453625</v>
      </c>
      <c r="H223">
        <v>19820.470702999999</v>
      </c>
      <c r="I223">
        <v>20632.671875</v>
      </c>
      <c r="J223">
        <v>19073.708984000001</v>
      </c>
      <c r="K223">
        <v>19269.367188</v>
      </c>
      <c r="L223">
        <v>19269.367188</v>
      </c>
      <c r="M223">
        <v>30767551159</v>
      </c>
      <c r="N223">
        <v>0.99885999999999997</v>
      </c>
      <c r="O223">
        <v>0.99913700000000005</v>
      </c>
      <c r="P223">
        <v>0.99870499999999995</v>
      </c>
      <c r="Q223">
        <v>0.99886699999999995</v>
      </c>
      <c r="R223">
        <v>0.99886699999999995</v>
      </c>
      <c r="S223">
        <v>49683415220</v>
      </c>
      <c r="T223">
        <v>1.0000899999999999</v>
      </c>
      <c r="U223">
        <v>1.000659</v>
      </c>
      <c r="V223">
        <v>0.99981200000000003</v>
      </c>
      <c r="W223">
        <v>1.0001770000000001</v>
      </c>
      <c r="X223">
        <v>1.0001770000000001</v>
      </c>
      <c r="Y223">
        <v>5311122206</v>
      </c>
      <c r="Z223">
        <v>0.459312</v>
      </c>
      <c r="AA223">
        <v>0.47031200000000001</v>
      </c>
      <c r="AB223">
        <v>0.44441000000000003</v>
      </c>
      <c r="AC223">
        <v>0.44808900000000002</v>
      </c>
      <c r="AD223">
        <v>0.44808900000000002</v>
      </c>
      <c r="AE223">
        <v>796619668</v>
      </c>
      <c r="AK223" s="1">
        <v>44743</v>
      </c>
      <c r="AL223">
        <f t="shared" si="3"/>
        <v>1068.3167719999999</v>
      </c>
      <c r="AM223">
        <f>INDEX(A:AE,MATCH(AK223,worksheet!A:A,0),MATCH(worksheet!AM222,worksheet!A222:AE222,0))</f>
        <v>19820.470702999999</v>
      </c>
      <c r="AN223">
        <f>INDEX(A:AE,MATCH(AK223,worksheet!A:A,0),MATCH(worksheet!AN222,worksheet!A222:AE222,0))</f>
        <v>0.459312</v>
      </c>
      <c r="AO223">
        <f>INDEX(A:AE,MATCH(AK223,worksheet!A:A,0),MATCH(worksheet!AO222,worksheet!A222:AE222,0))</f>
        <v>0.99885999999999997</v>
      </c>
      <c r="AP223">
        <f>INDEX(A:AE,MATCH(AK223,worksheet!A:A,0),MATCH(worksheet!AP222,worksheet!A222:AE222,0))</f>
        <v>1.0000899999999999</v>
      </c>
    </row>
    <row r="224" spans="1:42" x14ac:dyDescent="0.25">
      <c r="A224" s="1">
        <v>44744</v>
      </c>
      <c r="B224">
        <v>1060.121216</v>
      </c>
      <c r="C224">
        <v>1073.052612</v>
      </c>
      <c r="D224">
        <v>1033.962158</v>
      </c>
      <c r="E224">
        <v>1066.512817</v>
      </c>
      <c r="F224">
        <v>1066.512817</v>
      </c>
      <c r="G224">
        <v>9935603640</v>
      </c>
      <c r="H224">
        <v>19274.835938</v>
      </c>
      <c r="I224">
        <v>19371.748047000001</v>
      </c>
      <c r="J224">
        <v>19027.082031000002</v>
      </c>
      <c r="K224">
        <v>19242.255859000001</v>
      </c>
      <c r="L224">
        <v>19242.255859000001</v>
      </c>
      <c r="M224">
        <v>18100418740</v>
      </c>
      <c r="N224">
        <v>0.99885500000000005</v>
      </c>
      <c r="O224">
        <v>0.99911899999999998</v>
      </c>
      <c r="P224">
        <v>0.99882700000000002</v>
      </c>
      <c r="Q224">
        <v>0.99895999999999996</v>
      </c>
      <c r="R224">
        <v>0.99895999999999996</v>
      </c>
      <c r="S224">
        <v>31666712588</v>
      </c>
      <c r="T224">
        <v>1.000216</v>
      </c>
      <c r="U224">
        <v>1.000677</v>
      </c>
      <c r="V224">
        <v>0.99967799999999996</v>
      </c>
      <c r="W224">
        <v>0.99997100000000005</v>
      </c>
      <c r="X224">
        <v>0.99997100000000005</v>
      </c>
      <c r="Y224">
        <v>3973778503</v>
      </c>
      <c r="Z224">
        <v>0.44818000000000002</v>
      </c>
      <c r="AA224">
        <v>0.460592</v>
      </c>
      <c r="AB224">
        <v>0.442332</v>
      </c>
      <c r="AC224">
        <v>0.45635100000000001</v>
      </c>
      <c r="AD224">
        <v>0.45635100000000001</v>
      </c>
      <c r="AE224">
        <v>494852064</v>
      </c>
      <c r="AK224" s="1">
        <v>44744</v>
      </c>
      <c r="AL224">
        <f t="shared" si="3"/>
        <v>1060.121216</v>
      </c>
      <c r="AM224">
        <f>INDEX(A:AE,MATCH(AK224,worksheet!A:A,0),MATCH(worksheet!AM223,worksheet!A223:AE223,0))</f>
        <v>19274.835938</v>
      </c>
      <c r="AN224">
        <f>INDEX(A:AE,MATCH(AK224,worksheet!A:A,0),MATCH(worksheet!AN223,worksheet!A223:AE223,0))</f>
        <v>0.44818000000000002</v>
      </c>
      <c r="AO224">
        <f>INDEX(A:AE,MATCH(AK224,worksheet!A:A,0),MATCH(worksheet!AO223,worksheet!A223:AE223,0))</f>
        <v>0.99885500000000005</v>
      </c>
      <c r="AP224">
        <f>INDEX(A:AE,MATCH(AK224,worksheet!A:A,0),MATCH(worksheet!AP223,worksheet!A223:AE223,0))</f>
        <v>1.000216</v>
      </c>
    </row>
    <row r="225" spans="1:42" x14ac:dyDescent="0.25">
      <c r="A225" s="1">
        <v>44745</v>
      </c>
      <c r="B225">
        <v>1066.4674070000001</v>
      </c>
      <c r="C225">
        <v>1083.4189449999999</v>
      </c>
      <c r="D225">
        <v>1044.005615</v>
      </c>
      <c r="E225">
        <v>1073.7669679999999</v>
      </c>
      <c r="F225">
        <v>1073.7669679999999</v>
      </c>
      <c r="G225">
        <v>8557248150</v>
      </c>
      <c r="H225">
        <v>19242.095702999999</v>
      </c>
      <c r="I225">
        <v>19558.269531000002</v>
      </c>
      <c r="J225">
        <v>18966.951172000001</v>
      </c>
      <c r="K225">
        <v>19297.076172000001</v>
      </c>
      <c r="L225">
        <v>19297.076172000001</v>
      </c>
      <c r="M225">
        <v>16390821947</v>
      </c>
      <c r="N225">
        <v>0.99895299999999998</v>
      </c>
      <c r="O225">
        <v>0.99912800000000002</v>
      </c>
      <c r="P225">
        <v>0.99889099999999997</v>
      </c>
      <c r="Q225">
        <v>0.99907800000000002</v>
      </c>
      <c r="R225">
        <v>0.99907800000000002</v>
      </c>
      <c r="S225">
        <v>27890770459</v>
      </c>
      <c r="T225">
        <v>0.99995999999999996</v>
      </c>
      <c r="U225">
        <v>1.0006550000000001</v>
      </c>
      <c r="V225">
        <v>0.99977300000000002</v>
      </c>
      <c r="W225">
        <v>1.000372</v>
      </c>
      <c r="X225">
        <v>1.000372</v>
      </c>
      <c r="Y225">
        <v>3614447154</v>
      </c>
      <c r="Z225">
        <v>0.45632099999999998</v>
      </c>
      <c r="AA225">
        <v>0.45888200000000001</v>
      </c>
      <c r="AB225">
        <v>0.444546</v>
      </c>
      <c r="AC225">
        <v>0.45558700000000002</v>
      </c>
      <c r="AD225">
        <v>0.45558700000000002</v>
      </c>
      <c r="AE225">
        <v>439469536</v>
      </c>
      <c r="AK225" s="1">
        <v>44745</v>
      </c>
      <c r="AL225">
        <f t="shared" si="3"/>
        <v>1066.4674070000001</v>
      </c>
      <c r="AM225">
        <f>INDEX(A:AE,MATCH(AK225,worksheet!A:A,0),MATCH(worksheet!AM224,worksheet!A224:AE224,0))</f>
        <v>19242.095702999999</v>
      </c>
      <c r="AN225">
        <f>INDEX(A:AE,MATCH(AK225,worksheet!A:A,0),MATCH(worksheet!AN224,worksheet!A224:AE224,0))</f>
        <v>0.45632099999999998</v>
      </c>
      <c r="AO225">
        <f>INDEX(A:AE,MATCH(AK225,worksheet!A:A,0),MATCH(worksheet!AO224,worksheet!A224:AE224,0))</f>
        <v>0.99895299999999998</v>
      </c>
      <c r="AP225">
        <f>INDEX(A:AE,MATCH(AK225,worksheet!A:A,0),MATCH(worksheet!AP224,worksheet!A224:AE224,0))</f>
        <v>0.99995999999999996</v>
      </c>
    </row>
    <row r="226" spans="1:42" x14ac:dyDescent="0.25">
      <c r="A226" s="1">
        <v>44746</v>
      </c>
      <c r="B226">
        <v>1073.794312</v>
      </c>
      <c r="C226">
        <v>1152.9438479999999</v>
      </c>
      <c r="D226">
        <v>1048.396362</v>
      </c>
      <c r="E226">
        <v>1151.059082</v>
      </c>
      <c r="F226">
        <v>1151.059082</v>
      </c>
      <c r="G226">
        <v>13670889311</v>
      </c>
      <c r="H226">
        <v>19297.314452999999</v>
      </c>
      <c r="I226">
        <v>20258.748047000001</v>
      </c>
      <c r="J226">
        <v>19063.066406000002</v>
      </c>
      <c r="K226">
        <v>20231.261718999998</v>
      </c>
      <c r="L226">
        <v>20231.261718999998</v>
      </c>
      <c r="M226">
        <v>21594638208</v>
      </c>
      <c r="N226">
        <v>0.99907100000000004</v>
      </c>
      <c r="O226">
        <v>0.99922299999999997</v>
      </c>
      <c r="P226">
        <v>0.99899099999999996</v>
      </c>
      <c r="Q226">
        <v>0.99910900000000002</v>
      </c>
      <c r="R226">
        <v>0.99910900000000002</v>
      </c>
      <c r="S226">
        <v>37816157114</v>
      </c>
      <c r="T226">
        <v>1.0003569999999999</v>
      </c>
      <c r="U226">
        <v>1.0007299999999999</v>
      </c>
      <c r="V226">
        <v>0.99981200000000003</v>
      </c>
      <c r="W226">
        <v>1.0003059999999999</v>
      </c>
      <c r="X226">
        <v>1.0003059999999999</v>
      </c>
      <c r="Y226">
        <v>5032411793</v>
      </c>
      <c r="Z226">
        <v>0.45561200000000002</v>
      </c>
      <c r="AA226">
        <v>0.47320899999999999</v>
      </c>
      <c r="AB226">
        <v>0.445301</v>
      </c>
      <c r="AC226">
        <v>0.46964400000000001</v>
      </c>
      <c r="AD226">
        <v>0.46964400000000001</v>
      </c>
      <c r="AE226">
        <v>808524892</v>
      </c>
      <c r="AK226" s="1">
        <v>44746</v>
      </c>
      <c r="AL226">
        <f t="shared" si="3"/>
        <v>1073.794312</v>
      </c>
      <c r="AM226">
        <f>INDEX(A:AE,MATCH(AK226,worksheet!A:A,0),MATCH(worksheet!AM225,worksheet!A225:AE225,0))</f>
        <v>19297.314452999999</v>
      </c>
      <c r="AN226">
        <f>INDEX(A:AE,MATCH(AK226,worksheet!A:A,0),MATCH(worksheet!AN225,worksheet!A225:AE225,0))</f>
        <v>0.45561200000000002</v>
      </c>
      <c r="AO226">
        <f>INDEX(A:AE,MATCH(AK226,worksheet!A:A,0),MATCH(worksheet!AO225,worksheet!A225:AE225,0))</f>
        <v>0.99907100000000004</v>
      </c>
      <c r="AP226">
        <f>INDEX(A:AE,MATCH(AK226,worksheet!A:A,0),MATCH(worksheet!AP225,worksheet!A225:AE225,0))</f>
        <v>1.0003569999999999</v>
      </c>
    </row>
    <row r="227" spans="1:42" x14ac:dyDescent="0.25">
      <c r="A227" s="1">
        <v>44747</v>
      </c>
      <c r="B227">
        <v>1150.5097659999999</v>
      </c>
      <c r="C227">
        <v>1165.6827390000001</v>
      </c>
      <c r="D227">
        <v>1086.829956</v>
      </c>
      <c r="E227">
        <v>1134.5410159999999</v>
      </c>
      <c r="F227">
        <v>1134.5410159999999</v>
      </c>
      <c r="G227">
        <v>16195518291</v>
      </c>
      <c r="H227">
        <v>20225.353515999999</v>
      </c>
      <c r="I227">
        <v>20635.466797000001</v>
      </c>
      <c r="J227">
        <v>19341.232422000001</v>
      </c>
      <c r="K227">
        <v>20190.115234000001</v>
      </c>
      <c r="L227">
        <v>20190.115234000001</v>
      </c>
      <c r="M227">
        <v>26715546990</v>
      </c>
      <c r="N227">
        <v>0.99911799999999995</v>
      </c>
      <c r="O227">
        <v>0.99924800000000003</v>
      </c>
      <c r="P227">
        <v>0.99893600000000005</v>
      </c>
      <c r="Q227">
        <v>0.99909199999999998</v>
      </c>
      <c r="R227">
        <v>0.99909199999999998</v>
      </c>
      <c r="S227">
        <v>46794873591</v>
      </c>
      <c r="T227">
        <v>1.0003359999999999</v>
      </c>
      <c r="U227">
        <v>1.0005820000000001</v>
      </c>
      <c r="V227">
        <v>0.99980899999999995</v>
      </c>
      <c r="W227">
        <v>1.0000530000000001</v>
      </c>
      <c r="X227">
        <v>1.0000530000000001</v>
      </c>
      <c r="Y227">
        <v>6243487902</v>
      </c>
      <c r="Z227">
        <v>0.46956900000000001</v>
      </c>
      <c r="AA227">
        <v>0.47067300000000001</v>
      </c>
      <c r="AB227">
        <v>0.44544</v>
      </c>
      <c r="AC227">
        <v>0.45763199999999998</v>
      </c>
      <c r="AD227">
        <v>0.45763199999999998</v>
      </c>
      <c r="AE227">
        <v>766706338</v>
      </c>
      <c r="AK227" s="1">
        <v>44747</v>
      </c>
      <c r="AL227">
        <f t="shared" si="3"/>
        <v>1150.5097659999999</v>
      </c>
      <c r="AM227">
        <f>INDEX(A:AE,MATCH(AK227,worksheet!A:A,0),MATCH(worksheet!AM226,worksheet!A226:AE226,0))</f>
        <v>20225.353515999999</v>
      </c>
      <c r="AN227">
        <f>INDEX(A:AE,MATCH(AK227,worksheet!A:A,0),MATCH(worksheet!AN226,worksheet!A226:AE226,0))</f>
        <v>0.46956900000000001</v>
      </c>
      <c r="AO227">
        <f>INDEX(A:AE,MATCH(AK227,worksheet!A:A,0),MATCH(worksheet!AO226,worksheet!A226:AE226,0))</f>
        <v>0.99911799999999995</v>
      </c>
      <c r="AP227">
        <f>INDEX(A:AE,MATCH(AK227,worksheet!A:A,0),MATCH(worksheet!AP226,worksheet!A226:AE226,0))</f>
        <v>1.0003359999999999</v>
      </c>
    </row>
    <row r="228" spans="1:42" x14ac:dyDescent="0.25">
      <c r="A228" s="1">
        <v>44748</v>
      </c>
      <c r="B228">
        <v>1134.8222659999999</v>
      </c>
      <c r="C228">
        <v>1193.6367190000001</v>
      </c>
      <c r="D228">
        <v>1116.2475589999999</v>
      </c>
      <c r="E228">
        <v>1186.973999</v>
      </c>
      <c r="F228">
        <v>1186.973999</v>
      </c>
      <c r="G228">
        <v>15373536703</v>
      </c>
      <c r="H228">
        <v>20194.619140999999</v>
      </c>
      <c r="I228">
        <v>20595.529297000001</v>
      </c>
      <c r="J228">
        <v>19823.511718999998</v>
      </c>
      <c r="K228">
        <v>20548.246093999998</v>
      </c>
      <c r="L228">
        <v>20548.246093999998</v>
      </c>
      <c r="M228">
        <v>24598943708</v>
      </c>
      <c r="N228">
        <v>0.99909499999999996</v>
      </c>
      <c r="O228">
        <v>0.99922100000000003</v>
      </c>
      <c r="P228">
        <v>0.99895999999999996</v>
      </c>
      <c r="Q228">
        <v>0.99909800000000004</v>
      </c>
      <c r="R228">
        <v>0.99909800000000004</v>
      </c>
      <c r="S228">
        <v>41932894214</v>
      </c>
      <c r="T228">
        <v>1.0001119999999999</v>
      </c>
      <c r="U228">
        <v>1.0007809999999999</v>
      </c>
      <c r="V228">
        <v>0.99973500000000004</v>
      </c>
      <c r="W228">
        <v>0.99987899999999996</v>
      </c>
      <c r="X228">
        <v>0.99987899999999996</v>
      </c>
      <c r="Y228">
        <v>5406302050</v>
      </c>
      <c r="Z228">
        <v>0.45766800000000002</v>
      </c>
      <c r="AA228">
        <v>0.46429100000000001</v>
      </c>
      <c r="AB228">
        <v>0.44911499999999999</v>
      </c>
      <c r="AC228">
        <v>0.46217900000000001</v>
      </c>
      <c r="AD228">
        <v>0.46217900000000001</v>
      </c>
      <c r="AE228">
        <v>622551308</v>
      </c>
      <c r="AK228" s="1">
        <v>44748</v>
      </c>
      <c r="AL228">
        <f t="shared" si="3"/>
        <v>1134.8222659999999</v>
      </c>
      <c r="AM228">
        <f>INDEX(A:AE,MATCH(AK228,worksheet!A:A,0),MATCH(worksheet!AM227,worksheet!A227:AE227,0))</f>
        <v>20194.619140999999</v>
      </c>
      <c r="AN228">
        <f>INDEX(A:AE,MATCH(AK228,worksheet!A:A,0),MATCH(worksheet!AN227,worksheet!A227:AE227,0))</f>
        <v>0.45766800000000002</v>
      </c>
      <c r="AO228">
        <f>INDEX(A:AE,MATCH(AK228,worksheet!A:A,0),MATCH(worksheet!AO227,worksheet!A227:AE227,0))</f>
        <v>0.99909499999999996</v>
      </c>
      <c r="AP228">
        <f>INDEX(A:AE,MATCH(AK228,worksheet!A:A,0),MATCH(worksheet!AP227,worksheet!A227:AE227,0))</f>
        <v>1.0001119999999999</v>
      </c>
    </row>
    <row r="229" spans="1:42" x14ac:dyDescent="0.25">
      <c r="A229" s="1">
        <v>44749</v>
      </c>
      <c r="B229">
        <v>1186.9609379999999</v>
      </c>
      <c r="C229">
        <v>1246.8948969999999</v>
      </c>
      <c r="D229">
        <v>1165.623169</v>
      </c>
      <c r="E229">
        <v>1237.593384</v>
      </c>
      <c r="F229">
        <v>1237.593384</v>
      </c>
      <c r="G229">
        <v>14230795894</v>
      </c>
      <c r="H229">
        <v>20547.814452999999</v>
      </c>
      <c r="I229">
        <v>21771.816406000002</v>
      </c>
      <c r="J229">
        <v>20296.103515999999</v>
      </c>
      <c r="K229">
        <v>21637.587890999999</v>
      </c>
      <c r="L229">
        <v>21637.587890999999</v>
      </c>
      <c r="M229">
        <v>25814972520</v>
      </c>
      <c r="N229">
        <v>0.999089</v>
      </c>
      <c r="O229">
        <v>0.99950600000000001</v>
      </c>
      <c r="P229">
        <v>0.99901899999999999</v>
      </c>
      <c r="Q229">
        <v>0.99944599999999995</v>
      </c>
      <c r="R229">
        <v>0.99944599999999995</v>
      </c>
      <c r="S229">
        <v>41395542117</v>
      </c>
      <c r="T229">
        <v>0.99989300000000003</v>
      </c>
      <c r="U229">
        <v>1.0006189999999999</v>
      </c>
      <c r="V229">
        <v>0.99975899999999995</v>
      </c>
      <c r="W229">
        <v>1.000092</v>
      </c>
      <c r="X229">
        <v>1.000092</v>
      </c>
      <c r="Y229">
        <v>5521739581</v>
      </c>
      <c r="Z229">
        <v>0.46221000000000001</v>
      </c>
      <c r="AA229">
        <v>0.48194500000000001</v>
      </c>
      <c r="AB229">
        <v>0.461557</v>
      </c>
      <c r="AC229">
        <v>0.47781200000000001</v>
      </c>
      <c r="AD229">
        <v>0.47781200000000001</v>
      </c>
      <c r="AE229">
        <v>619107061</v>
      </c>
      <c r="AK229" s="1">
        <v>44749</v>
      </c>
      <c r="AL229">
        <f t="shared" si="3"/>
        <v>1186.9609379999999</v>
      </c>
      <c r="AM229">
        <f>INDEX(A:AE,MATCH(AK229,worksheet!A:A,0),MATCH(worksheet!AM228,worksheet!A228:AE228,0))</f>
        <v>20547.814452999999</v>
      </c>
      <c r="AN229">
        <f>INDEX(A:AE,MATCH(AK229,worksheet!A:A,0),MATCH(worksheet!AN228,worksheet!A228:AE228,0))</f>
        <v>0.46221000000000001</v>
      </c>
      <c r="AO229">
        <f>INDEX(A:AE,MATCH(AK229,worksheet!A:A,0),MATCH(worksheet!AO228,worksheet!A228:AE228,0))</f>
        <v>0.999089</v>
      </c>
      <c r="AP229">
        <f>INDEX(A:AE,MATCH(AK229,worksheet!A:A,0),MATCH(worksheet!AP228,worksheet!A228:AE228,0))</f>
        <v>0.99989300000000003</v>
      </c>
    </row>
    <row r="230" spans="1:42" x14ac:dyDescent="0.25">
      <c r="A230" s="1">
        <v>44750</v>
      </c>
      <c r="B230">
        <v>1237.580322</v>
      </c>
      <c r="C230">
        <v>1262.8857419999999</v>
      </c>
      <c r="D230">
        <v>1200.632202</v>
      </c>
      <c r="E230">
        <v>1222.506226</v>
      </c>
      <c r="F230">
        <v>1222.506226</v>
      </c>
      <c r="G230">
        <v>16315929082</v>
      </c>
      <c r="H230">
        <v>21637.154297000001</v>
      </c>
      <c r="I230">
        <v>22314.941406000002</v>
      </c>
      <c r="J230">
        <v>21257.453125</v>
      </c>
      <c r="K230">
        <v>21731.117188</v>
      </c>
      <c r="L230">
        <v>21731.117188</v>
      </c>
      <c r="M230">
        <v>49899834488</v>
      </c>
      <c r="N230">
        <v>0.99941100000000005</v>
      </c>
      <c r="O230">
        <v>0.99957600000000002</v>
      </c>
      <c r="P230">
        <v>0.99928499999999998</v>
      </c>
      <c r="Q230">
        <v>0.99941800000000003</v>
      </c>
      <c r="R230">
        <v>0.99941800000000003</v>
      </c>
      <c r="S230">
        <v>64720676603</v>
      </c>
      <c r="T230">
        <v>1.000105</v>
      </c>
      <c r="U230">
        <v>1.0007109999999999</v>
      </c>
      <c r="V230">
        <v>0.99963500000000005</v>
      </c>
      <c r="W230">
        <v>0.99977800000000006</v>
      </c>
      <c r="X230">
        <v>0.99977800000000006</v>
      </c>
      <c r="Y230">
        <v>6142274118</v>
      </c>
      <c r="Z230">
        <v>0.47781699999999999</v>
      </c>
      <c r="AA230">
        <v>0.49091699999999999</v>
      </c>
      <c r="AB230">
        <v>0.46191599999999999</v>
      </c>
      <c r="AC230">
        <v>0.46731099999999998</v>
      </c>
      <c r="AD230">
        <v>0.46731099999999998</v>
      </c>
      <c r="AE230">
        <v>827327238</v>
      </c>
      <c r="AK230" s="1">
        <v>44750</v>
      </c>
      <c r="AL230">
        <f t="shared" si="3"/>
        <v>1237.580322</v>
      </c>
      <c r="AM230">
        <f>INDEX(A:AE,MATCH(AK230,worksheet!A:A,0),MATCH(worksheet!AM229,worksheet!A229:AE229,0))</f>
        <v>21637.154297000001</v>
      </c>
      <c r="AN230">
        <f>INDEX(A:AE,MATCH(AK230,worksheet!A:A,0),MATCH(worksheet!AN229,worksheet!A229:AE229,0))</f>
        <v>0.47781699999999999</v>
      </c>
      <c r="AO230">
        <f>INDEX(A:AE,MATCH(AK230,worksheet!A:A,0),MATCH(worksheet!AO229,worksheet!A229:AE229,0))</f>
        <v>0.99941100000000005</v>
      </c>
      <c r="AP230">
        <f>INDEX(A:AE,MATCH(AK230,worksheet!A:A,0),MATCH(worksheet!AP229,worksheet!A229:AE229,0))</f>
        <v>1.000105</v>
      </c>
    </row>
    <row r="231" spans="1:42" x14ac:dyDescent="0.25">
      <c r="A231" s="1">
        <v>44751</v>
      </c>
      <c r="B231">
        <v>1222.306885</v>
      </c>
      <c r="C231">
        <v>1228.7679439999999</v>
      </c>
      <c r="D231">
        <v>1209.377563</v>
      </c>
      <c r="E231">
        <v>1216.9782709999999</v>
      </c>
      <c r="F231">
        <v>1216.9782709999999</v>
      </c>
      <c r="G231">
        <v>8821353104</v>
      </c>
      <c r="H231">
        <v>21716.828125</v>
      </c>
      <c r="I231">
        <v>21877.138672000001</v>
      </c>
      <c r="J231">
        <v>21445.957031000002</v>
      </c>
      <c r="K231">
        <v>21592.207031000002</v>
      </c>
      <c r="L231">
        <v>21592.207031000002</v>
      </c>
      <c r="M231">
        <v>29641127858</v>
      </c>
      <c r="N231">
        <v>0.99942200000000003</v>
      </c>
      <c r="O231">
        <v>0.99957200000000002</v>
      </c>
      <c r="P231">
        <v>0.99933300000000003</v>
      </c>
      <c r="Q231">
        <v>0.99953800000000004</v>
      </c>
      <c r="R231">
        <v>0.99953800000000004</v>
      </c>
      <c r="S231">
        <v>38957001478</v>
      </c>
      <c r="T231">
        <v>0.999915</v>
      </c>
      <c r="U231">
        <v>1.0005250000000001</v>
      </c>
      <c r="V231">
        <v>0.99981200000000003</v>
      </c>
      <c r="W231">
        <v>1.000046</v>
      </c>
      <c r="X231">
        <v>1.000046</v>
      </c>
      <c r="Y231">
        <v>4905270940</v>
      </c>
      <c r="Z231">
        <v>0.46728999999999998</v>
      </c>
      <c r="AA231">
        <v>0.484265</v>
      </c>
      <c r="AB231">
        <v>0.46649099999999999</v>
      </c>
      <c r="AC231">
        <v>0.47876000000000002</v>
      </c>
      <c r="AD231">
        <v>0.47876000000000002</v>
      </c>
      <c r="AE231">
        <v>666827059</v>
      </c>
      <c r="AK231" s="1">
        <v>44751</v>
      </c>
      <c r="AL231">
        <f t="shared" si="3"/>
        <v>1222.306885</v>
      </c>
      <c r="AM231">
        <f>INDEX(A:AE,MATCH(AK231,worksheet!A:A,0),MATCH(worksheet!AM230,worksheet!A230:AE230,0))</f>
        <v>21716.828125</v>
      </c>
      <c r="AN231">
        <f>INDEX(A:AE,MATCH(AK231,worksheet!A:A,0),MATCH(worksheet!AN230,worksheet!A230:AE230,0))</f>
        <v>0.46728999999999998</v>
      </c>
      <c r="AO231">
        <f>INDEX(A:AE,MATCH(AK231,worksheet!A:A,0),MATCH(worksheet!AO230,worksheet!A230:AE230,0))</f>
        <v>0.99942200000000003</v>
      </c>
      <c r="AP231">
        <f>INDEX(A:AE,MATCH(AK231,worksheet!A:A,0),MATCH(worksheet!AP230,worksheet!A230:AE230,0))</f>
        <v>0.999915</v>
      </c>
    </row>
    <row r="232" spans="1:42" x14ac:dyDescent="0.25">
      <c r="A232" s="1">
        <v>44752</v>
      </c>
      <c r="B232">
        <v>1216.904419</v>
      </c>
      <c r="C232">
        <v>1216.904419</v>
      </c>
      <c r="D232">
        <v>1157.1755370000001</v>
      </c>
      <c r="E232">
        <v>1168.401611</v>
      </c>
      <c r="F232">
        <v>1168.401611</v>
      </c>
      <c r="G232">
        <v>10984558039</v>
      </c>
      <c r="H232">
        <v>21591.080077999999</v>
      </c>
      <c r="I232">
        <v>21591.080077999999</v>
      </c>
      <c r="J232">
        <v>20727.123047000001</v>
      </c>
      <c r="K232">
        <v>20860.449218999998</v>
      </c>
      <c r="L232">
        <v>20860.449218999998</v>
      </c>
      <c r="M232">
        <v>28688807249</v>
      </c>
      <c r="N232">
        <v>0.99953899999999996</v>
      </c>
      <c r="O232">
        <v>0.99962899999999999</v>
      </c>
      <c r="P232">
        <v>0.99939599999999995</v>
      </c>
      <c r="Q232">
        <v>0.99946500000000005</v>
      </c>
      <c r="R232">
        <v>0.99946500000000005</v>
      </c>
      <c r="S232">
        <v>40170710077</v>
      </c>
      <c r="T232">
        <v>1.0000599999999999</v>
      </c>
      <c r="U232">
        <v>1.0003869999999999</v>
      </c>
      <c r="V232">
        <v>0.99970199999999998</v>
      </c>
      <c r="W232">
        <v>1.0000290000000001</v>
      </c>
      <c r="X232">
        <v>1.0000290000000001</v>
      </c>
      <c r="Y232">
        <v>4439375698</v>
      </c>
      <c r="Z232">
        <v>0.478771</v>
      </c>
      <c r="AA232">
        <v>0.47942899999999999</v>
      </c>
      <c r="AB232">
        <v>0.457067</v>
      </c>
      <c r="AC232">
        <v>0.46322000000000002</v>
      </c>
      <c r="AD232">
        <v>0.46322000000000002</v>
      </c>
      <c r="AE232">
        <v>612314122</v>
      </c>
      <c r="AK232" s="1">
        <v>44752</v>
      </c>
      <c r="AL232">
        <f t="shared" si="3"/>
        <v>1216.904419</v>
      </c>
      <c r="AM232">
        <f>INDEX(A:AE,MATCH(AK232,worksheet!A:A,0),MATCH(worksheet!AM231,worksheet!A231:AE231,0))</f>
        <v>21591.080077999999</v>
      </c>
      <c r="AN232">
        <f>INDEX(A:AE,MATCH(AK232,worksheet!A:A,0),MATCH(worksheet!AN231,worksheet!A231:AE231,0))</f>
        <v>0.478771</v>
      </c>
      <c r="AO232">
        <f>INDEX(A:AE,MATCH(AK232,worksheet!A:A,0),MATCH(worksheet!AO231,worksheet!A231:AE231,0))</f>
        <v>0.99953899999999996</v>
      </c>
      <c r="AP232">
        <f>INDEX(A:AE,MATCH(AK232,worksheet!A:A,0),MATCH(worksheet!AP231,worksheet!A231:AE231,0))</f>
        <v>1.0000599999999999</v>
      </c>
    </row>
    <row r="233" spans="1:42" x14ac:dyDescent="0.25">
      <c r="A233" s="1">
        <v>44753</v>
      </c>
      <c r="B233">
        <v>1168.139038</v>
      </c>
      <c r="C233">
        <v>1169.1938479999999</v>
      </c>
      <c r="D233">
        <v>1095.002808</v>
      </c>
      <c r="E233">
        <v>1097.236572</v>
      </c>
      <c r="F233">
        <v>1097.236572</v>
      </c>
      <c r="G233">
        <v>12064180410</v>
      </c>
      <c r="H233">
        <v>20856.353515999999</v>
      </c>
      <c r="I233">
        <v>20856.353515999999</v>
      </c>
      <c r="J233">
        <v>19924.539063</v>
      </c>
      <c r="K233">
        <v>19970.556640999999</v>
      </c>
      <c r="L233">
        <v>19970.556640999999</v>
      </c>
      <c r="M233">
        <v>24150249025</v>
      </c>
      <c r="N233">
        <v>0.99945600000000001</v>
      </c>
      <c r="O233">
        <v>0.99957600000000002</v>
      </c>
      <c r="P233">
        <v>0.99912800000000002</v>
      </c>
      <c r="Q233">
        <v>0.99922500000000003</v>
      </c>
      <c r="R233">
        <v>0.99922500000000003</v>
      </c>
      <c r="S233">
        <v>38726869251</v>
      </c>
      <c r="T233">
        <v>1.000046</v>
      </c>
      <c r="U233">
        <v>1.0006520000000001</v>
      </c>
      <c r="V233">
        <v>0.999726</v>
      </c>
      <c r="W233">
        <v>1.0001690000000001</v>
      </c>
      <c r="X233">
        <v>1.0001690000000001</v>
      </c>
      <c r="Y233">
        <v>4843512117</v>
      </c>
      <c r="Z233">
        <v>0.46318100000000001</v>
      </c>
      <c r="AA233">
        <v>0.46318100000000001</v>
      </c>
      <c r="AB233">
        <v>0.433865</v>
      </c>
      <c r="AC233">
        <v>0.43552000000000002</v>
      </c>
      <c r="AD233">
        <v>0.43552000000000002</v>
      </c>
      <c r="AE233">
        <v>737643033</v>
      </c>
      <c r="AK233" s="1">
        <v>44753</v>
      </c>
      <c r="AL233">
        <f t="shared" si="3"/>
        <v>1168.139038</v>
      </c>
      <c r="AM233">
        <f>INDEX(A:AE,MATCH(AK233,worksheet!A:A,0),MATCH(worksheet!AM232,worksheet!A232:AE232,0))</f>
        <v>20856.353515999999</v>
      </c>
      <c r="AN233">
        <f>INDEX(A:AE,MATCH(AK233,worksheet!A:A,0),MATCH(worksheet!AN232,worksheet!A232:AE232,0))</f>
        <v>0.46318100000000001</v>
      </c>
      <c r="AO233">
        <f>INDEX(A:AE,MATCH(AK233,worksheet!A:A,0),MATCH(worksheet!AO232,worksheet!A232:AE232,0))</f>
        <v>0.99945600000000001</v>
      </c>
      <c r="AP233">
        <f>INDEX(A:AE,MATCH(AK233,worksheet!A:A,0),MATCH(worksheet!AP232,worksheet!A232:AE232,0))</f>
        <v>1.000046</v>
      </c>
    </row>
    <row r="234" spans="1:42" x14ac:dyDescent="0.25">
      <c r="A234" s="1">
        <v>44754</v>
      </c>
      <c r="B234">
        <v>1097.259155</v>
      </c>
      <c r="C234">
        <v>1097.259155</v>
      </c>
      <c r="D234">
        <v>1038.13562</v>
      </c>
      <c r="E234">
        <v>1038.19165</v>
      </c>
      <c r="F234">
        <v>1038.19165</v>
      </c>
      <c r="G234">
        <v>12583282453</v>
      </c>
      <c r="H234">
        <v>19970.474609000001</v>
      </c>
      <c r="I234">
        <v>20043.445313</v>
      </c>
      <c r="J234">
        <v>19308.53125</v>
      </c>
      <c r="K234">
        <v>19323.914063</v>
      </c>
      <c r="L234">
        <v>19323.914063</v>
      </c>
      <c r="M234">
        <v>25810220018</v>
      </c>
      <c r="N234">
        <v>0.99922500000000003</v>
      </c>
      <c r="O234">
        <v>0.99938000000000005</v>
      </c>
      <c r="P234">
        <v>0.99911799999999995</v>
      </c>
      <c r="Q234">
        <v>0.99934299999999998</v>
      </c>
      <c r="R234">
        <v>0.99934299999999998</v>
      </c>
      <c r="S234">
        <v>40368791506</v>
      </c>
      <c r="T234">
        <v>1.0001709999999999</v>
      </c>
      <c r="U234">
        <v>1.0005740000000001</v>
      </c>
      <c r="V234">
        <v>0.99968599999999996</v>
      </c>
      <c r="W234">
        <v>0.99985299999999999</v>
      </c>
      <c r="X234">
        <v>0.99985299999999999</v>
      </c>
      <c r="Y234">
        <v>4780296209</v>
      </c>
      <c r="Z234">
        <v>0.435581</v>
      </c>
      <c r="AA234">
        <v>0.44090600000000002</v>
      </c>
      <c r="AB234">
        <v>0.417435</v>
      </c>
      <c r="AC234">
        <v>0.41792800000000002</v>
      </c>
      <c r="AD234">
        <v>0.41792800000000002</v>
      </c>
      <c r="AE234">
        <v>707915451</v>
      </c>
      <c r="AK234" s="1">
        <v>44754</v>
      </c>
      <c r="AL234">
        <f t="shared" si="3"/>
        <v>1097.259155</v>
      </c>
      <c r="AM234">
        <f>INDEX(A:AE,MATCH(AK234,worksheet!A:A,0),MATCH(worksheet!AM233,worksheet!A233:AE233,0))</f>
        <v>19970.474609000001</v>
      </c>
      <c r="AN234">
        <f>INDEX(A:AE,MATCH(AK234,worksheet!A:A,0),MATCH(worksheet!AN233,worksheet!A233:AE233,0))</f>
        <v>0.435581</v>
      </c>
      <c r="AO234">
        <f>INDEX(A:AE,MATCH(AK234,worksheet!A:A,0),MATCH(worksheet!AO233,worksheet!A233:AE233,0))</f>
        <v>0.99922500000000003</v>
      </c>
      <c r="AP234">
        <f>INDEX(A:AE,MATCH(AK234,worksheet!A:A,0),MATCH(worksheet!AP233,worksheet!A233:AE233,0))</f>
        <v>1.0001709999999999</v>
      </c>
    </row>
    <row r="235" spans="1:42" x14ac:dyDescent="0.25">
      <c r="A235" s="1">
        <v>44755</v>
      </c>
      <c r="B235">
        <v>1038.1866460000001</v>
      </c>
      <c r="C235">
        <v>1113.587158</v>
      </c>
      <c r="D235">
        <v>1019.220337</v>
      </c>
      <c r="E235">
        <v>1113.587158</v>
      </c>
      <c r="F235">
        <v>1113.587158</v>
      </c>
      <c r="G235">
        <v>18302588147</v>
      </c>
      <c r="H235">
        <v>19325.972656000002</v>
      </c>
      <c r="I235">
        <v>20223.052734000001</v>
      </c>
      <c r="J235">
        <v>18999.953125</v>
      </c>
      <c r="K235">
        <v>20212.074218999998</v>
      </c>
      <c r="L235">
        <v>20212.074218999998</v>
      </c>
      <c r="M235">
        <v>33042430345</v>
      </c>
      <c r="N235">
        <v>0.99934199999999995</v>
      </c>
      <c r="O235">
        <v>0.99942900000000001</v>
      </c>
      <c r="P235">
        <v>0.99915699999999996</v>
      </c>
      <c r="Q235">
        <v>0.99938400000000005</v>
      </c>
      <c r="R235">
        <v>0.99938400000000005</v>
      </c>
      <c r="S235">
        <v>51757860849</v>
      </c>
      <c r="T235">
        <v>0.99990999999999997</v>
      </c>
      <c r="U235">
        <v>1.000788</v>
      </c>
      <c r="V235">
        <v>0.99953499999999995</v>
      </c>
      <c r="W235">
        <v>1.0000469999999999</v>
      </c>
      <c r="X235">
        <v>1.0000469999999999</v>
      </c>
      <c r="Y235">
        <v>5445116047</v>
      </c>
      <c r="Z235">
        <v>0.417881</v>
      </c>
      <c r="AA235">
        <v>0.43973000000000001</v>
      </c>
      <c r="AB235">
        <v>0.40643699999999999</v>
      </c>
      <c r="AC235">
        <v>0.438108</v>
      </c>
      <c r="AD235">
        <v>0.438108</v>
      </c>
      <c r="AE235">
        <v>977278539</v>
      </c>
      <c r="AK235" s="1">
        <v>44755</v>
      </c>
      <c r="AL235">
        <f t="shared" si="3"/>
        <v>1038.1866460000001</v>
      </c>
      <c r="AM235">
        <f>INDEX(A:AE,MATCH(AK235,worksheet!A:A,0),MATCH(worksheet!AM234,worksheet!A234:AE234,0))</f>
        <v>19325.972656000002</v>
      </c>
      <c r="AN235">
        <f>INDEX(A:AE,MATCH(AK235,worksheet!A:A,0),MATCH(worksheet!AN234,worksheet!A234:AE234,0))</f>
        <v>0.417881</v>
      </c>
      <c r="AO235">
        <f>INDEX(A:AE,MATCH(AK235,worksheet!A:A,0),MATCH(worksheet!AO234,worksheet!A234:AE234,0))</f>
        <v>0.99934199999999995</v>
      </c>
      <c r="AP235">
        <f>INDEX(A:AE,MATCH(AK235,worksheet!A:A,0),MATCH(worksheet!AP234,worksheet!A234:AE234,0))</f>
        <v>0.99990999999999997</v>
      </c>
    </row>
    <row r="236" spans="1:42" x14ac:dyDescent="0.25">
      <c r="A236" s="1">
        <v>44756</v>
      </c>
      <c r="B236">
        <v>1113.5157469999999</v>
      </c>
      <c r="C236">
        <v>1202.9533690000001</v>
      </c>
      <c r="D236">
        <v>1077.4057620000001</v>
      </c>
      <c r="E236">
        <v>1191.526245</v>
      </c>
      <c r="F236">
        <v>1191.526245</v>
      </c>
      <c r="G236">
        <v>16688640823</v>
      </c>
      <c r="H236">
        <v>20211.466797000001</v>
      </c>
      <c r="I236">
        <v>20789.894531000002</v>
      </c>
      <c r="J236">
        <v>19689.257813</v>
      </c>
      <c r="K236">
        <v>20569.919922000001</v>
      </c>
      <c r="L236">
        <v>20569.919922000001</v>
      </c>
      <c r="M236">
        <v>31158743333</v>
      </c>
      <c r="N236">
        <v>0.999394</v>
      </c>
      <c r="O236">
        <v>0.99953999999999998</v>
      </c>
      <c r="P236">
        <v>0.99930200000000002</v>
      </c>
      <c r="Q236">
        <v>0.99940700000000005</v>
      </c>
      <c r="R236">
        <v>0.99940700000000005</v>
      </c>
      <c r="S236">
        <v>49222660233</v>
      </c>
      <c r="T236">
        <v>1.0001640000000001</v>
      </c>
      <c r="U236">
        <v>1.000475</v>
      </c>
      <c r="V236">
        <v>0.99970800000000004</v>
      </c>
      <c r="W236">
        <v>0.99999700000000002</v>
      </c>
      <c r="X236">
        <v>0.99999700000000002</v>
      </c>
      <c r="Y236">
        <v>5345559224</v>
      </c>
      <c r="Z236">
        <v>0.43805699999999997</v>
      </c>
      <c r="AA236">
        <v>0.44441900000000001</v>
      </c>
      <c r="AB236">
        <v>0.41774099999999997</v>
      </c>
      <c r="AC236">
        <v>0.441025</v>
      </c>
      <c r="AD236">
        <v>0.441025</v>
      </c>
      <c r="AE236">
        <v>861474952</v>
      </c>
      <c r="AK236" s="1">
        <v>44756</v>
      </c>
      <c r="AL236">
        <f t="shared" si="3"/>
        <v>1113.5157469999999</v>
      </c>
      <c r="AM236">
        <f>INDEX(A:AE,MATCH(AK236,worksheet!A:A,0),MATCH(worksheet!AM235,worksheet!A235:AE235,0))</f>
        <v>20211.466797000001</v>
      </c>
      <c r="AN236">
        <f>INDEX(A:AE,MATCH(AK236,worksheet!A:A,0),MATCH(worksheet!AN235,worksheet!A235:AE235,0))</f>
        <v>0.43805699999999997</v>
      </c>
      <c r="AO236">
        <f>INDEX(A:AE,MATCH(AK236,worksheet!A:A,0),MATCH(worksheet!AO235,worksheet!A235:AE235,0))</f>
        <v>0.999394</v>
      </c>
      <c r="AP236">
        <f>INDEX(A:AE,MATCH(AK236,worksheet!A:A,0),MATCH(worksheet!AP235,worksheet!A235:AE235,0))</f>
        <v>1.0001640000000001</v>
      </c>
    </row>
    <row r="237" spans="1:42" x14ac:dyDescent="0.25">
      <c r="A237" s="1">
        <v>44757</v>
      </c>
      <c r="B237">
        <v>1191.6748050000001</v>
      </c>
      <c r="C237">
        <v>1275.778198</v>
      </c>
      <c r="D237">
        <v>1182.903198</v>
      </c>
      <c r="E237">
        <v>1233.12915</v>
      </c>
      <c r="F237">
        <v>1233.12915</v>
      </c>
      <c r="G237">
        <v>17411448225</v>
      </c>
      <c r="H237">
        <v>20573.15625</v>
      </c>
      <c r="I237">
        <v>21138.244140999999</v>
      </c>
      <c r="J237">
        <v>20397</v>
      </c>
      <c r="K237">
        <v>20836.328125</v>
      </c>
      <c r="L237">
        <v>20836.328125</v>
      </c>
      <c r="M237">
        <v>25905575359</v>
      </c>
      <c r="N237">
        <v>0.99938499999999997</v>
      </c>
      <c r="O237">
        <v>0.99974399999999997</v>
      </c>
      <c r="P237">
        <v>0.99934699999999999</v>
      </c>
      <c r="Q237">
        <v>0.99970599999999998</v>
      </c>
      <c r="R237">
        <v>0.99970599999999998</v>
      </c>
      <c r="S237">
        <v>45982487607</v>
      </c>
      <c r="T237">
        <v>1.0000089999999999</v>
      </c>
      <c r="U237">
        <v>1.0004649999999999</v>
      </c>
      <c r="V237">
        <v>0.99960000000000004</v>
      </c>
      <c r="W237">
        <v>0.99996300000000005</v>
      </c>
      <c r="X237">
        <v>0.99996300000000005</v>
      </c>
      <c r="Y237">
        <v>5646216485</v>
      </c>
      <c r="Z237">
        <v>0.44111499999999998</v>
      </c>
      <c r="AA237">
        <v>0.45156000000000002</v>
      </c>
      <c r="AB237">
        <v>0.43396800000000002</v>
      </c>
      <c r="AC237">
        <v>0.44245600000000002</v>
      </c>
      <c r="AD237">
        <v>0.44245600000000002</v>
      </c>
      <c r="AE237">
        <v>739541229</v>
      </c>
      <c r="AK237" s="1">
        <v>44757</v>
      </c>
      <c r="AL237">
        <f t="shared" si="3"/>
        <v>1191.6748050000001</v>
      </c>
      <c r="AM237">
        <f>INDEX(A:AE,MATCH(AK237,worksheet!A:A,0),MATCH(worksheet!AM236,worksheet!A236:AE236,0))</f>
        <v>20573.15625</v>
      </c>
      <c r="AN237">
        <f>INDEX(A:AE,MATCH(AK237,worksheet!A:A,0),MATCH(worksheet!AN236,worksheet!A236:AE236,0))</f>
        <v>0.44111499999999998</v>
      </c>
      <c r="AO237">
        <f>INDEX(A:AE,MATCH(AK237,worksheet!A:A,0),MATCH(worksheet!AO236,worksheet!A236:AE236,0))</f>
        <v>0.99938499999999997</v>
      </c>
      <c r="AP237">
        <f>INDEX(A:AE,MATCH(AK237,worksheet!A:A,0),MATCH(worksheet!AP236,worksheet!A236:AE236,0))</f>
        <v>1.0000089999999999</v>
      </c>
    </row>
    <row r="238" spans="1:42" x14ac:dyDescent="0.25">
      <c r="A238" s="1">
        <v>44758</v>
      </c>
      <c r="B238">
        <v>1232.791626</v>
      </c>
      <c r="C238">
        <v>1377.9445800000001</v>
      </c>
      <c r="D238">
        <v>1195.605957</v>
      </c>
      <c r="E238">
        <v>1352.6264650000001</v>
      </c>
      <c r="F238">
        <v>1352.6264650000001</v>
      </c>
      <c r="G238">
        <v>18364013796</v>
      </c>
      <c r="H238">
        <v>20834.103515999999</v>
      </c>
      <c r="I238">
        <v>21514.404297000001</v>
      </c>
      <c r="J238">
        <v>20518.898438</v>
      </c>
      <c r="K238">
        <v>21190.316406000002</v>
      </c>
      <c r="L238">
        <v>21190.316406000002</v>
      </c>
      <c r="M238">
        <v>24302954056</v>
      </c>
      <c r="N238">
        <v>0.99970099999999995</v>
      </c>
      <c r="O238">
        <v>0.99987999999999999</v>
      </c>
      <c r="P238">
        <v>0.99968299999999999</v>
      </c>
      <c r="Q238">
        <v>0.99977400000000005</v>
      </c>
      <c r="R238">
        <v>0.99977400000000005</v>
      </c>
      <c r="S238">
        <v>44126749597</v>
      </c>
      <c r="T238">
        <v>0.999946</v>
      </c>
      <c r="U238">
        <v>1.0008649999999999</v>
      </c>
      <c r="V238">
        <v>0.99958899999999995</v>
      </c>
      <c r="W238">
        <v>1.000151</v>
      </c>
      <c r="X238">
        <v>1.000151</v>
      </c>
      <c r="Y238">
        <v>5382938984</v>
      </c>
      <c r="Z238">
        <v>0.44244499999999998</v>
      </c>
      <c r="AA238">
        <v>0.45792699999999997</v>
      </c>
      <c r="AB238">
        <v>0.43245800000000001</v>
      </c>
      <c r="AC238">
        <v>0.45723000000000003</v>
      </c>
      <c r="AD238">
        <v>0.45723000000000003</v>
      </c>
      <c r="AE238">
        <v>653009372</v>
      </c>
      <c r="AK238" s="1">
        <v>44758</v>
      </c>
      <c r="AL238">
        <f t="shared" si="3"/>
        <v>1232.791626</v>
      </c>
      <c r="AM238">
        <f>INDEX(A:AE,MATCH(AK238,worksheet!A:A,0),MATCH(worksheet!AM237,worksheet!A237:AE237,0))</f>
        <v>20834.103515999999</v>
      </c>
      <c r="AN238">
        <f>INDEX(A:AE,MATCH(AK238,worksheet!A:A,0),MATCH(worksheet!AN237,worksheet!A237:AE237,0))</f>
        <v>0.44244499999999998</v>
      </c>
      <c r="AO238">
        <f>INDEX(A:AE,MATCH(AK238,worksheet!A:A,0),MATCH(worksheet!AO237,worksheet!A237:AE237,0))</f>
        <v>0.99970099999999995</v>
      </c>
      <c r="AP238">
        <f>INDEX(A:AE,MATCH(AK238,worksheet!A:A,0),MATCH(worksheet!AP237,worksheet!A237:AE237,0))</f>
        <v>0.999946</v>
      </c>
    </row>
    <row r="239" spans="1:42" x14ac:dyDescent="0.25">
      <c r="A239" s="1">
        <v>44759</v>
      </c>
      <c r="B239">
        <v>1353.205078</v>
      </c>
      <c r="C239">
        <v>1378.4174800000001</v>
      </c>
      <c r="D239">
        <v>1329.7633060000001</v>
      </c>
      <c r="E239">
        <v>1338.6357419999999</v>
      </c>
      <c r="F239">
        <v>1338.6357419999999</v>
      </c>
      <c r="G239">
        <v>16079711737</v>
      </c>
      <c r="H239">
        <v>21195.041015999999</v>
      </c>
      <c r="I239">
        <v>21600.640625</v>
      </c>
      <c r="J239">
        <v>20778.179688</v>
      </c>
      <c r="K239">
        <v>20779.34375</v>
      </c>
      <c r="L239">
        <v>20779.34375</v>
      </c>
      <c r="M239">
        <v>22927802083</v>
      </c>
      <c r="N239">
        <v>0.99977899999999997</v>
      </c>
      <c r="O239">
        <v>0.99986299999999995</v>
      </c>
      <c r="P239">
        <v>0.99967700000000004</v>
      </c>
      <c r="Q239">
        <v>0.99973400000000001</v>
      </c>
      <c r="R239">
        <v>0.99973400000000001</v>
      </c>
      <c r="S239">
        <v>42189248625</v>
      </c>
      <c r="T239">
        <v>1.0001720000000001</v>
      </c>
      <c r="U239">
        <v>1.00044</v>
      </c>
      <c r="V239">
        <v>0.99945200000000001</v>
      </c>
      <c r="W239">
        <v>1.0002489999999999</v>
      </c>
      <c r="X239">
        <v>1.0002489999999999</v>
      </c>
      <c r="Y239">
        <v>5540927850</v>
      </c>
      <c r="Z239">
        <v>0.457318</v>
      </c>
      <c r="AA239">
        <v>0.465061</v>
      </c>
      <c r="AB239">
        <v>0.44379000000000002</v>
      </c>
      <c r="AC239">
        <v>0.447353</v>
      </c>
      <c r="AD239">
        <v>0.447353</v>
      </c>
      <c r="AE239">
        <v>695937971</v>
      </c>
      <c r="AK239" s="1">
        <v>44759</v>
      </c>
      <c r="AL239">
        <f t="shared" si="3"/>
        <v>1353.205078</v>
      </c>
      <c r="AM239">
        <f>INDEX(A:AE,MATCH(AK239,worksheet!A:A,0),MATCH(worksheet!AM238,worksheet!A238:AE238,0))</f>
        <v>21195.041015999999</v>
      </c>
      <c r="AN239">
        <f>INDEX(A:AE,MATCH(AK239,worksheet!A:A,0),MATCH(worksheet!AN238,worksheet!A238:AE238,0))</f>
        <v>0.457318</v>
      </c>
      <c r="AO239">
        <f>INDEX(A:AE,MATCH(AK239,worksheet!A:A,0),MATCH(worksheet!AO238,worksheet!A238:AE238,0))</f>
        <v>0.99977899999999997</v>
      </c>
      <c r="AP239">
        <f>INDEX(A:AE,MATCH(AK239,worksheet!A:A,0),MATCH(worksheet!AP238,worksheet!A238:AE238,0))</f>
        <v>1.0001720000000001</v>
      </c>
    </row>
    <row r="240" spans="1:42" x14ac:dyDescent="0.25">
      <c r="A240" s="1">
        <v>44760</v>
      </c>
      <c r="B240">
        <v>1338.80603</v>
      </c>
      <c r="C240">
        <v>1578.7178960000001</v>
      </c>
      <c r="D240">
        <v>1338.80603</v>
      </c>
      <c r="E240">
        <v>1578.7178960000001</v>
      </c>
      <c r="F240">
        <v>1578.7178960000001</v>
      </c>
      <c r="G240">
        <v>27440420623</v>
      </c>
      <c r="H240">
        <v>20781.912109000001</v>
      </c>
      <c r="I240">
        <v>22633.033202999999</v>
      </c>
      <c r="J240">
        <v>20781.912109000001</v>
      </c>
      <c r="K240">
        <v>22485.689452999999</v>
      </c>
      <c r="L240">
        <v>22485.689452999999</v>
      </c>
      <c r="M240">
        <v>39974475562</v>
      </c>
      <c r="N240">
        <v>0.999726</v>
      </c>
      <c r="O240">
        <v>0.99997000000000003</v>
      </c>
      <c r="P240">
        <v>0.99969300000000005</v>
      </c>
      <c r="Q240">
        <v>0.99977700000000003</v>
      </c>
      <c r="R240">
        <v>0.99977700000000003</v>
      </c>
      <c r="S240">
        <v>70390606911</v>
      </c>
      <c r="T240">
        <v>1.0002420000000001</v>
      </c>
      <c r="U240">
        <v>1.0007699999999999</v>
      </c>
      <c r="V240">
        <v>0.99951900000000005</v>
      </c>
      <c r="W240">
        <v>1.000078</v>
      </c>
      <c r="X240">
        <v>1.000078</v>
      </c>
      <c r="Y240">
        <v>8456901936</v>
      </c>
      <c r="Z240">
        <v>0.44741500000000001</v>
      </c>
      <c r="AA240">
        <v>0.49724600000000002</v>
      </c>
      <c r="AB240">
        <v>0.44638299999999997</v>
      </c>
      <c r="AC240">
        <v>0.49254300000000001</v>
      </c>
      <c r="AD240">
        <v>0.49254300000000001</v>
      </c>
      <c r="AE240">
        <v>1514608156</v>
      </c>
      <c r="AK240" s="1">
        <v>44760</v>
      </c>
      <c r="AL240">
        <f t="shared" si="3"/>
        <v>1338.80603</v>
      </c>
      <c r="AM240">
        <f>INDEX(A:AE,MATCH(AK240,worksheet!A:A,0),MATCH(worksheet!AM239,worksheet!A239:AE239,0))</f>
        <v>20781.912109000001</v>
      </c>
      <c r="AN240">
        <f>INDEX(A:AE,MATCH(AK240,worksheet!A:A,0),MATCH(worksheet!AN239,worksheet!A239:AE239,0))</f>
        <v>0.44741500000000001</v>
      </c>
      <c r="AO240">
        <f>INDEX(A:AE,MATCH(AK240,worksheet!A:A,0),MATCH(worksheet!AO239,worksheet!A239:AE239,0))</f>
        <v>0.999726</v>
      </c>
      <c r="AP240">
        <f>INDEX(A:AE,MATCH(AK240,worksheet!A:A,0),MATCH(worksheet!AP239,worksheet!A239:AE239,0))</f>
        <v>1.0002420000000001</v>
      </c>
    </row>
    <row r="241" spans="1:42" x14ac:dyDescent="0.25">
      <c r="A241" s="1">
        <v>44761</v>
      </c>
      <c r="B241">
        <v>1578.3839109999999</v>
      </c>
      <c r="C241">
        <v>1607.033081</v>
      </c>
      <c r="D241">
        <v>1501.7974850000001</v>
      </c>
      <c r="E241">
        <v>1542.97522</v>
      </c>
      <c r="F241">
        <v>1542.97522</v>
      </c>
      <c r="G241">
        <v>27753529276</v>
      </c>
      <c r="H241">
        <v>22467.849609000001</v>
      </c>
      <c r="I241">
        <v>23666.962890999999</v>
      </c>
      <c r="J241">
        <v>21683.40625</v>
      </c>
      <c r="K241">
        <v>23389.433593999998</v>
      </c>
      <c r="L241">
        <v>23389.433593999998</v>
      </c>
      <c r="M241">
        <v>48765202697</v>
      </c>
      <c r="N241">
        <v>0.99978500000000003</v>
      </c>
      <c r="O241">
        <v>1.000124</v>
      </c>
      <c r="P241">
        <v>0.99976399999999999</v>
      </c>
      <c r="Q241">
        <v>1.000092</v>
      </c>
      <c r="R241">
        <v>1.000092</v>
      </c>
      <c r="S241">
        <v>77160548741</v>
      </c>
      <c r="T241">
        <v>0.99987199999999998</v>
      </c>
      <c r="U241">
        <v>1.0005010000000001</v>
      </c>
      <c r="V241">
        <v>0.99935399999999996</v>
      </c>
      <c r="W241">
        <v>0.99989300000000003</v>
      </c>
      <c r="X241">
        <v>0.99989300000000003</v>
      </c>
      <c r="Y241">
        <v>9504899153</v>
      </c>
      <c r="Z241">
        <v>0.49207800000000002</v>
      </c>
      <c r="AA241">
        <v>0.524594</v>
      </c>
      <c r="AB241">
        <v>0.474607</v>
      </c>
      <c r="AC241">
        <v>0.515768</v>
      </c>
      <c r="AD241">
        <v>0.515768</v>
      </c>
      <c r="AE241">
        <v>1558576681</v>
      </c>
      <c r="AK241" s="1">
        <v>44761</v>
      </c>
      <c r="AL241">
        <f t="shared" si="3"/>
        <v>1578.3839109999999</v>
      </c>
      <c r="AM241">
        <f>INDEX(A:AE,MATCH(AK241,worksheet!A:A,0),MATCH(worksheet!AM240,worksheet!A240:AE240,0))</f>
        <v>22467.849609000001</v>
      </c>
      <c r="AN241">
        <f>INDEX(A:AE,MATCH(AK241,worksheet!A:A,0),MATCH(worksheet!AN240,worksheet!A240:AE240,0))</f>
        <v>0.49207800000000002</v>
      </c>
      <c r="AO241">
        <f>INDEX(A:AE,MATCH(AK241,worksheet!A:A,0),MATCH(worksheet!AO240,worksheet!A240:AE240,0))</f>
        <v>0.99978500000000003</v>
      </c>
      <c r="AP241">
        <f>INDEX(A:AE,MATCH(AK241,worksheet!A:A,0),MATCH(worksheet!AP240,worksheet!A240:AE240,0))</f>
        <v>0.99987199999999998</v>
      </c>
    </row>
    <row r="242" spans="1:42" x14ac:dyDescent="0.25">
      <c r="A242" s="1">
        <v>44762</v>
      </c>
      <c r="B242">
        <v>1542.954346</v>
      </c>
      <c r="C242">
        <v>1612.6457519999999</v>
      </c>
      <c r="D242">
        <v>1500.8032229999999</v>
      </c>
      <c r="E242">
        <v>1520.2006839999999</v>
      </c>
      <c r="F242">
        <v>1520.2006839999999</v>
      </c>
      <c r="G242">
        <v>22942708340</v>
      </c>
      <c r="H242">
        <v>23393.191406000002</v>
      </c>
      <c r="I242">
        <v>24196.818359000001</v>
      </c>
      <c r="J242">
        <v>23009.949218999998</v>
      </c>
      <c r="K242">
        <v>23231.732422000001</v>
      </c>
      <c r="L242">
        <v>23231.732422000001</v>
      </c>
      <c r="M242">
        <v>42932549127</v>
      </c>
      <c r="N242">
        <v>1.0000960000000001</v>
      </c>
      <c r="O242">
        <v>1.0002489999999999</v>
      </c>
      <c r="P242">
        <v>1.0000020000000001</v>
      </c>
      <c r="Q242">
        <v>1.000068</v>
      </c>
      <c r="R242">
        <v>1.000068</v>
      </c>
      <c r="S242">
        <v>68306872702</v>
      </c>
      <c r="T242">
        <v>0.99987300000000001</v>
      </c>
      <c r="U242">
        <v>1.0005790000000001</v>
      </c>
      <c r="V242">
        <v>0.99944999999999995</v>
      </c>
      <c r="W242">
        <v>0.99991300000000005</v>
      </c>
      <c r="X242">
        <v>0.99991300000000005</v>
      </c>
      <c r="Y242">
        <v>8806753436</v>
      </c>
      <c r="Z242">
        <v>0.51580099999999995</v>
      </c>
      <c r="AA242">
        <v>0.54600000000000004</v>
      </c>
      <c r="AB242">
        <v>0.48926799999999998</v>
      </c>
      <c r="AC242">
        <v>0.49104300000000001</v>
      </c>
      <c r="AD242">
        <v>0.49104300000000001</v>
      </c>
      <c r="AE242">
        <v>1559480054</v>
      </c>
      <c r="AK242" s="1">
        <v>44762</v>
      </c>
      <c r="AL242">
        <f t="shared" si="3"/>
        <v>1542.954346</v>
      </c>
      <c r="AM242">
        <f>INDEX(A:AE,MATCH(AK242,worksheet!A:A,0),MATCH(worksheet!AM241,worksheet!A241:AE241,0))</f>
        <v>23393.191406000002</v>
      </c>
      <c r="AN242">
        <f>INDEX(A:AE,MATCH(AK242,worksheet!A:A,0),MATCH(worksheet!AN241,worksheet!A241:AE241,0))</f>
        <v>0.51580099999999995</v>
      </c>
      <c r="AO242">
        <f>INDEX(A:AE,MATCH(AK242,worksheet!A:A,0),MATCH(worksheet!AO241,worksheet!A241:AE241,0))</f>
        <v>1.0000960000000001</v>
      </c>
      <c r="AP242">
        <f>INDEX(A:AE,MATCH(AK242,worksheet!A:A,0),MATCH(worksheet!AP241,worksheet!A241:AE241,0))</f>
        <v>0.99987300000000001</v>
      </c>
    </row>
    <row r="243" spans="1:42" x14ac:dyDescent="0.25">
      <c r="A243" s="1">
        <v>44763</v>
      </c>
      <c r="B243">
        <v>1520.3745120000001</v>
      </c>
      <c r="C243">
        <v>1595.7619629999999</v>
      </c>
      <c r="D243">
        <v>1472.1854249999999</v>
      </c>
      <c r="E243">
        <v>1576.7495120000001</v>
      </c>
      <c r="F243">
        <v>1576.7495120000001</v>
      </c>
      <c r="G243">
        <v>20009556587</v>
      </c>
      <c r="H243">
        <v>23233.201172000001</v>
      </c>
      <c r="I243">
        <v>23388.322265999999</v>
      </c>
      <c r="J243">
        <v>22431.148438</v>
      </c>
      <c r="K243">
        <v>23164.628906000002</v>
      </c>
      <c r="L243">
        <v>23164.628906000002</v>
      </c>
      <c r="M243">
        <v>33631012204</v>
      </c>
      <c r="N243">
        <v>1.0000530000000001</v>
      </c>
      <c r="O243">
        <v>1.000138</v>
      </c>
      <c r="P243">
        <v>0.99994899999999998</v>
      </c>
      <c r="Q243">
        <v>1.0000800000000001</v>
      </c>
      <c r="R243">
        <v>1.0000800000000001</v>
      </c>
      <c r="S243">
        <v>55292189306</v>
      </c>
      <c r="T243">
        <v>0.99988699999999997</v>
      </c>
      <c r="U243">
        <v>1.0005489999999999</v>
      </c>
      <c r="V243">
        <v>0.99945799999999996</v>
      </c>
      <c r="W243">
        <v>1.0000819999999999</v>
      </c>
      <c r="X243">
        <v>1.0000819999999999</v>
      </c>
      <c r="Y243">
        <v>7372587537</v>
      </c>
      <c r="Z243">
        <v>0.49107099999999998</v>
      </c>
      <c r="AA243">
        <v>0.501448</v>
      </c>
      <c r="AB243">
        <v>0.47723500000000002</v>
      </c>
      <c r="AC243">
        <v>0.50009800000000004</v>
      </c>
      <c r="AD243">
        <v>0.50009800000000004</v>
      </c>
      <c r="AE243">
        <v>929201777</v>
      </c>
      <c r="AK243" s="1">
        <v>44763</v>
      </c>
      <c r="AL243">
        <f t="shared" si="3"/>
        <v>1520.3745120000001</v>
      </c>
      <c r="AM243">
        <f>INDEX(A:AE,MATCH(AK243,worksheet!A:A,0),MATCH(worksheet!AM242,worksheet!A242:AE242,0))</f>
        <v>23233.201172000001</v>
      </c>
      <c r="AN243">
        <f>INDEX(A:AE,MATCH(AK243,worksheet!A:A,0),MATCH(worksheet!AN242,worksheet!A242:AE242,0))</f>
        <v>0.49107099999999998</v>
      </c>
      <c r="AO243">
        <f>INDEX(A:AE,MATCH(AK243,worksheet!A:A,0),MATCH(worksheet!AO242,worksheet!A242:AE242,0))</f>
        <v>1.0000530000000001</v>
      </c>
      <c r="AP243">
        <f>INDEX(A:AE,MATCH(AK243,worksheet!A:A,0),MATCH(worksheet!AP242,worksheet!A242:AE242,0))</f>
        <v>0.99988699999999997</v>
      </c>
    </row>
    <row r="244" spans="1:42" x14ac:dyDescent="0.25">
      <c r="A244" s="1">
        <v>44764</v>
      </c>
      <c r="B244">
        <v>1576.745361</v>
      </c>
      <c r="C244">
        <v>1641.2092290000001</v>
      </c>
      <c r="D244">
        <v>1523.6417240000001</v>
      </c>
      <c r="E244">
        <v>1537.4051509999999</v>
      </c>
      <c r="F244">
        <v>1537.4051509999999</v>
      </c>
      <c r="G244">
        <v>18926100582</v>
      </c>
      <c r="H244">
        <v>23163.751952999999</v>
      </c>
      <c r="I244">
        <v>23671.927734000001</v>
      </c>
      <c r="J244">
        <v>22603.416015999999</v>
      </c>
      <c r="K244">
        <v>22714.978515999999</v>
      </c>
      <c r="L244">
        <v>22714.978515999999</v>
      </c>
      <c r="M244">
        <v>31421555646</v>
      </c>
      <c r="N244">
        <v>1.0000819999999999</v>
      </c>
      <c r="O244">
        <v>1.0001770000000001</v>
      </c>
      <c r="P244">
        <v>1.000027</v>
      </c>
      <c r="Q244">
        <v>1.0000519999999999</v>
      </c>
      <c r="R244">
        <v>1.0000519999999999</v>
      </c>
      <c r="S244">
        <v>51645071119</v>
      </c>
      <c r="T244">
        <v>1.0000789999999999</v>
      </c>
      <c r="U244">
        <v>1.0004470000000001</v>
      </c>
      <c r="V244">
        <v>0.99921899999999997</v>
      </c>
      <c r="W244">
        <v>1.0000169999999999</v>
      </c>
      <c r="X244">
        <v>1.0000169999999999</v>
      </c>
      <c r="Y244">
        <v>6285903773</v>
      </c>
      <c r="Z244">
        <v>0.50009099999999995</v>
      </c>
      <c r="AA244">
        <v>0.51064299999999996</v>
      </c>
      <c r="AB244">
        <v>0.478904</v>
      </c>
      <c r="AC244">
        <v>0.48394599999999999</v>
      </c>
      <c r="AD244">
        <v>0.48394599999999999</v>
      </c>
      <c r="AE244">
        <v>783147406</v>
      </c>
      <c r="AK244" s="1">
        <v>44764</v>
      </c>
      <c r="AL244">
        <f t="shared" si="3"/>
        <v>1576.745361</v>
      </c>
      <c r="AM244">
        <f>INDEX(A:AE,MATCH(AK244,worksheet!A:A,0),MATCH(worksheet!AM243,worksheet!A243:AE243,0))</f>
        <v>23163.751952999999</v>
      </c>
      <c r="AN244">
        <f>INDEX(A:AE,MATCH(AK244,worksheet!A:A,0),MATCH(worksheet!AN243,worksheet!A243:AE243,0))</f>
        <v>0.50009099999999995</v>
      </c>
      <c r="AO244">
        <f>INDEX(A:AE,MATCH(AK244,worksheet!A:A,0),MATCH(worksheet!AO243,worksheet!A243:AE243,0))</f>
        <v>1.0000819999999999</v>
      </c>
      <c r="AP244">
        <f>INDEX(A:AE,MATCH(AK244,worksheet!A:A,0),MATCH(worksheet!AP243,worksheet!A243:AE243,0))</f>
        <v>1.0000789999999999</v>
      </c>
    </row>
    <row r="245" spans="1:42" x14ac:dyDescent="0.25">
      <c r="A245" s="1">
        <v>44765</v>
      </c>
      <c r="B245">
        <v>1536.4573969999999</v>
      </c>
      <c r="C245">
        <v>1591.632568</v>
      </c>
      <c r="D245">
        <v>1495.678101</v>
      </c>
      <c r="E245">
        <v>1549.2974850000001</v>
      </c>
      <c r="F245">
        <v>1549.2974850000001</v>
      </c>
      <c r="G245">
        <v>14998811383</v>
      </c>
      <c r="H245">
        <v>22706.984375</v>
      </c>
      <c r="I245">
        <v>22977.210938</v>
      </c>
      <c r="J245">
        <v>22002.910156000002</v>
      </c>
      <c r="K245">
        <v>22465.478515999999</v>
      </c>
      <c r="L245">
        <v>22465.478515999999</v>
      </c>
      <c r="M245">
        <v>24021799169</v>
      </c>
      <c r="N245">
        <v>1.0000519999999999</v>
      </c>
      <c r="O245">
        <v>1.000146</v>
      </c>
      <c r="P245">
        <v>0.99998399999999998</v>
      </c>
      <c r="Q245">
        <v>1.0000359999999999</v>
      </c>
      <c r="R245">
        <v>1.0000359999999999</v>
      </c>
      <c r="S245">
        <v>43014917183</v>
      </c>
      <c r="T245">
        <v>0.99995199999999995</v>
      </c>
      <c r="U245">
        <v>1.000408</v>
      </c>
      <c r="V245">
        <v>0.99949699999999997</v>
      </c>
      <c r="W245">
        <v>1.000014</v>
      </c>
      <c r="X245">
        <v>1.000014</v>
      </c>
      <c r="Y245">
        <v>5287167945</v>
      </c>
      <c r="Z245">
        <v>0.48372700000000002</v>
      </c>
      <c r="AA245">
        <v>0.51753199999999999</v>
      </c>
      <c r="AB245">
        <v>0.47551599999999999</v>
      </c>
      <c r="AC245">
        <v>0.51736800000000005</v>
      </c>
      <c r="AD245">
        <v>0.51736800000000005</v>
      </c>
      <c r="AE245">
        <v>837188756</v>
      </c>
      <c r="AK245" s="1">
        <v>44765</v>
      </c>
      <c r="AL245">
        <f t="shared" si="3"/>
        <v>1536.4573969999999</v>
      </c>
      <c r="AM245">
        <f>INDEX(A:AE,MATCH(AK245,worksheet!A:A,0),MATCH(worksheet!AM244,worksheet!A244:AE244,0))</f>
        <v>22706.984375</v>
      </c>
      <c r="AN245">
        <f>INDEX(A:AE,MATCH(AK245,worksheet!A:A,0),MATCH(worksheet!AN244,worksheet!A244:AE244,0))</f>
        <v>0.48372700000000002</v>
      </c>
      <c r="AO245">
        <f>INDEX(A:AE,MATCH(AK245,worksheet!A:A,0),MATCH(worksheet!AO244,worksheet!A244:AE244,0))</f>
        <v>1.0000519999999999</v>
      </c>
      <c r="AP245">
        <f>INDEX(A:AE,MATCH(AK245,worksheet!A:A,0),MATCH(worksheet!AP244,worksheet!A244:AE244,0))</f>
        <v>0.99995199999999995</v>
      </c>
    </row>
    <row r="246" spans="1:42" x14ac:dyDescent="0.25">
      <c r="A246" s="1">
        <v>44766</v>
      </c>
      <c r="B246">
        <v>1549.222534</v>
      </c>
      <c r="C246">
        <v>1654.428711</v>
      </c>
      <c r="D246">
        <v>1548.671143</v>
      </c>
      <c r="E246">
        <v>1599.4766850000001</v>
      </c>
      <c r="F246">
        <v>1599.4766850000001</v>
      </c>
      <c r="G246">
        <v>17217849557</v>
      </c>
      <c r="H246">
        <v>22465.509765999999</v>
      </c>
      <c r="I246">
        <v>22974.001952999999</v>
      </c>
      <c r="J246">
        <v>22306.839843999998</v>
      </c>
      <c r="K246">
        <v>22609.164063</v>
      </c>
      <c r="L246">
        <v>22609.164063</v>
      </c>
      <c r="M246">
        <v>23565495303</v>
      </c>
      <c r="N246">
        <v>1.0000340000000001</v>
      </c>
      <c r="O246">
        <v>1.0001180000000001</v>
      </c>
      <c r="P246">
        <v>0.99992999999999999</v>
      </c>
      <c r="Q246">
        <v>1.000035</v>
      </c>
      <c r="R246">
        <v>1.000035</v>
      </c>
      <c r="S246">
        <v>41955275140</v>
      </c>
      <c r="T246">
        <v>1.0000070000000001</v>
      </c>
      <c r="U246">
        <v>1.000475</v>
      </c>
      <c r="V246">
        <v>0.99959799999999999</v>
      </c>
      <c r="W246">
        <v>1.000084</v>
      </c>
      <c r="X246">
        <v>1.000084</v>
      </c>
      <c r="Y246">
        <v>4866184511</v>
      </c>
      <c r="Z246">
        <v>0.51736000000000004</v>
      </c>
      <c r="AA246">
        <v>0.53407400000000005</v>
      </c>
      <c r="AB246">
        <v>0.51063199999999997</v>
      </c>
      <c r="AC246">
        <v>0.51381399999999999</v>
      </c>
      <c r="AD246">
        <v>0.51381399999999999</v>
      </c>
      <c r="AE246">
        <v>910596091</v>
      </c>
      <c r="AK246" s="1">
        <v>44766</v>
      </c>
      <c r="AL246">
        <f t="shared" si="3"/>
        <v>1549.222534</v>
      </c>
      <c r="AM246">
        <f>INDEX(A:AE,MATCH(AK246,worksheet!A:A,0),MATCH(worksheet!AM245,worksheet!A245:AE245,0))</f>
        <v>22465.509765999999</v>
      </c>
      <c r="AN246">
        <f>INDEX(A:AE,MATCH(AK246,worksheet!A:A,0),MATCH(worksheet!AN245,worksheet!A245:AE245,0))</f>
        <v>0.51736000000000004</v>
      </c>
      <c r="AO246">
        <f>INDEX(A:AE,MATCH(AK246,worksheet!A:A,0),MATCH(worksheet!AO245,worksheet!A245:AE245,0))</f>
        <v>1.0000340000000001</v>
      </c>
      <c r="AP246">
        <f>INDEX(A:AE,MATCH(AK246,worksheet!A:A,0),MATCH(worksheet!AP245,worksheet!A245:AE245,0))</f>
        <v>1.0000070000000001</v>
      </c>
    </row>
    <row r="247" spans="1:42" x14ac:dyDescent="0.25">
      <c r="A247" s="1">
        <v>44767</v>
      </c>
      <c r="B247">
        <v>1599.1572269999999</v>
      </c>
      <c r="C247">
        <v>1605.336914</v>
      </c>
      <c r="D247">
        <v>1445.383423</v>
      </c>
      <c r="E247">
        <v>1445.383423</v>
      </c>
      <c r="F247">
        <v>1445.383423</v>
      </c>
      <c r="G247">
        <v>20585056021</v>
      </c>
      <c r="H247">
        <v>22607.15625</v>
      </c>
      <c r="I247">
        <v>22649.121093999998</v>
      </c>
      <c r="J247">
        <v>21361.642577999999</v>
      </c>
      <c r="K247">
        <v>21361.701172000001</v>
      </c>
      <c r="L247">
        <v>21361.701172000001</v>
      </c>
      <c r="M247">
        <v>35574561406</v>
      </c>
      <c r="N247">
        <v>1.000038</v>
      </c>
      <c r="O247">
        <v>1.000122</v>
      </c>
      <c r="P247">
        <v>1.000006</v>
      </c>
      <c r="Q247">
        <v>1.000062</v>
      </c>
      <c r="R247">
        <v>1.000062</v>
      </c>
      <c r="S247">
        <v>56307512994</v>
      </c>
      <c r="T247">
        <v>1.0000640000000001</v>
      </c>
      <c r="U247">
        <v>1.0004850000000001</v>
      </c>
      <c r="V247">
        <v>0.999363</v>
      </c>
      <c r="W247">
        <v>0.99974200000000002</v>
      </c>
      <c r="X247">
        <v>0.99974200000000002</v>
      </c>
      <c r="Y247">
        <v>6431520471</v>
      </c>
      <c r="Z247">
        <v>0.51376299999999997</v>
      </c>
      <c r="AA247">
        <v>0.51481200000000005</v>
      </c>
      <c r="AB247">
        <v>0.47623700000000002</v>
      </c>
      <c r="AC247">
        <v>0.47625000000000001</v>
      </c>
      <c r="AD247">
        <v>0.47625000000000001</v>
      </c>
      <c r="AE247">
        <v>747132740</v>
      </c>
      <c r="AK247" s="1">
        <v>44767</v>
      </c>
      <c r="AL247">
        <f t="shared" si="3"/>
        <v>1599.1572269999999</v>
      </c>
      <c r="AM247">
        <f>INDEX(A:AE,MATCH(AK247,worksheet!A:A,0),MATCH(worksheet!AM246,worksheet!A246:AE246,0))</f>
        <v>22607.15625</v>
      </c>
      <c r="AN247">
        <f>INDEX(A:AE,MATCH(AK247,worksheet!A:A,0),MATCH(worksheet!AN246,worksheet!A246:AE246,0))</f>
        <v>0.51376299999999997</v>
      </c>
      <c r="AO247">
        <f>INDEX(A:AE,MATCH(AK247,worksheet!A:A,0),MATCH(worksheet!AO246,worksheet!A246:AE246,0))</f>
        <v>1.000038</v>
      </c>
      <c r="AP247">
        <f>INDEX(A:AE,MATCH(AK247,worksheet!A:A,0),MATCH(worksheet!AP246,worksheet!A246:AE246,0))</f>
        <v>1.0000640000000001</v>
      </c>
    </row>
    <row r="248" spans="1:42" x14ac:dyDescent="0.25">
      <c r="A248" s="1">
        <v>44768</v>
      </c>
      <c r="B248">
        <v>1445.1511230000001</v>
      </c>
      <c r="C248">
        <v>1445.1511230000001</v>
      </c>
      <c r="D248">
        <v>1362.9516599999999</v>
      </c>
      <c r="E248">
        <v>1441.806763</v>
      </c>
      <c r="F248">
        <v>1441.806763</v>
      </c>
      <c r="G248">
        <v>18238563509</v>
      </c>
      <c r="H248">
        <v>21361.121093999998</v>
      </c>
      <c r="I248">
        <v>21361.121093999998</v>
      </c>
      <c r="J248">
        <v>20776.816406000002</v>
      </c>
      <c r="K248">
        <v>21239.753906000002</v>
      </c>
      <c r="L248">
        <v>21239.753906000002</v>
      </c>
      <c r="M248">
        <v>28624673855</v>
      </c>
      <c r="N248">
        <v>1.000067</v>
      </c>
      <c r="O248">
        <v>1.0001279999999999</v>
      </c>
      <c r="P248">
        <v>0.999996</v>
      </c>
      <c r="Q248">
        <v>1.0000469999999999</v>
      </c>
      <c r="R248">
        <v>1.0000469999999999</v>
      </c>
      <c r="S248">
        <v>48266723630</v>
      </c>
      <c r="T248">
        <v>0.99977700000000003</v>
      </c>
      <c r="U248">
        <v>1.000669</v>
      </c>
      <c r="V248">
        <v>0.99958499999999995</v>
      </c>
      <c r="W248">
        <v>1.0001420000000001</v>
      </c>
      <c r="X248">
        <v>1.0001420000000001</v>
      </c>
      <c r="Y248">
        <v>6871887569</v>
      </c>
      <c r="Z248">
        <v>0.476298</v>
      </c>
      <c r="AA248">
        <v>0.47660400000000003</v>
      </c>
      <c r="AB248">
        <v>0.45210499999999998</v>
      </c>
      <c r="AC248">
        <v>0.46760699999999999</v>
      </c>
      <c r="AD248">
        <v>0.46760699999999999</v>
      </c>
      <c r="AE248">
        <v>753266177</v>
      </c>
      <c r="AK248" s="1">
        <v>44768</v>
      </c>
      <c r="AL248">
        <f t="shared" si="3"/>
        <v>1445.1511230000001</v>
      </c>
      <c r="AM248">
        <f>INDEX(A:AE,MATCH(AK248,worksheet!A:A,0),MATCH(worksheet!AM247,worksheet!A247:AE247,0))</f>
        <v>21361.121093999998</v>
      </c>
      <c r="AN248">
        <f>INDEX(A:AE,MATCH(AK248,worksheet!A:A,0),MATCH(worksheet!AN247,worksheet!A247:AE247,0))</f>
        <v>0.476298</v>
      </c>
      <c r="AO248">
        <f>INDEX(A:AE,MATCH(AK248,worksheet!A:A,0),MATCH(worksheet!AO247,worksheet!A247:AE247,0))</f>
        <v>1.000067</v>
      </c>
      <c r="AP248">
        <f>INDEX(A:AE,MATCH(AK248,worksheet!A:A,0),MATCH(worksheet!AP247,worksheet!A247:AE247,0))</f>
        <v>0.99977700000000003</v>
      </c>
    </row>
    <row r="249" spans="1:42" x14ac:dyDescent="0.25">
      <c r="A249" s="1">
        <v>44769</v>
      </c>
      <c r="B249">
        <v>1443.726807</v>
      </c>
      <c r="C249">
        <v>1636.799438</v>
      </c>
      <c r="D249">
        <v>1423.6188959999999</v>
      </c>
      <c r="E249">
        <v>1636.2326660000001</v>
      </c>
      <c r="F249">
        <v>1636.2326660000001</v>
      </c>
      <c r="G249">
        <v>23007524016</v>
      </c>
      <c r="H249">
        <v>21244.169922000001</v>
      </c>
      <c r="I249">
        <v>22986.529297000001</v>
      </c>
      <c r="J249">
        <v>21070.806640999999</v>
      </c>
      <c r="K249">
        <v>22930.548827999999</v>
      </c>
      <c r="L249">
        <v>22930.548827999999</v>
      </c>
      <c r="M249">
        <v>31758955233</v>
      </c>
      <c r="N249">
        <v>1.000048</v>
      </c>
      <c r="O249">
        <v>1.0003280000000001</v>
      </c>
      <c r="P249">
        <v>0.99997999999999998</v>
      </c>
      <c r="Q249">
        <v>1.0002740000000001</v>
      </c>
      <c r="R249">
        <v>1.0002740000000001</v>
      </c>
      <c r="S249">
        <v>60104591185</v>
      </c>
      <c r="T249">
        <v>1.0001610000000001</v>
      </c>
      <c r="U249">
        <v>1.0006949999999999</v>
      </c>
      <c r="V249">
        <v>0.99963500000000005</v>
      </c>
      <c r="W249">
        <v>1.0001150000000001</v>
      </c>
      <c r="X249">
        <v>1.0001150000000001</v>
      </c>
      <c r="Y249">
        <v>8262809031</v>
      </c>
      <c r="Z249">
        <v>0.46771299999999999</v>
      </c>
      <c r="AA249">
        <v>0.51055300000000003</v>
      </c>
      <c r="AB249">
        <v>0.45982499999999998</v>
      </c>
      <c r="AC249">
        <v>0.51055300000000003</v>
      </c>
      <c r="AD249">
        <v>0.51055300000000003</v>
      </c>
      <c r="AE249">
        <v>1108377917</v>
      </c>
      <c r="AK249" s="1">
        <v>44769</v>
      </c>
      <c r="AL249">
        <f t="shared" si="3"/>
        <v>1443.726807</v>
      </c>
      <c r="AM249">
        <f>INDEX(A:AE,MATCH(AK249,worksheet!A:A,0),MATCH(worksheet!AM248,worksheet!A248:AE248,0))</f>
        <v>21244.169922000001</v>
      </c>
      <c r="AN249">
        <f>INDEX(A:AE,MATCH(AK249,worksheet!A:A,0),MATCH(worksheet!AN248,worksheet!A248:AE248,0))</f>
        <v>0.46771299999999999</v>
      </c>
      <c r="AO249">
        <f>INDEX(A:AE,MATCH(AK249,worksheet!A:A,0),MATCH(worksheet!AO248,worksheet!A248:AE248,0))</f>
        <v>1.000048</v>
      </c>
      <c r="AP249">
        <f>INDEX(A:AE,MATCH(AK249,worksheet!A:A,0),MATCH(worksheet!AP248,worksheet!A248:AE248,0))</f>
        <v>1.0001610000000001</v>
      </c>
    </row>
    <row r="250" spans="1:42" x14ac:dyDescent="0.25">
      <c r="A250" s="1">
        <v>44770</v>
      </c>
      <c r="B250">
        <v>1636.2319339999999</v>
      </c>
      <c r="C250">
        <v>1774.5764160000001</v>
      </c>
      <c r="D250">
        <v>1604.890991</v>
      </c>
      <c r="E250">
        <v>1725.4681399999999</v>
      </c>
      <c r="F250">
        <v>1725.4681399999999</v>
      </c>
      <c r="G250">
        <v>27231399966</v>
      </c>
      <c r="H250">
        <v>22933.640625</v>
      </c>
      <c r="I250">
        <v>24110.470702999999</v>
      </c>
      <c r="J250">
        <v>22722.265625</v>
      </c>
      <c r="K250">
        <v>23843.886718999998</v>
      </c>
      <c r="L250">
        <v>23843.886718999998</v>
      </c>
      <c r="M250">
        <v>40212386158</v>
      </c>
      <c r="N250">
        <v>1.0002880000000001</v>
      </c>
      <c r="O250">
        <v>1.0003599999999999</v>
      </c>
      <c r="P250">
        <v>1.0001230000000001</v>
      </c>
      <c r="Q250">
        <v>1.0002</v>
      </c>
      <c r="R250">
        <v>1.0002</v>
      </c>
      <c r="S250">
        <v>75754591120</v>
      </c>
      <c r="T250">
        <v>1.0001409999999999</v>
      </c>
      <c r="U250">
        <v>1.0004919999999999</v>
      </c>
      <c r="V250">
        <v>0.99941899999999995</v>
      </c>
      <c r="W250">
        <v>1.000022</v>
      </c>
      <c r="X250">
        <v>1.000022</v>
      </c>
      <c r="Y250">
        <v>9419521160</v>
      </c>
      <c r="Z250">
        <v>0.51058000000000003</v>
      </c>
      <c r="AA250">
        <v>0.52294799999999997</v>
      </c>
      <c r="AB250">
        <v>0.49211199999999999</v>
      </c>
      <c r="AC250">
        <v>0.51332800000000001</v>
      </c>
      <c r="AD250">
        <v>0.51332800000000001</v>
      </c>
      <c r="AE250">
        <v>1404871202</v>
      </c>
      <c r="AK250" s="1">
        <v>44770</v>
      </c>
      <c r="AL250">
        <f t="shared" si="3"/>
        <v>1636.2319339999999</v>
      </c>
      <c r="AM250">
        <f>INDEX(A:AE,MATCH(AK250,worksheet!A:A,0),MATCH(worksheet!AM249,worksheet!A249:AE249,0))</f>
        <v>22933.640625</v>
      </c>
      <c r="AN250">
        <f>INDEX(A:AE,MATCH(AK250,worksheet!A:A,0),MATCH(worksheet!AN249,worksheet!A249:AE249,0))</f>
        <v>0.51058000000000003</v>
      </c>
      <c r="AO250">
        <f>INDEX(A:AE,MATCH(AK250,worksheet!A:A,0),MATCH(worksheet!AO249,worksheet!A249:AE249,0))</f>
        <v>1.0002880000000001</v>
      </c>
      <c r="AP250">
        <f>INDEX(A:AE,MATCH(AK250,worksheet!A:A,0),MATCH(worksheet!AP249,worksheet!A249:AE249,0))</f>
        <v>1.0001409999999999</v>
      </c>
    </row>
    <row r="251" spans="1:42" x14ac:dyDescent="0.25">
      <c r="A251" s="1">
        <v>44771</v>
      </c>
      <c r="B251">
        <v>1725.6239009999999</v>
      </c>
      <c r="C251">
        <v>1759.884033</v>
      </c>
      <c r="D251">
        <v>1662.791138</v>
      </c>
      <c r="E251">
        <v>1727.406982</v>
      </c>
      <c r="F251">
        <v>1727.406982</v>
      </c>
      <c r="G251">
        <v>23249531113</v>
      </c>
      <c r="H251">
        <v>23845.212890999999</v>
      </c>
      <c r="I251">
        <v>24294.787109000001</v>
      </c>
      <c r="J251">
        <v>23481.173827999999</v>
      </c>
      <c r="K251">
        <v>23804.632813</v>
      </c>
      <c r="L251">
        <v>23804.632813</v>
      </c>
      <c r="M251">
        <v>35887249746</v>
      </c>
      <c r="N251">
        <v>1.000205</v>
      </c>
      <c r="O251">
        <v>1.000346</v>
      </c>
      <c r="P251">
        <v>1.0001690000000001</v>
      </c>
      <c r="Q251">
        <v>1.000311</v>
      </c>
      <c r="R251">
        <v>1.000311</v>
      </c>
      <c r="S251">
        <v>72013108986</v>
      </c>
      <c r="T251">
        <v>1.000024</v>
      </c>
      <c r="U251">
        <v>1.0005059999999999</v>
      </c>
      <c r="V251">
        <v>0.99921000000000004</v>
      </c>
      <c r="W251">
        <v>0.99967799999999996</v>
      </c>
      <c r="X251">
        <v>0.99967799999999996</v>
      </c>
      <c r="Y251">
        <v>8773001546</v>
      </c>
      <c r="Z251">
        <v>0.51322800000000002</v>
      </c>
      <c r="AA251">
        <v>0.54408400000000001</v>
      </c>
      <c r="AB251">
        <v>0.50833300000000003</v>
      </c>
      <c r="AC251">
        <v>0.52333499999999999</v>
      </c>
      <c r="AD251">
        <v>0.52333499999999999</v>
      </c>
      <c r="AE251">
        <v>1601170272</v>
      </c>
      <c r="AK251" s="1">
        <v>44771</v>
      </c>
      <c r="AL251">
        <f t="shared" si="3"/>
        <v>1725.6239009999999</v>
      </c>
      <c r="AM251">
        <f>INDEX(A:AE,MATCH(AK251,worksheet!A:A,0),MATCH(worksheet!AM250,worksheet!A250:AE250,0))</f>
        <v>23845.212890999999</v>
      </c>
      <c r="AN251">
        <f>INDEX(A:AE,MATCH(AK251,worksheet!A:A,0),MATCH(worksheet!AN250,worksheet!A250:AE250,0))</f>
        <v>0.51322800000000002</v>
      </c>
      <c r="AO251">
        <f>INDEX(A:AE,MATCH(AK251,worksheet!A:A,0),MATCH(worksheet!AO250,worksheet!A250:AE250,0))</f>
        <v>1.000205</v>
      </c>
      <c r="AP251">
        <f>INDEX(A:AE,MATCH(AK251,worksheet!A:A,0),MATCH(worksheet!AP250,worksheet!A250:AE250,0))</f>
        <v>1.000024</v>
      </c>
    </row>
    <row r="252" spans="1:42" x14ac:dyDescent="0.25">
      <c r="A252" s="1">
        <v>44772</v>
      </c>
      <c r="B252">
        <v>1727.0618899999999</v>
      </c>
      <c r="C252">
        <v>1738.016846</v>
      </c>
      <c r="D252">
        <v>1678.1080320000001</v>
      </c>
      <c r="E252">
        <v>1695.969482</v>
      </c>
      <c r="F252">
        <v>1695.969482</v>
      </c>
      <c r="G252">
        <v>15576977870</v>
      </c>
      <c r="H252">
        <v>23796.818359000001</v>
      </c>
      <c r="I252">
        <v>24572.580077999999</v>
      </c>
      <c r="J252">
        <v>23580.507813</v>
      </c>
      <c r="K252">
        <v>23656.207031000002</v>
      </c>
      <c r="L252">
        <v>23656.207031000002</v>
      </c>
      <c r="M252">
        <v>28148218301</v>
      </c>
      <c r="N252">
        <v>1.00031</v>
      </c>
      <c r="O252">
        <v>1.0003519999999999</v>
      </c>
      <c r="P252">
        <v>1.0002169999999999</v>
      </c>
      <c r="Q252">
        <v>1.000289</v>
      </c>
      <c r="R252">
        <v>1.000289</v>
      </c>
      <c r="S252">
        <v>57489826931</v>
      </c>
      <c r="T252">
        <v>0.99972000000000005</v>
      </c>
      <c r="U252">
        <v>1.0004189999999999</v>
      </c>
      <c r="V252">
        <v>0.99937600000000004</v>
      </c>
      <c r="W252">
        <v>0.99986600000000003</v>
      </c>
      <c r="X252">
        <v>0.99986600000000003</v>
      </c>
      <c r="Y252">
        <v>6342886733</v>
      </c>
      <c r="Z252">
        <v>0.52321899999999999</v>
      </c>
      <c r="AA252">
        <v>0.55121799999999999</v>
      </c>
      <c r="AB252">
        <v>0.51198100000000002</v>
      </c>
      <c r="AC252">
        <v>0.52557600000000004</v>
      </c>
      <c r="AD252">
        <v>0.52557600000000004</v>
      </c>
      <c r="AE252">
        <v>1247885850</v>
      </c>
      <c r="AK252" s="1">
        <v>44772</v>
      </c>
      <c r="AL252">
        <f t="shared" si="3"/>
        <v>1727.0618899999999</v>
      </c>
      <c r="AM252">
        <f>INDEX(A:AE,MATCH(AK252,worksheet!A:A,0),MATCH(worksheet!AM251,worksheet!A251:AE251,0))</f>
        <v>23796.818359000001</v>
      </c>
      <c r="AN252">
        <f>INDEX(A:AE,MATCH(AK252,worksheet!A:A,0),MATCH(worksheet!AN251,worksheet!A251:AE251,0))</f>
        <v>0.52321899999999999</v>
      </c>
      <c r="AO252">
        <f>INDEX(A:AE,MATCH(AK252,worksheet!A:A,0),MATCH(worksheet!AO251,worksheet!A251:AE251,0))</f>
        <v>1.00031</v>
      </c>
      <c r="AP252">
        <f>INDEX(A:AE,MATCH(AK252,worksheet!A:A,0),MATCH(worksheet!AP251,worksheet!A251:AE251,0))</f>
        <v>0.99972000000000005</v>
      </c>
    </row>
    <row r="253" spans="1:42" x14ac:dyDescent="0.25">
      <c r="A253" s="1">
        <v>44773</v>
      </c>
      <c r="B253">
        <v>1695.8847659999999</v>
      </c>
      <c r="C253">
        <v>1745.8831789999999</v>
      </c>
      <c r="D253">
        <v>1672.612793</v>
      </c>
      <c r="E253">
        <v>1681.5173339999999</v>
      </c>
      <c r="F253">
        <v>1681.5173339999999</v>
      </c>
      <c r="G253">
        <v>14200735370</v>
      </c>
      <c r="H253">
        <v>23652.070313</v>
      </c>
      <c r="I253">
        <v>24121.642577999999</v>
      </c>
      <c r="J253">
        <v>23275.703125</v>
      </c>
      <c r="K253">
        <v>23336.896484000001</v>
      </c>
      <c r="L253">
        <v>23336.896484000001</v>
      </c>
      <c r="M253">
        <v>23553591896</v>
      </c>
      <c r="N253">
        <v>1.0002800000000001</v>
      </c>
      <c r="O253">
        <v>1.0003379999999999</v>
      </c>
      <c r="P253">
        <v>1.0002</v>
      </c>
      <c r="Q253">
        <v>1.0003280000000001</v>
      </c>
      <c r="R253">
        <v>1.0003280000000001</v>
      </c>
      <c r="S253">
        <v>52267348020</v>
      </c>
      <c r="T253">
        <v>0.99974799999999997</v>
      </c>
      <c r="U253">
        <v>1.0003010000000001</v>
      </c>
      <c r="V253">
        <v>0.99931599999999998</v>
      </c>
      <c r="W253">
        <v>0.99979700000000005</v>
      </c>
      <c r="X253">
        <v>0.99979700000000005</v>
      </c>
      <c r="Y253">
        <v>7124030237</v>
      </c>
      <c r="Z253">
        <v>0.52559299999999998</v>
      </c>
      <c r="AA253">
        <v>0.54253600000000002</v>
      </c>
      <c r="AB253">
        <v>0.51495100000000005</v>
      </c>
      <c r="AC253">
        <v>0.51702000000000004</v>
      </c>
      <c r="AD253">
        <v>0.51702000000000004</v>
      </c>
      <c r="AE253">
        <v>875157898</v>
      </c>
      <c r="AK253" s="1">
        <v>44773</v>
      </c>
      <c r="AL253">
        <f t="shared" si="3"/>
        <v>1695.8847659999999</v>
      </c>
      <c r="AM253">
        <f>INDEX(A:AE,MATCH(AK253,worksheet!A:A,0),MATCH(worksheet!AM252,worksheet!A252:AE252,0))</f>
        <v>23652.070313</v>
      </c>
      <c r="AN253">
        <f>INDEX(A:AE,MATCH(AK253,worksheet!A:A,0),MATCH(worksheet!AN252,worksheet!A252:AE252,0))</f>
        <v>0.52559299999999998</v>
      </c>
      <c r="AO253">
        <f>INDEX(A:AE,MATCH(AK253,worksheet!A:A,0),MATCH(worksheet!AO252,worksheet!A252:AE252,0))</f>
        <v>1.0002800000000001</v>
      </c>
      <c r="AP253">
        <f>INDEX(A:AE,MATCH(AK253,worksheet!A:A,0),MATCH(worksheet!AP252,worksheet!A252:AE252,0))</f>
        <v>0.99974799999999997</v>
      </c>
    </row>
    <row r="254" spans="1:42" x14ac:dyDescent="0.25">
      <c r="A254" s="1">
        <v>44774</v>
      </c>
      <c r="B254">
        <v>1681.445557</v>
      </c>
      <c r="C254">
        <v>1700.1708980000001</v>
      </c>
      <c r="D254">
        <v>1613.4160159999999</v>
      </c>
      <c r="E254">
        <v>1635.1958010000001</v>
      </c>
      <c r="F254">
        <v>1635.1958010000001</v>
      </c>
      <c r="G254">
        <v>16191371176</v>
      </c>
      <c r="H254">
        <v>23336.71875</v>
      </c>
      <c r="I254">
        <v>23464.787109000001</v>
      </c>
      <c r="J254">
        <v>22890.796875</v>
      </c>
      <c r="K254">
        <v>23314.199218999998</v>
      </c>
      <c r="L254">
        <v>23314.199218999998</v>
      </c>
      <c r="M254">
        <v>25849159141</v>
      </c>
      <c r="N254">
        <v>1.0003219999999999</v>
      </c>
      <c r="O254">
        <v>1.0003679999999999</v>
      </c>
      <c r="P254">
        <v>1.0001249999999999</v>
      </c>
      <c r="Q254">
        <v>1.0002040000000001</v>
      </c>
      <c r="R254">
        <v>1.0002040000000001</v>
      </c>
      <c r="S254">
        <v>50882756969</v>
      </c>
      <c r="T254">
        <v>0.99975800000000004</v>
      </c>
      <c r="U254">
        <v>1.0004690000000001</v>
      </c>
      <c r="V254">
        <v>0.99952300000000005</v>
      </c>
      <c r="W254">
        <v>0.99983699999999998</v>
      </c>
      <c r="X254">
        <v>0.99983699999999998</v>
      </c>
      <c r="Y254">
        <v>8090652736</v>
      </c>
      <c r="Z254">
        <v>0.51705100000000004</v>
      </c>
      <c r="AA254">
        <v>0.52573300000000001</v>
      </c>
      <c r="AB254">
        <v>0.50253099999999995</v>
      </c>
      <c r="AC254">
        <v>0.514123</v>
      </c>
      <c r="AD254">
        <v>0.514123</v>
      </c>
      <c r="AE254">
        <v>647889797</v>
      </c>
      <c r="AK254" s="1">
        <v>44774</v>
      </c>
      <c r="AL254">
        <f t="shared" si="3"/>
        <v>1681.445557</v>
      </c>
      <c r="AM254">
        <f>INDEX(A:AE,MATCH(AK254,worksheet!A:A,0),MATCH(worksheet!AM253,worksheet!A253:AE253,0))</f>
        <v>23336.71875</v>
      </c>
      <c r="AN254">
        <f>INDEX(A:AE,MATCH(AK254,worksheet!A:A,0),MATCH(worksheet!AN253,worksheet!A253:AE253,0))</f>
        <v>0.51705100000000004</v>
      </c>
      <c r="AO254">
        <f>INDEX(A:AE,MATCH(AK254,worksheet!A:A,0),MATCH(worksheet!AO253,worksheet!A253:AE253,0))</f>
        <v>1.0003219999999999</v>
      </c>
      <c r="AP254">
        <f>INDEX(A:AE,MATCH(AK254,worksheet!A:A,0),MATCH(worksheet!AP253,worksheet!A253:AE253,0))</f>
        <v>0.99975800000000004</v>
      </c>
    </row>
    <row r="255" spans="1:42" x14ac:dyDescent="0.25">
      <c r="A255" s="1">
        <v>44775</v>
      </c>
      <c r="B255">
        <v>1634.645874</v>
      </c>
      <c r="C255">
        <v>1672.6297609999999</v>
      </c>
      <c r="D255">
        <v>1567.8510739999999</v>
      </c>
      <c r="E255">
        <v>1632.9454350000001</v>
      </c>
      <c r="F255">
        <v>1632.9454350000001</v>
      </c>
      <c r="G255">
        <v>20426082309</v>
      </c>
      <c r="H255">
        <v>23308.433593999998</v>
      </c>
      <c r="I255">
        <v>23415.041015999999</v>
      </c>
      <c r="J255">
        <v>22710.083984000001</v>
      </c>
      <c r="K255">
        <v>22978.117188</v>
      </c>
      <c r="L255">
        <v>22978.117188</v>
      </c>
      <c r="M255">
        <v>28389250717</v>
      </c>
      <c r="N255">
        <v>1.00021</v>
      </c>
      <c r="O255">
        <v>1.000319</v>
      </c>
      <c r="P255">
        <v>1.0001329999999999</v>
      </c>
      <c r="Q255">
        <v>1.000159</v>
      </c>
      <c r="R255">
        <v>1.000159</v>
      </c>
      <c r="S255">
        <v>54793315279</v>
      </c>
      <c r="T255">
        <v>0.99985599999999997</v>
      </c>
      <c r="U255">
        <v>1.000583</v>
      </c>
      <c r="V255">
        <v>0.99934800000000001</v>
      </c>
      <c r="W255">
        <v>0.99993399999999999</v>
      </c>
      <c r="X255">
        <v>0.99993399999999999</v>
      </c>
      <c r="Y255">
        <v>8333966555</v>
      </c>
      <c r="Z255">
        <v>0.513907</v>
      </c>
      <c r="AA255">
        <v>0.51461000000000001</v>
      </c>
      <c r="AB255">
        <v>0.49022100000000002</v>
      </c>
      <c r="AC255">
        <v>0.49683300000000002</v>
      </c>
      <c r="AD255">
        <v>0.49683300000000002</v>
      </c>
      <c r="AE255">
        <v>709947033</v>
      </c>
      <c r="AK255" s="1">
        <v>44775</v>
      </c>
      <c r="AL255">
        <f t="shared" si="3"/>
        <v>1634.645874</v>
      </c>
      <c r="AM255">
        <f>INDEX(A:AE,MATCH(AK255,worksheet!A:A,0),MATCH(worksheet!AM254,worksheet!A254:AE254,0))</f>
        <v>23308.433593999998</v>
      </c>
      <c r="AN255">
        <f>INDEX(A:AE,MATCH(AK255,worksheet!A:A,0),MATCH(worksheet!AN254,worksheet!A254:AE254,0))</f>
        <v>0.513907</v>
      </c>
      <c r="AO255">
        <f>INDEX(A:AE,MATCH(AK255,worksheet!A:A,0),MATCH(worksheet!AO254,worksheet!A254:AE254,0))</f>
        <v>1.00021</v>
      </c>
      <c r="AP255">
        <f>INDEX(A:AE,MATCH(AK255,worksheet!A:A,0),MATCH(worksheet!AP254,worksheet!A254:AE254,0))</f>
        <v>0.99985599999999997</v>
      </c>
    </row>
    <row r="256" spans="1:42" x14ac:dyDescent="0.25">
      <c r="A256" s="1">
        <v>44776</v>
      </c>
      <c r="B256">
        <v>1633.0512699999999</v>
      </c>
      <c r="C256">
        <v>1678.0982670000001</v>
      </c>
      <c r="D256">
        <v>1595.6345209999999</v>
      </c>
      <c r="E256">
        <v>1618.8745120000001</v>
      </c>
      <c r="F256">
        <v>1618.8745120000001</v>
      </c>
      <c r="G256">
        <v>16786218830</v>
      </c>
      <c r="H256">
        <v>22981.302734000001</v>
      </c>
      <c r="I256">
        <v>23578.650390999999</v>
      </c>
      <c r="J256">
        <v>22747.835938</v>
      </c>
      <c r="K256">
        <v>22846.507813</v>
      </c>
      <c r="L256">
        <v>22846.507813</v>
      </c>
      <c r="M256">
        <v>26288169966</v>
      </c>
      <c r="N256">
        <v>1.000148</v>
      </c>
      <c r="O256">
        <v>1.000272</v>
      </c>
      <c r="P256">
        <v>1.0001169999999999</v>
      </c>
      <c r="Q256">
        <v>1.0002040000000001</v>
      </c>
      <c r="R256">
        <v>1.0002040000000001</v>
      </c>
      <c r="S256">
        <v>47717439471</v>
      </c>
      <c r="T256">
        <v>0.99996700000000005</v>
      </c>
      <c r="U256">
        <v>1.0005120000000001</v>
      </c>
      <c r="V256">
        <v>0.99956500000000004</v>
      </c>
      <c r="W256">
        <v>1.000032</v>
      </c>
      <c r="X256">
        <v>1.000032</v>
      </c>
      <c r="Y256">
        <v>7123782220</v>
      </c>
      <c r="Z256">
        <v>0.49686599999999997</v>
      </c>
      <c r="AA256">
        <v>0.51574299999999995</v>
      </c>
      <c r="AB256">
        <v>0.49023600000000001</v>
      </c>
      <c r="AC256">
        <v>0.50098799999999999</v>
      </c>
      <c r="AD256">
        <v>0.50098799999999999</v>
      </c>
      <c r="AE256">
        <v>553477710</v>
      </c>
      <c r="AK256" s="1">
        <v>44776</v>
      </c>
      <c r="AL256">
        <f t="shared" si="3"/>
        <v>1633.0512699999999</v>
      </c>
      <c r="AM256">
        <f>INDEX(A:AE,MATCH(AK256,worksheet!A:A,0),MATCH(worksheet!AM255,worksheet!A255:AE255,0))</f>
        <v>22981.302734000001</v>
      </c>
      <c r="AN256">
        <f>INDEX(A:AE,MATCH(AK256,worksheet!A:A,0),MATCH(worksheet!AN255,worksheet!A255:AE255,0))</f>
        <v>0.49686599999999997</v>
      </c>
      <c r="AO256">
        <f>INDEX(A:AE,MATCH(AK256,worksheet!A:A,0),MATCH(worksheet!AO255,worksheet!A255:AE255,0))</f>
        <v>1.000148</v>
      </c>
      <c r="AP256">
        <f>INDEX(A:AE,MATCH(AK256,worksheet!A:A,0),MATCH(worksheet!AP255,worksheet!A255:AE255,0))</f>
        <v>0.99996700000000005</v>
      </c>
    </row>
    <row r="257" spans="1:42" x14ac:dyDescent="0.25">
      <c r="A257" s="1">
        <v>44777</v>
      </c>
      <c r="B257">
        <v>1618.8867190000001</v>
      </c>
      <c r="C257">
        <v>1658.5115969999999</v>
      </c>
      <c r="D257">
        <v>1585.326538</v>
      </c>
      <c r="E257">
        <v>1608.205811</v>
      </c>
      <c r="F257">
        <v>1608.205811</v>
      </c>
      <c r="G257">
        <v>14467440626</v>
      </c>
      <c r="H257">
        <v>22848.214843999998</v>
      </c>
      <c r="I257">
        <v>23198.009765999999</v>
      </c>
      <c r="J257">
        <v>22485.701172000001</v>
      </c>
      <c r="K257">
        <v>22630.957031000002</v>
      </c>
      <c r="L257">
        <v>22630.957031000002</v>
      </c>
      <c r="M257">
        <v>25120229769</v>
      </c>
      <c r="N257">
        <v>1.0002070000000001</v>
      </c>
      <c r="O257">
        <v>1.0002850000000001</v>
      </c>
      <c r="P257">
        <v>1.0000530000000001</v>
      </c>
      <c r="Q257">
        <v>1.0001329999999999</v>
      </c>
      <c r="R257">
        <v>1.0001329999999999</v>
      </c>
      <c r="S257">
        <v>44526180493</v>
      </c>
      <c r="T257">
        <v>1.0000340000000001</v>
      </c>
      <c r="U257">
        <v>1.000686</v>
      </c>
      <c r="V257">
        <v>0.99961199999999995</v>
      </c>
      <c r="W257">
        <v>1.0000359999999999</v>
      </c>
      <c r="X257">
        <v>1.0000359999999999</v>
      </c>
      <c r="Y257">
        <v>6265705595</v>
      </c>
      <c r="Z257">
        <v>0.50097499999999995</v>
      </c>
      <c r="AA257">
        <v>0.51041999999999998</v>
      </c>
      <c r="AB257">
        <v>0.49488900000000002</v>
      </c>
      <c r="AC257">
        <v>0.499668</v>
      </c>
      <c r="AD257">
        <v>0.499668</v>
      </c>
      <c r="AE257">
        <v>499753654</v>
      </c>
      <c r="AK257" s="1">
        <v>44777</v>
      </c>
      <c r="AL257">
        <f t="shared" si="3"/>
        <v>1618.8867190000001</v>
      </c>
      <c r="AM257">
        <f>INDEX(A:AE,MATCH(AK257,worksheet!A:A,0),MATCH(worksheet!AM256,worksheet!A256:AE256,0))</f>
        <v>22848.214843999998</v>
      </c>
      <c r="AN257">
        <f>INDEX(A:AE,MATCH(AK257,worksheet!A:A,0),MATCH(worksheet!AN256,worksheet!A256:AE256,0))</f>
        <v>0.50097499999999995</v>
      </c>
      <c r="AO257">
        <f>INDEX(A:AE,MATCH(AK257,worksheet!A:A,0),MATCH(worksheet!AO256,worksheet!A256:AE256,0))</f>
        <v>1.0002070000000001</v>
      </c>
      <c r="AP257">
        <f>INDEX(A:AE,MATCH(AK257,worksheet!A:A,0),MATCH(worksheet!AP256,worksheet!A256:AE256,0))</f>
        <v>1.0000340000000001</v>
      </c>
    </row>
    <row r="258" spans="1:42" x14ac:dyDescent="0.25">
      <c r="A258" s="1">
        <v>44778</v>
      </c>
      <c r="B258">
        <v>1607.5239260000001</v>
      </c>
      <c r="C258">
        <v>1732.254639</v>
      </c>
      <c r="D258">
        <v>1606.4970699999999</v>
      </c>
      <c r="E258">
        <v>1732.254639</v>
      </c>
      <c r="F258">
        <v>1732.254639</v>
      </c>
      <c r="G258">
        <v>18546491876</v>
      </c>
      <c r="H258">
        <v>22626.833984000001</v>
      </c>
      <c r="I258">
        <v>23422.828125</v>
      </c>
      <c r="J258">
        <v>22612.177734000001</v>
      </c>
      <c r="K258">
        <v>23289.314452999999</v>
      </c>
      <c r="L258">
        <v>23289.314452999999</v>
      </c>
      <c r="M258">
        <v>28881249043</v>
      </c>
      <c r="N258">
        <v>1.0001119999999999</v>
      </c>
      <c r="O258">
        <v>1.000159</v>
      </c>
      <c r="P258">
        <v>1.000032</v>
      </c>
      <c r="Q258">
        <v>1.0000420000000001</v>
      </c>
      <c r="R258">
        <v>1.0000420000000001</v>
      </c>
      <c r="S258">
        <v>49723473321</v>
      </c>
      <c r="T258">
        <v>1.0000370000000001</v>
      </c>
      <c r="U258">
        <v>1.000418</v>
      </c>
      <c r="V258">
        <v>0.99942399999999998</v>
      </c>
      <c r="W258">
        <v>1.0000880000000001</v>
      </c>
      <c r="X258">
        <v>1.0000880000000001</v>
      </c>
      <c r="Y258">
        <v>6033672422</v>
      </c>
      <c r="Z258">
        <v>0.49958200000000003</v>
      </c>
      <c r="AA258">
        <v>0.51842699999999997</v>
      </c>
      <c r="AB258">
        <v>0.49951400000000001</v>
      </c>
      <c r="AC258">
        <v>0.51750300000000005</v>
      </c>
      <c r="AD258">
        <v>0.51750300000000005</v>
      </c>
      <c r="AE258">
        <v>536832135</v>
      </c>
      <c r="AK258" s="1">
        <v>44778</v>
      </c>
      <c r="AL258">
        <f t="shared" si="3"/>
        <v>1607.5239260000001</v>
      </c>
      <c r="AM258">
        <f>INDEX(A:AE,MATCH(AK258,worksheet!A:A,0),MATCH(worksheet!AM257,worksheet!A257:AE257,0))</f>
        <v>22626.833984000001</v>
      </c>
      <c r="AN258">
        <f>INDEX(A:AE,MATCH(AK258,worksheet!A:A,0),MATCH(worksheet!AN257,worksheet!A257:AE257,0))</f>
        <v>0.49958200000000003</v>
      </c>
      <c r="AO258">
        <f>INDEX(A:AE,MATCH(AK258,worksheet!A:A,0),MATCH(worksheet!AO257,worksheet!A257:AE257,0))</f>
        <v>1.0001119999999999</v>
      </c>
      <c r="AP258">
        <f>INDEX(A:AE,MATCH(AK258,worksheet!A:A,0),MATCH(worksheet!AP257,worksheet!A257:AE257,0))</f>
        <v>1.0000370000000001</v>
      </c>
    </row>
    <row r="259" spans="1:42" x14ac:dyDescent="0.25">
      <c r="A259" s="1">
        <v>44779</v>
      </c>
      <c r="B259">
        <v>1732.6611330000001</v>
      </c>
      <c r="C259">
        <v>1744.3264160000001</v>
      </c>
      <c r="D259">
        <v>1691.658081</v>
      </c>
      <c r="E259">
        <v>1691.658081</v>
      </c>
      <c r="F259">
        <v>1691.658081</v>
      </c>
      <c r="G259">
        <v>11757911705</v>
      </c>
      <c r="H259">
        <v>23291.423827999999</v>
      </c>
      <c r="I259">
        <v>23326.5625</v>
      </c>
      <c r="J259">
        <v>22961.279297000001</v>
      </c>
      <c r="K259">
        <v>22961.279297000001</v>
      </c>
      <c r="L259">
        <v>22961.279297000001</v>
      </c>
      <c r="M259">
        <v>15978259885</v>
      </c>
      <c r="N259">
        <v>1.000038</v>
      </c>
      <c r="O259">
        <v>1.000165</v>
      </c>
      <c r="P259">
        <v>1.000038</v>
      </c>
      <c r="Q259">
        <v>1.0001249999999999</v>
      </c>
      <c r="R259">
        <v>1.0001249999999999</v>
      </c>
      <c r="S259">
        <v>32961917502</v>
      </c>
      <c r="T259">
        <v>1.000121</v>
      </c>
      <c r="U259">
        <v>1.0002880000000001</v>
      </c>
      <c r="V259">
        <v>0.99956599999999995</v>
      </c>
      <c r="W259">
        <v>0.99970599999999998</v>
      </c>
      <c r="X259">
        <v>0.99970599999999998</v>
      </c>
      <c r="Y259">
        <v>4013049170</v>
      </c>
      <c r="Z259">
        <v>0.51756400000000002</v>
      </c>
      <c r="AA259">
        <v>0.52146800000000004</v>
      </c>
      <c r="AB259">
        <v>0.51120600000000005</v>
      </c>
      <c r="AC259">
        <v>0.51125600000000004</v>
      </c>
      <c r="AD259">
        <v>0.51125600000000004</v>
      </c>
      <c r="AE259">
        <v>370884770</v>
      </c>
      <c r="AK259" s="1">
        <v>44779</v>
      </c>
      <c r="AL259">
        <f t="shared" ref="AL259:AL322" si="4">INDEX($A:$AE,MATCH(AK259,$A:$A,0),MATCH($AL258,$A258:$AE258,0))</f>
        <v>1732.6611330000001</v>
      </c>
      <c r="AM259">
        <f>INDEX(A:AE,MATCH(AK259,worksheet!A:A,0),MATCH(worksheet!AM258,worksheet!A258:AE258,0))</f>
        <v>23291.423827999999</v>
      </c>
      <c r="AN259">
        <f>INDEX(A:AE,MATCH(AK259,worksheet!A:A,0),MATCH(worksheet!AN258,worksheet!A258:AE258,0))</f>
        <v>0.51756400000000002</v>
      </c>
      <c r="AO259">
        <f>INDEX(A:AE,MATCH(AK259,worksheet!A:A,0),MATCH(worksheet!AO258,worksheet!A258:AE258,0))</f>
        <v>1.000038</v>
      </c>
      <c r="AP259">
        <f>INDEX(A:AE,MATCH(AK259,worksheet!A:A,0),MATCH(worksheet!AP258,worksheet!A258:AE258,0))</f>
        <v>1.000121</v>
      </c>
    </row>
    <row r="260" spans="1:42" x14ac:dyDescent="0.25">
      <c r="A260" s="1">
        <v>44780</v>
      </c>
      <c r="B260">
        <v>1691.7779539999999</v>
      </c>
      <c r="C260">
        <v>1724.7891850000001</v>
      </c>
      <c r="D260">
        <v>1672.908447</v>
      </c>
      <c r="E260">
        <v>1699.3508300000001</v>
      </c>
      <c r="F260">
        <v>1699.3508300000001</v>
      </c>
      <c r="G260">
        <v>10252090340</v>
      </c>
      <c r="H260">
        <v>22963.505859000001</v>
      </c>
      <c r="I260">
        <v>23359.009765999999</v>
      </c>
      <c r="J260">
        <v>22894.556640999999</v>
      </c>
      <c r="K260">
        <v>23175.890625</v>
      </c>
      <c r="L260">
        <v>23175.890625</v>
      </c>
      <c r="M260">
        <v>15886817043</v>
      </c>
      <c r="N260">
        <v>1.0001279999999999</v>
      </c>
      <c r="O260">
        <v>1.000181</v>
      </c>
      <c r="P260">
        <v>1.000068</v>
      </c>
      <c r="Q260">
        <v>1.0001439999999999</v>
      </c>
      <c r="R260">
        <v>1.0001439999999999</v>
      </c>
      <c r="S260">
        <v>29901528651</v>
      </c>
      <c r="T260">
        <v>0.99984799999999996</v>
      </c>
      <c r="U260">
        <v>1.000354</v>
      </c>
      <c r="V260">
        <v>0.99949100000000002</v>
      </c>
      <c r="W260">
        <v>0.999919</v>
      </c>
      <c r="X260">
        <v>0.999919</v>
      </c>
      <c r="Y260">
        <v>3504912367</v>
      </c>
      <c r="Z260">
        <v>0.51137200000000005</v>
      </c>
      <c r="AA260">
        <v>0.53666400000000003</v>
      </c>
      <c r="AB260">
        <v>0.50766800000000001</v>
      </c>
      <c r="AC260">
        <v>0.52746999999999999</v>
      </c>
      <c r="AD260">
        <v>0.52746999999999999</v>
      </c>
      <c r="AE260">
        <v>495713645</v>
      </c>
      <c r="AK260" s="1">
        <v>44780</v>
      </c>
      <c r="AL260">
        <f t="shared" si="4"/>
        <v>1691.7779539999999</v>
      </c>
      <c r="AM260">
        <f>INDEX(A:AE,MATCH(AK260,worksheet!A:A,0),MATCH(worksheet!AM259,worksheet!A259:AE259,0))</f>
        <v>22963.505859000001</v>
      </c>
      <c r="AN260">
        <f>INDEX(A:AE,MATCH(AK260,worksheet!A:A,0),MATCH(worksheet!AN259,worksheet!A259:AE259,0))</f>
        <v>0.51137200000000005</v>
      </c>
      <c r="AO260">
        <f>INDEX(A:AE,MATCH(AK260,worksheet!A:A,0),MATCH(worksheet!AO259,worksheet!A259:AE259,0))</f>
        <v>1.0001279999999999</v>
      </c>
      <c r="AP260">
        <f>INDEX(A:AE,MATCH(AK260,worksheet!A:A,0),MATCH(worksheet!AP259,worksheet!A259:AE259,0))</f>
        <v>0.99984799999999996</v>
      </c>
    </row>
    <row r="261" spans="1:42" x14ac:dyDescent="0.25">
      <c r="A261" s="1">
        <v>44781</v>
      </c>
      <c r="B261">
        <v>1699.693481</v>
      </c>
      <c r="C261">
        <v>1806.886475</v>
      </c>
      <c r="D261">
        <v>1697.4079589999999</v>
      </c>
      <c r="E261">
        <v>1775.5161129999999</v>
      </c>
      <c r="F261">
        <v>1775.5161129999999</v>
      </c>
      <c r="G261">
        <v>16841424404</v>
      </c>
      <c r="H261">
        <v>23179.527343999998</v>
      </c>
      <c r="I261">
        <v>24203.689452999999</v>
      </c>
      <c r="J261">
        <v>23176.546875</v>
      </c>
      <c r="K261">
        <v>23809.486327999999</v>
      </c>
      <c r="L261">
        <v>23809.486327999999</v>
      </c>
      <c r="M261">
        <v>28575544847</v>
      </c>
      <c r="N261">
        <v>1.000159</v>
      </c>
      <c r="O261">
        <v>1.000227</v>
      </c>
      <c r="P261">
        <v>1.000097</v>
      </c>
      <c r="Q261">
        <v>1.0001770000000001</v>
      </c>
      <c r="R261">
        <v>1.0001770000000001</v>
      </c>
      <c r="S261">
        <v>50243147547</v>
      </c>
      <c r="T261">
        <v>0.99993799999999999</v>
      </c>
      <c r="U261">
        <v>1.000454</v>
      </c>
      <c r="V261">
        <v>0.99944200000000005</v>
      </c>
      <c r="W261">
        <v>1.0000659999999999</v>
      </c>
      <c r="X261">
        <v>1.0000659999999999</v>
      </c>
      <c r="Y261">
        <v>6960679226</v>
      </c>
      <c r="Z261">
        <v>0.52748799999999996</v>
      </c>
      <c r="AA261">
        <v>0.54840699999999998</v>
      </c>
      <c r="AB261">
        <v>0.52363300000000002</v>
      </c>
      <c r="AC261">
        <v>0.53659599999999996</v>
      </c>
      <c r="AD261">
        <v>0.53659599999999996</v>
      </c>
      <c r="AE261">
        <v>782794306</v>
      </c>
      <c r="AK261" s="1">
        <v>44781</v>
      </c>
      <c r="AL261">
        <f t="shared" si="4"/>
        <v>1699.693481</v>
      </c>
      <c r="AM261">
        <f>INDEX(A:AE,MATCH(AK261,worksheet!A:A,0),MATCH(worksheet!AM260,worksheet!A260:AE260,0))</f>
        <v>23179.527343999998</v>
      </c>
      <c r="AN261">
        <f>INDEX(A:AE,MATCH(AK261,worksheet!A:A,0),MATCH(worksheet!AN260,worksheet!A260:AE260,0))</f>
        <v>0.52748799999999996</v>
      </c>
      <c r="AO261">
        <f>INDEX(A:AE,MATCH(AK261,worksheet!A:A,0),MATCH(worksheet!AO260,worksheet!A260:AE260,0))</f>
        <v>1.000159</v>
      </c>
      <c r="AP261">
        <f>INDEX(A:AE,MATCH(AK261,worksheet!A:A,0),MATCH(worksheet!AP260,worksheet!A260:AE260,0))</f>
        <v>0.99993799999999999</v>
      </c>
    </row>
    <row r="262" spans="1:42" x14ac:dyDescent="0.25">
      <c r="A262" s="1">
        <v>44782</v>
      </c>
      <c r="B262">
        <v>1776.071289</v>
      </c>
      <c r="C262">
        <v>1786.1225589999999</v>
      </c>
      <c r="D262">
        <v>1675.8498540000001</v>
      </c>
      <c r="E262">
        <v>1703.025024</v>
      </c>
      <c r="F262">
        <v>1703.025024</v>
      </c>
      <c r="G262">
        <v>16368619692</v>
      </c>
      <c r="H262">
        <v>23811.484375</v>
      </c>
      <c r="I262">
        <v>23898.615234000001</v>
      </c>
      <c r="J262">
        <v>22982</v>
      </c>
      <c r="K262">
        <v>23164.318359000001</v>
      </c>
      <c r="L262">
        <v>23164.318359000001</v>
      </c>
      <c r="M262">
        <v>23555719219</v>
      </c>
      <c r="N262">
        <v>1.0001690000000001</v>
      </c>
      <c r="O262">
        <v>1.0002439999999999</v>
      </c>
      <c r="P262">
        <v>1.0001180000000001</v>
      </c>
      <c r="Q262">
        <v>1.0002089999999999</v>
      </c>
      <c r="R262">
        <v>1.0002089999999999</v>
      </c>
      <c r="S262">
        <v>46070684571</v>
      </c>
      <c r="T262">
        <v>1.0000800000000001</v>
      </c>
      <c r="U262">
        <v>1.000299</v>
      </c>
      <c r="V262">
        <v>0.99914499999999995</v>
      </c>
      <c r="W262">
        <v>0.99979799999999996</v>
      </c>
      <c r="X262">
        <v>0.99979799999999996</v>
      </c>
      <c r="Y262">
        <v>6736005317</v>
      </c>
      <c r="Z262">
        <v>0.53665600000000002</v>
      </c>
      <c r="AA262">
        <v>0.53708500000000003</v>
      </c>
      <c r="AB262">
        <v>0.50764100000000001</v>
      </c>
      <c r="AC262">
        <v>0.51405199999999995</v>
      </c>
      <c r="AD262">
        <v>0.51405199999999995</v>
      </c>
      <c r="AE262">
        <v>636681258</v>
      </c>
      <c r="AK262" s="1">
        <v>44782</v>
      </c>
      <c r="AL262">
        <f t="shared" si="4"/>
        <v>1776.071289</v>
      </c>
      <c r="AM262">
        <f>INDEX(A:AE,MATCH(AK262,worksheet!A:A,0),MATCH(worksheet!AM261,worksheet!A261:AE261,0))</f>
        <v>23811.484375</v>
      </c>
      <c r="AN262">
        <f>INDEX(A:AE,MATCH(AK262,worksheet!A:A,0),MATCH(worksheet!AN261,worksheet!A261:AE261,0))</f>
        <v>0.53665600000000002</v>
      </c>
      <c r="AO262">
        <f>INDEX(A:AE,MATCH(AK262,worksheet!A:A,0),MATCH(worksheet!AO261,worksheet!A261:AE261,0))</f>
        <v>1.0001690000000001</v>
      </c>
      <c r="AP262">
        <f>INDEX(A:AE,MATCH(AK262,worksheet!A:A,0),MATCH(worksheet!AP261,worksheet!A261:AE261,0))</f>
        <v>1.0000800000000001</v>
      </c>
    </row>
    <row r="263" spans="1:42" x14ac:dyDescent="0.25">
      <c r="A263" s="1">
        <v>44783</v>
      </c>
      <c r="B263">
        <v>1702.9064940000001</v>
      </c>
      <c r="C263">
        <v>1869.400635</v>
      </c>
      <c r="D263">
        <v>1665.0904539999999</v>
      </c>
      <c r="E263">
        <v>1851.7426760000001</v>
      </c>
      <c r="F263">
        <v>1851.7426760000001</v>
      </c>
      <c r="G263">
        <v>23512477984</v>
      </c>
      <c r="H263">
        <v>23162.898438</v>
      </c>
      <c r="I263">
        <v>24127.414063</v>
      </c>
      <c r="J263">
        <v>22771.519531000002</v>
      </c>
      <c r="K263">
        <v>23947.642577999999</v>
      </c>
      <c r="L263">
        <v>23947.642577999999</v>
      </c>
      <c r="M263">
        <v>32837431722</v>
      </c>
      <c r="N263">
        <v>1.000205</v>
      </c>
      <c r="O263">
        <v>1.000562</v>
      </c>
      <c r="P263">
        <v>1.000151</v>
      </c>
      <c r="Q263">
        <v>1.0002530000000001</v>
      </c>
      <c r="R263">
        <v>1.0002530000000001</v>
      </c>
      <c r="S263">
        <v>60085173824</v>
      </c>
      <c r="T263">
        <v>0.99977199999999999</v>
      </c>
      <c r="U263">
        <v>1.000326</v>
      </c>
      <c r="V263">
        <v>0.99953199999999998</v>
      </c>
      <c r="W263">
        <v>1.000135</v>
      </c>
      <c r="X263">
        <v>1.000135</v>
      </c>
      <c r="Y263">
        <v>7908008277</v>
      </c>
      <c r="Z263">
        <v>0.513992</v>
      </c>
      <c r="AA263">
        <v>0.53788599999999998</v>
      </c>
      <c r="AB263">
        <v>0.50406099999999998</v>
      </c>
      <c r="AC263">
        <v>0.53709300000000004</v>
      </c>
      <c r="AD263">
        <v>0.53709300000000004</v>
      </c>
      <c r="AE263">
        <v>816259967</v>
      </c>
      <c r="AK263" s="1">
        <v>44783</v>
      </c>
      <c r="AL263">
        <f t="shared" si="4"/>
        <v>1702.9064940000001</v>
      </c>
      <c r="AM263">
        <f>INDEX(A:AE,MATCH(AK263,worksheet!A:A,0),MATCH(worksheet!AM262,worksheet!A262:AE262,0))</f>
        <v>23162.898438</v>
      </c>
      <c r="AN263">
        <f>INDEX(A:AE,MATCH(AK263,worksheet!A:A,0),MATCH(worksheet!AN262,worksheet!A262:AE262,0))</f>
        <v>0.513992</v>
      </c>
      <c r="AO263">
        <f>INDEX(A:AE,MATCH(AK263,worksheet!A:A,0),MATCH(worksheet!AO262,worksheet!A262:AE262,0))</f>
        <v>1.000205</v>
      </c>
      <c r="AP263">
        <f>INDEX(A:AE,MATCH(AK263,worksheet!A:A,0),MATCH(worksheet!AP262,worksheet!A262:AE262,0))</f>
        <v>0.99977199999999999</v>
      </c>
    </row>
    <row r="264" spans="1:42" x14ac:dyDescent="0.25">
      <c r="A264" s="1">
        <v>44784</v>
      </c>
      <c r="B264">
        <v>1851.8283690000001</v>
      </c>
      <c r="C264">
        <v>1927.9392089999999</v>
      </c>
      <c r="D264">
        <v>1851.8283690000001</v>
      </c>
      <c r="E264">
        <v>1881.224121</v>
      </c>
      <c r="F264">
        <v>1881.224121</v>
      </c>
      <c r="G264">
        <v>23826986482</v>
      </c>
      <c r="H264">
        <v>23948.345702999999</v>
      </c>
      <c r="I264">
        <v>24822.628906000002</v>
      </c>
      <c r="J264">
        <v>23900.996093999998</v>
      </c>
      <c r="K264">
        <v>23957.529297000001</v>
      </c>
      <c r="L264">
        <v>23957.529297000001</v>
      </c>
      <c r="M264">
        <v>37127036580</v>
      </c>
      <c r="N264">
        <v>1.000251</v>
      </c>
      <c r="O264">
        <v>1.0005040000000001</v>
      </c>
      <c r="P264">
        <v>1.000243</v>
      </c>
      <c r="Q264">
        <v>1.0004059999999999</v>
      </c>
      <c r="R264">
        <v>1.0004059999999999</v>
      </c>
      <c r="S264">
        <v>64445391375</v>
      </c>
      <c r="T264">
        <v>1.0001359999999999</v>
      </c>
      <c r="U264">
        <v>1.0002580000000001</v>
      </c>
      <c r="V264">
        <v>0.99964200000000003</v>
      </c>
      <c r="W264">
        <v>0.99991399999999997</v>
      </c>
      <c r="X264">
        <v>0.99991399999999997</v>
      </c>
      <c r="Y264">
        <v>8324806426</v>
      </c>
      <c r="Z264">
        <v>0.53710400000000003</v>
      </c>
      <c r="AA264">
        <v>0.54659800000000003</v>
      </c>
      <c r="AB264">
        <v>0.529891</v>
      </c>
      <c r="AC264">
        <v>0.53125800000000001</v>
      </c>
      <c r="AD264">
        <v>0.53125800000000001</v>
      </c>
      <c r="AE264">
        <v>819277170</v>
      </c>
      <c r="AK264" s="1">
        <v>44784</v>
      </c>
      <c r="AL264">
        <f t="shared" si="4"/>
        <v>1851.8283690000001</v>
      </c>
      <c r="AM264">
        <f>INDEX(A:AE,MATCH(AK264,worksheet!A:A,0),MATCH(worksheet!AM263,worksheet!A263:AE263,0))</f>
        <v>23948.345702999999</v>
      </c>
      <c r="AN264">
        <f>INDEX(A:AE,MATCH(AK264,worksheet!A:A,0),MATCH(worksheet!AN263,worksheet!A263:AE263,0))</f>
        <v>0.53710400000000003</v>
      </c>
      <c r="AO264">
        <f>INDEX(A:AE,MATCH(AK264,worksheet!A:A,0),MATCH(worksheet!AO263,worksheet!A263:AE263,0))</f>
        <v>1.000251</v>
      </c>
      <c r="AP264">
        <f>INDEX(A:AE,MATCH(AK264,worksheet!A:A,0),MATCH(worksheet!AP263,worksheet!A263:AE263,0))</f>
        <v>1.0001359999999999</v>
      </c>
    </row>
    <row r="265" spans="1:42" x14ac:dyDescent="0.25">
      <c r="A265" s="1">
        <v>44785</v>
      </c>
      <c r="B265">
        <v>1880.8991699999999</v>
      </c>
      <c r="C265">
        <v>1957.5529790000001</v>
      </c>
      <c r="D265">
        <v>1860.083496</v>
      </c>
      <c r="E265">
        <v>1957.2464600000001</v>
      </c>
      <c r="F265">
        <v>1957.2464600000001</v>
      </c>
      <c r="G265">
        <v>17168141904</v>
      </c>
      <c r="H265">
        <v>23957.203125</v>
      </c>
      <c r="I265">
        <v>24412.566406000002</v>
      </c>
      <c r="J265">
        <v>23657.265625</v>
      </c>
      <c r="K265">
        <v>24402.818359000001</v>
      </c>
      <c r="L265">
        <v>24402.818359000001</v>
      </c>
      <c r="M265">
        <v>27265804688</v>
      </c>
      <c r="N265">
        <v>1.0004010000000001</v>
      </c>
      <c r="O265">
        <v>1.0004729999999999</v>
      </c>
      <c r="P265">
        <v>1.0002450000000001</v>
      </c>
      <c r="Q265">
        <v>1.0003359999999999</v>
      </c>
      <c r="R265">
        <v>1.0003359999999999</v>
      </c>
      <c r="S265">
        <v>46783370955</v>
      </c>
      <c r="T265">
        <v>0.999884</v>
      </c>
      <c r="U265">
        <v>1.0002789999999999</v>
      </c>
      <c r="V265">
        <v>0.99965099999999996</v>
      </c>
      <c r="W265">
        <v>1.000067</v>
      </c>
      <c r="X265">
        <v>1.000067</v>
      </c>
      <c r="Y265">
        <v>6575377525</v>
      </c>
      <c r="Z265">
        <v>0.53119499999999997</v>
      </c>
      <c r="AA265">
        <v>0.54144199999999998</v>
      </c>
      <c r="AB265">
        <v>0.52203500000000003</v>
      </c>
      <c r="AC265">
        <v>0.54075300000000004</v>
      </c>
      <c r="AD265">
        <v>0.54075300000000004</v>
      </c>
      <c r="AE265">
        <v>538287825</v>
      </c>
      <c r="AK265" s="1">
        <v>44785</v>
      </c>
      <c r="AL265">
        <f t="shared" si="4"/>
        <v>1880.8991699999999</v>
      </c>
      <c r="AM265">
        <f>INDEX(A:AE,MATCH(AK265,worksheet!A:A,0),MATCH(worksheet!AM264,worksheet!A264:AE264,0))</f>
        <v>23957.203125</v>
      </c>
      <c r="AN265">
        <f>INDEX(A:AE,MATCH(AK265,worksheet!A:A,0),MATCH(worksheet!AN264,worksheet!A264:AE264,0))</f>
        <v>0.53119499999999997</v>
      </c>
      <c r="AO265">
        <f>INDEX(A:AE,MATCH(AK265,worksheet!A:A,0),MATCH(worksheet!AO264,worksheet!A264:AE264,0))</f>
        <v>1.0004010000000001</v>
      </c>
      <c r="AP265">
        <f>INDEX(A:AE,MATCH(AK265,worksheet!A:A,0),MATCH(worksheet!AP264,worksheet!A264:AE264,0))</f>
        <v>0.999884</v>
      </c>
    </row>
    <row r="266" spans="1:42" x14ac:dyDescent="0.25">
      <c r="A266" s="1">
        <v>44786</v>
      </c>
      <c r="B266">
        <v>1957.3339840000001</v>
      </c>
      <c r="C266">
        <v>2013.755737</v>
      </c>
      <c r="D266">
        <v>1948.5952150000001</v>
      </c>
      <c r="E266">
        <v>1981.336548</v>
      </c>
      <c r="F266">
        <v>1981.336548</v>
      </c>
      <c r="G266">
        <v>16038975216</v>
      </c>
      <c r="H266">
        <v>24402.1875</v>
      </c>
      <c r="I266">
        <v>24860.050781000002</v>
      </c>
      <c r="J266">
        <v>24346.115234000001</v>
      </c>
      <c r="K266">
        <v>24424.068359000001</v>
      </c>
      <c r="L266">
        <v>24424.068359000001</v>
      </c>
      <c r="M266">
        <v>22987346289</v>
      </c>
      <c r="N266">
        <v>1.0003420000000001</v>
      </c>
      <c r="O266">
        <v>1.0005740000000001</v>
      </c>
      <c r="P266">
        <v>1.0002500000000001</v>
      </c>
      <c r="Q266">
        <v>1.0003759999999999</v>
      </c>
      <c r="R266">
        <v>1.0003759999999999</v>
      </c>
      <c r="S266">
        <v>41593883061</v>
      </c>
      <c r="T266">
        <v>1.000041</v>
      </c>
      <c r="U266">
        <v>1.0001599999999999</v>
      </c>
      <c r="V266">
        <v>0.99967099999999998</v>
      </c>
      <c r="W266">
        <v>0.99995199999999995</v>
      </c>
      <c r="X266">
        <v>0.99995199999999995</v>
      </c>
      <c r="Y266">
        <v>5445129024</v>
      </c>
      <c r="Z266">
        <v>0.54070799999999997</v>
      </c>
      <c r="AA266">
        <v>0.56639200000000001</v>
      </c>
      <c r="AB266">
        <v>0.53868799999999994</v>
      </c>
      <c r="AC266">
        <v>0.55981300000000001</v>
      </c>
      <c r="AD266">
        <v>0.55981300000000001</v>
      </c>
      <c r="AE266">
        <v>930190208</v>
      </c>
      <c r="AK266" s="1">
        <v>44786</v>
      </c>
      <c r="AL266">
        <f t="shared" si="4"/>
        <v>1957.3339840000001</v>
      </c>
      <c r="AM266">
        <f>INDEX(A:AE,MATCH(AK266,worksheet!A:A,0),MATCH(worksheet!AM265,worksheet!A265:AE265,0))</f>
        <v>24402.1875</v>
      </c>
      <c r="AN266">
        <f>INDEX(A:AE,MATCH(AK266,worksheet!A:A,0),MATCH(worksheet!AN265,worksheet!A265:AE265,0))</f>
        <v>0.54070799999999997</v>
      </c>
      <c r="AO266">
        <f>INDEX(A:AE,MATCH(AK266,worksheet!A:A,0),MATCH(worksheet!AO265,worksheet!A265:AE265,0))</f>
        <v>1.0003420000000001</v>
      </c>
      <c r="AP266">
        <f>INDEX(A:AE,MATCH(AK266,worksheet!A:A,0),MATCH(worksheet!AP265,worksheet!A265:AE265,0))</f>
        <v>1.000041</v>
      </c>
    </row>
    <row r="267" spans="1:42" x14ac:dyDescent="0.25">
      <c r="A267" s="1">
        <v>44787</v>
      </c>
      <c r="B267">
        <v>1981.782471</v>
      </c>
      <c r="C267">
        <v>2022.791504</v>
      </c>
      <c r="D267">
        <v>1919.0101320000001</v>
      </c>
      <c r="E267">
        <v>1936.8020019999999</v>
      </c>
      <c r="F267">
        <v>1936.8020019999999</v>
      </c>
      <c r="G267">
        <v>14062754456</v>
      </c>
      <c r="H267">
        <v>24429.056640999999</v>
      </c>
      <c r="I267">
        <v>24974.914063</v>
      </c>
      <c r="J267">
        <v>24206.259765999999</v>
      </c>
      <c r="K267">
        <v>24319.333984000001</v>
      </c>
      <c r="L267">
        <v>24319.333984000001</v>
      </c>
      <c r="M267">
        <v>22994133555</v>
      </c>
      <c r="N267">
        <v>1.000367</v>
      </c>
      <c r="O267">
        <v>1.0004010000000001</v>
      </c>
      <c r="P267">
        <v>1.0002260000000001</v>
      </c>
      <c r="Q267">
        <v>1.0002709999999999</v>
      </c>
      <c r="R267">
        <v>1.0002709999999999</v>
      </c>
      <c r="S267">
        <v>43866838979</v>
      </c>
      <c r="T267">
        <v>0.99995199999999995</v>
      </c>
      <c r="U267">
        <v>1.0001709999999999</v>
      </c>
      <c r="V267">
        <v>0.99955799999999995</v>
      </c>
      <c r="W267">
        <v>0.99984799999999996</v>
      </c>
      <c r="X267">
        <v>0.99984799999999996</v>
      </c>
      <c r="Y267">
        <v>4448890165</v>
      </c>
      <c r="Z267">
        <v>0.55981899999999996</v>
      </c>
      <c r="AA267">
        <v>0.59389800000000004</v>
      </c>
      <c r="AB267">
        <v>0.55755399999999999</v>
      </c>
      <c r="AC267">
        <v>0.57034300000000004</v>
      </c>
      <c r="AD267">
        <v>0.57034300000000004</v>
      </c>
      <c r="AE267">
        <v>1180283864</v>
      </c>
      <c r="AK267" s="1">
        <v>44787</v>
      </c>
      <c r="AL267">
        <f t="shared" si="4"/>
        <v>1981.782471</v>
      </c>
      <c r="AM267">
        <f>INDEX(A:AE,MATCH(AK267,worksheet!A:A,0),MATCH(worksheet!AM266,worksheet!A266:AE266,0))</f>
        <v>24429.056640999999</v>
      </c>
      <c r="AN267">
        <f>INDEX(A:AE,MATCH(AK267,worksheet!A:A,0),MATCH(worksheet!AN266,worksheet!A266:AE266,0))</f>
        <v>0.55981899999999996</v>
      </c>
      <c r="AO267">
        <f>INDEX(A:AE,MATCH(AK267,worksheet!A:A,0),MATCH(worksheet!AO266,worksheet!A266:AE266,0))</f>
        <v>1.000367</v>
      </c>
      <c r="AP267">
        <f>INDEX(A:AE,MATCH(AK267,worksheet!A:A,0),MATCH(worksheet!AP266,worksheet!A266:AE266,0))</f>
        <v>0.99995199999999995</v>
      </c>
    </row>
    <row r="268" spans="1:42" x14ac:dyDescent="0.25">
      <c r="A268" s="1">
        <v>44788</v>
      </c>
      <c r="B268">
        <v>1936.7604980000001</v>
      </c>
      <c r="C268">
        <v>2007.210327</v>
      </c>
      <c r="D268">
        <v>1881.856812</v>
      </c>
      <c r="E268">
        <v>1904.228149</v>
      </c>
      <c r="F268">
        <v>1904.228149</v>
      </c>
      <c r="G268">
        <v>20349931313</v>
      </c>
      <c r="H268">
        <v>24318.316406000002</v>
      </c>
      <c r="I268">
        <v>25135.589843999998</v>
      </c>
      <c r="J268">
        <v>23839.775390999999</v>
      </c>
      <c r="K268">
        <v>24136.972656000002</v>
      </c>
      <c r="L268">
        <v>24136.972656000002</v>
      </c>
      <c r="M268">
        <v>35123501685</v>
      </c>
      <c r="N268">
        <v>1.0002599999999999</v>
      </c>
      <c r="O268">
        <v>1.000354</v>
      </c>
      <c r="P268">
        <v>1.0001249999999999</v>
      </c>
      <c r="Q268">
        <v>1.0001739999999999</v>
      </c>
      <c r="R268">
        <v>1.0001739999999999</v>
      </c>
      <c r="S268">
        <v>57703388667</v>
      </c>
      <c r="T268">
        <v>0.99988200000000005</v>
      </c>
      <c r="U268">
        <v>1.0002610000000001</v>
      </c>
      <c r="V268">
        <v>0.99945899999999999</v>
      </c>
      <c r="W268">
        <v>0.99994899999999998</v>
      </c>
      <c r="X268">
        <v>0.99994899999999998</v>
      </c>
      <c r="Y268">
        <v>7302904711</v>
      </c>
      <c r="Z268">
        <v>0.57038599999999995</v>
      </c>
      <c r="AA268">
        <v>0.58101000000000003</v>
      </c>
      <c r="AB268">
        <v>0.54560500000000001</v>
      </c>
      <c r="AC268">
        <v>0.55117099999999997</v>
      </c>
      <c r="AD268">
        <v>0.55117099999999997</v>
      </c>
      <c r="AE268">
        <v>876107175</v>
      </c>
      <c r="AK268" s="1">
        <v>44788</v>
      </c>
      <c r="AL268">
        <f t="shared" si="4"/>
        <v>1936.7604980000001</v>
      </c>
      <c r="AM268">
        <f>INDEX(A:AE,MATCH(AK268,worksheet!A:A,0),MATCH(worksheet!AM267,worksheet!A267:AE267,0))</f>
        <v>24318.316406000002</v>
      </c>
      <c r="AN268">
        <f>INDEX(A:AE,MATCH(AK268,worksheet!A:A,0),MATCH(worksheet!AN267,worksheet!A267:AE267,0))</f>
        <v>0.57038599999999995</v>
      </c>
      <c r="AO268">
        <f>INDEX(A:AE,MATCH(AK268,worksheet!A:A,0),MATCH(worksheet!AO267,worksheet!A267:AE267,0))</f>
        <v>1.0002599999999999</v>
      </c>
      <c r="AP268">
        <f>INDEX(A:AE,MATCH(AK268,worksheet!A:A,0),MATCH(worksheet!AP267,worksheet!A267:AE267,0))</f>
        <v>0.99988200000000005</v>
      </c>
    </row>
    <row r="269" spans="1:42" x14ac:dyDescent="0.25">
      <c r="A269" s="1">
        <v>44789</v>
      </c>
      <c r="B269">
        <v>1902.83313</v>
      </c>
      <c r="C269">
        <v>1910.745361</v>
      </c>
      <c r="D269">
        <v>1862.2734379999999</v>
      </c>
      <c r="E269">
        <v>1878.139404</v>
      </c>
      <c r="F269">
        <v>1878.139404</v>
      </c>
      <c r="G269">
        <v>15637578930</v>
      </c>
      <c r="H269">
        <v>24126.136718999998</v>
      </c>
      <c r="I269">
        <v>24228.416015999999</v>
      </c>
      <c r="J269">
        <v>23733.5</v>
      </c>
      <c r="K269">
        <v>23883.291015999999</v>
      </c>
      <c r="L269">
        <v>23883.291015999999</v>
      </c>
      <c r="M269">
        <v>27753685646</v>
      </c>
      <c r="N269">
        <v>1.0001690000000001</v>
      </c>
      <c r="O269">
        <v>1.0003249999999999</v>
      </c>
      <c r="P269">
        <v>1.0000450000000001</v>
      </c>
      <c r="Q269">
        <v>1.0001150000000001</v>
      </c>
      <c r="R269">
        <v>1.0001150000000001</v>
      </c>
      <c r="S269">
        <v>46945222159</v>
      </c>
      <c r="T269">
        <v>0.999915</v>
      </c>
      <c r="U269">
        <v>1.000232</v>
      </c>
      <c r="V269">
        <v>0.99962099999999998</v>
      </c>
      <c r="W269">
        <v>1.0000610000000001</v>
      </c>
      <c r="X269">
        <v>1.0000610000000001</v>
      </c>
      <c r="Y269">
        <v>6162980451</v>
      </c>
      <c r="Z269">
        <v>0.55100400000000005</v>
      </c>
      <c r="AA269">
        <v>0.56926699999999997</v>
      </c>
      <c r="AB269">
        <v>0.54915700000000001</v>
      </c>
      <c r="AC269">
        <v>0.55791500000000005</v>
      </c>
      <c r="AD269">
        <v>0.55791500000000005</v>
      </c>
      <c r="AE269">
        <v>734187541</v>
      </c>
      <c r="AK269" s="1">
        <v>44789</v>
      </c>
      <c r="AL269">
        <f t="shared" si="4"/>
        <v>1902.83313</v>
      </c>
      <c r="AM269">
        <f>INDEX(A:AE,MATCH(AK269,worksheet!A:A,0),MATCH(worksheet!AM268,worksheet!A268:AE268,0))</f>
        <v>24126.136718999998</v>
      </c>
      <c r="AN269">
        <f>INDEX(A:AE,MATCH(AK269,worksheet!A:A,0),MATCH(worksheet!AN268,worksheet!A268:AE268,0))</f>
        <v>0.55100400000000005</v>
      </c>
      <c r="AO269">
        <f>INDEX(A:AE,MATCH(AK269,worksheet!A:A,0),MATCH(worksheet!AO268,worksheet!A268:AE268,0))</f>
        <v>1.0001690000000001</v>
      </c>
      <c r="AP269">
        <f>INDEX(A:AE,MATCH(AK269,worksheet!A:A,0),MATCH(worksheet!AP268,worksheet!A268:AE268,0))</f>
        <v>0.999915</v>
      </c>
    </row>
    <row r="270" spans="1:42" x14ac:dyDescent="0.25">
      <c r="A270" s="1">
        <v>44790</v>
      </c>
      <c r="B270">
        <v>1877.9343260000001</v>
      </c>
      <c r="C270">
        <v>1951.675659</v>
      </c>
      <c r="D270">
        <v>1823.5322269999999</v>
      </c>
      <c r="E270">
        <v>1832.999634</v>
      </c>
      <c r="F270">
        <v>1832.999634</v>
      </c>
      <c r="G270">
        <v>20308508124</v>
      </c>
      <c r="H270">
        <v>23881.316406000002</v>
      </c>
      <c r="I270">
        <v>24407.058593999998</v>
      </c>
      <c r="J270">
        <v>23243.353515999999</v>
      </c>
      <c r="K270">
        <v>23335.998047000001</v>
      </c>
      <c r="L270">
        <v>23335.998047000001</v>
      </c>
      <c r="M270">
        <v>30931623076</v>
      </c>
      <c r="N270">
        <v>1.0001249999999999</v>
      </c>
      <c r="O270">
        <v>1.000132</v>
      </c>
      <c r="P270">
        <v>0.99999700000000002</v>
      </c>
      <c r="Q270">
        <v>1.000073</v>
      </c>
      <c r="R270">
        <v>1.000073</v>
      </c>
      <c r="S270">
        <v>53355167557</v>
      </c>
      <c r="T270">
        <v>1.0000640000000001</v>
      </c>
      <c r="U270">
        <v>1.0002610000000001</v>
      </c>
      <c r="V270">
        <v>0.999421</v>
      </c>
      <c r="W270">
        <v>0.99995500000000004</v>
      </c>
      <c r="X270">
        <v>0.99995500000000004</v>
      </c>
      <c r="Y270">
        <v>6429626031</v>
      </c>
      <c r="Z270">
        <v>0.557921</v>
      </c>
      <c r="AA270">
        <v>0.57992500000000002</v>
      </c>
      <c r="AB270">
        <v>0.53296699999999997</v>
      </c>
      <c r="AC270">
        <v>0.53703800000000002</v>
      </c>
      <c r="AD270">
        <v>0.53703800000000002</v>
      </c>
      <c r="AE270">
        <v>1035477916</v>
      </c>
      <c r="AK270" s="1">
        <v>44790</v>
      </c>
      <c r="AL270">
        <f t="shared" si="4"/>
        <v>1877.9343260000001</v>
      </c>
      <c r="AM270">
        <f>INDEX(A:AE,MATCH(AK270,worksheet!A:A,0),MATCH(worksheet!AM269,worksheet!A269:AE269,0))</f>
        <v>23881.316406000002</v>
      </c>
      <c r="AN270">
        <f>INDEX(A:AE,MATCH(AK270,worksheet!A:A,0),MATCH(worksheet!AN269,worksheet!A269:AE269,0))</f>
        <v>0.557921</v>
      </c>
      <c r="AO270">
        <f>INDEX(A:AE,MATCH(AK270,worksheet!A:A,0),MATCH(worksheet!AO269,worksheet!A269:AE269,0))</f>
        <v>1.0001249999999999</v>
      </c>
      <c r="AP270">
        <f>INDEX(A:AE,MATCH(AK270,worksheet!A:A,0),MATCH(worksheet!AP269,worksheet!A269:AE269,0))</f>
        <v>1.0000640000000001</v>
      </c>
    </row>
    <row r="271" spans="1:42" x14ac:dyDescent="0.25">
      <c r="A271" s="1">
        <v>44791</v>
      </c>
      <c r="B271">
        <v>1833.7155760000001</v>
      </c>
      <c r="C271">
        <v>1876.376953</v>
      </c>
      <c r="D271">
        <v>1826.957764</v>
      </c>
      <c r="E271">
        <v>1847.0078129999999</v>
      </c>
      <c r="F271">
        <v>1847.0078129999999</v>
      </c>
      <c r="G271">
        <v>14999352229</v>
      </c>
      <c r="H271">
        <v>23341.039063</v>
      </c>
      <c r="I271">
        <v>23563.832031000002</v>
      </c>
      <c r="J271">
        <v>23177.601563</v>
      </c>
      <c r="K271">
        <v>23212.738281000002</v>
      </c>
      <c r="L271">
        <v>23212.738281000002</v>
      </c>
      <c r="M271">
        <v>23747613147</v>
      </c>
      <c r="N271">
        <v>1.0000720000000001</v>
      </c>
      <c r="O271">
        <v>1.000119</v>
      </c>
      <c r="P271">
        <v>0.99993500000000002</v>
      </c>
      <c r="Q271">
        <v>0.99999899999999997</v>
      </c>
      <c r="R271">
        <v>0.99999899999999997</v>
      </c>
      <c r="S271">
        <v>43149679443</v>
      </c>
      <c r="T271">
        <v>0.99997499999999995</v>
      </c>
      <c r="U271">
        <v>1.000192</v>
      </c>
      <c r="V271">
        <v>0.99962499999999999</v>
      </c>
      <c r="W271">
        <v>0.99990699999999999</v>
      </c>
      <c r="X271">
        <v>0.99990699999999999</v>
      </c>
      <c r="Y271">
        <v>5259309739</v>
      </c>
      <c r="Z271">
        <v>0.5373</v>
      </c>
      <c r="AA271">
        <v>0.54298299999999999</v>
      </c>
      <c r="AB271">
        <v>0.51141300000000001</v>
      </c>
      <c r="AC271">
        <v>0.51263300000000001</v>
      </c>
      <c r="AD271">
        <v>0.51263300000000001</v>
      </c>
      <c r="AE271">
        <v>642877241</v>
      </c>
      <c r="AK271" s="1">
        <v>44791</v>
      </c>
      <c r="AL271">
        <f t="shared" si="4"/>
        <v>1833.7155760000001</v>
      </c>
      <c r="AM271">
        <f>INDEX(A:AE,MATCH(AK271,worksheet!A:A,0),MATCH(worksheet!AM270,worksheet!A270:AE270,0))</f>
        <v>23341.039063</v>
      </c>
      <c r="AN271">
        <f>INDEX(A:AE,MATCH(AK271,worksheet!A:A,0),MATCH(worksheet!AN270,worksheet!A270:AE270,0))</f>
        <v>0.5373</v>
      </c>
      <c r="AO271">
        <f>INDEX(A:AE,MATCH(AK271,worksheet!A:A,0),MATCH(worksheet!AO270,worksheet!A270:AE270,0))</f>
        <v>1.0000720000000001</v>
      </c>
      <c r="AP271">
        <f>INDEX(A:AE,MATCH(AK271,worksheet!A:A,0),MATCH(worksheet!AP270,worksheet!A270:AE270,0))</f>
        <v>0.99997499999999995</v>
      </c>
    </row>
    <row r="272" spans="1:42" x14ac:dyDescent="0.25">
      <c r="A272" s="1">
        <v>44792</v>
      </c>
      <c r="B272">
        <v>1847.095337</v>
      </c>
      <c r="C272">
        <v>1847.095337</v>
      </c>
      <c r="D272">
        <v>1611.3388669999999</v>
      </c>
      <c r="E272">
        <v>1612.9873050000001</v>
      </c>
      <c r="F272">
        <v>1612.9873050000001</v>
      </c>
      <c r="G272">
        <v>25906358731</v>
      </c>
      <c r="H272">
        <v>23213.3125</v>
      </c>
      <c r="I272">
        <v>23213.3125</v>
      </c>
      <c r="J272">
        <v>20868.847656000002</v>
      </c>
      <c r="K272">
        <v>20877.552734000001</v>
      </c>
      <c r="L272">
        <v>20877.552734000001</v>
      </c>
      <c r="M272">
        <v>40509610260</v>
      </c>
      <c r="N272">
        <v>0.99999099999999996</v>
      </c>
      <c r="O272">
        <v>1.000175</v>
      </c>
      <c r="P272">
        <v>0.999946</v>
      </c>
      <c r="Q272">
        <v>1.0000599999999999</v>
      </c>
      <c r="R272">
        <v>1.0000599999999999</v>
      </c>
      <c r="S272">
        <v>64302127382</v>
      </c>
      <c r="T272">
        <v>0.99993699999999996</v>
      </c>
      <c r="U272">
        <v>1.0004</v>
      </c>
      <c r="V272">
        <v>0.99947799999999998</v>
      </c>
      <c r="W272">
        <v>1.0000279999999999</v>
      </c>
      <c r="X272">
        <v>1.0000279999999999</v>
      </c>
      <c r="Y272">
        <v>7104084896</v>
      </c>
      <c r="Z272">
        <v>0.51269799999999999</v>
      </c>
      <c r="AA272">
        <v>0.51269799999999999</v>
      </c>
      <c r="AB272">
        <v>0.44931900000000002</v>
      </c>
      <c r="AC272">
        <v>0.45097999999999999</v>
      </c>
      <c r="AD272">
        <v>0.45097999999999999</v>
      </c>
      <c r="AE272">
        <v>1294433367</v>
      </c>
      <c r="AK272" s="1">
        <v>44792</v>
      </c>
      <c r="AL272">
        <f t="shared" si="4"/>
        <v>1847.095337</v>
      </c>
      <c r="AM272">
        <f>INDEX(A:AE,MATCH(AK272,worksheet!A:A,0),MATCH(worksheet!AM271,worksheet!A271:AE271,0))</f>
        <v>23213.3125</v>
      </c>
      <c r="AN272">
        <f>INDEX(A:AE,MATCH(AK272,worksheet!A:A,0),MATCH(worksheet!AN271,worksheet!A271:AE271,0))</f>
        <v>0.51269799999999999</v>
      </c>
      <c r="AO272">
        <f>INDEX(A:AE,MATCH(AK272,worksheet!A:A,0),MATCH(worksheet!AO271,worksheet!A271:AE271,0))</f>
        <v>0.99999099999999996</v>
      </c>
      <c r="AP272">
        <f>INDEX(A:AE,MATCH(AK272,worksheet!A:A,0),MATCH(worksheet!AP271,worksheet!A271:AE271,0))</f>
        <v>0.99993699999999996</v>
      </c>
    </row>
    <row r="273" spans="1:42" x14ac:dyDescent="0.25">
      <c r="A273" s="1">
        <v>44793</v>
      </c>
      <c r="B273">
        <v>1612.650635</v>
      </c>
      <c r="C273">
        <v>1652.21875</v>
      </c>
      <c r="D273">
        <v>1534.298828</v>
      </c>
      <c r="E273">
        <v>1577.003784</v>
      </c>
      <c r="F273">
        <v>1577.003784</v>
      </c>
      <c r="G273">
        <v>18334580263</v>
      </c>
      <c r="H273">
        <v>20872.841797000001</v>
      </c>
      <c r="I273">
        <v>21350.806640999999</v>
      </c>
      <c r="J273">
        <v>20856.730468999998</v>
      </c>
      <c r="K273">
        <v>21166.060547000001</v>
      </c>
      <c r="L273">
        <v>21166.060547000001</v>
      </c>
      <c r="M273">
        <v>27595671000</v>
      </c>
      <c r="N273">
        <v>1.0000530000000001</v>
      </c>
      <c r="O273">
        <v>1.0001329999999999</v>
      </c>
      <c r="P273">
        <v>0.999973</v>
      </c>
      <c r="Q273">
        <v>0.99997400000000003</v>
      </c>
      <c r="R273">
        <v>0.99997400000000003</v>
      </c>
      <c r="S273">
        <v>64302127382</v>
      </c>
      <c r="T273">
        <v>0.99995400000000001</v>
      </c>
      <c r="U273">
        <v>1.000461</v>
      </c>
      <c r="V273">
        <v>0.99973699999999999</v>
      </c>
      <c r="W273">
        <v>1.000211</v>
      </c>
      <c r="X273">
        <v>1.000211</v>
      </c>
      <c r="Y273">
        <v>7104084896</v>
      </c>
      <c r="Z273">
        <v>0.45087500000000003</v>
      </c>
      <c r="AA273">
        <v>0.46297899999999997</v>
      </c>
      <c r="AB273">
        <v>0.43886999999999998</v>
      </c>
      <c r="AC273">
        <v>0.45138800000000001</v>
      </c>
      <c r="AD273">
        <v>0.45138800000000001</v>
      </c>
      <c r="AE273">
        <v>792647751</v>
      </c>
      <c r="AK273" s="1">
        <v>44793</v>
      </c>
      <c r="AL273">
        <f t="shared" si="4"/>
        <v>1612.650635</v>
      </c>
      <c r="AM273">
        <f>INDEX(A:AE,MATCH(AK273,worksheet!A:A,0),MATCH(worksheet!AM272,worksheet!A272:AE272,0))</f>
        <v>20872.841797000001</v>
      </c>
      <c r="AN273">
        <f>INDEX(A:AE,MATCH(AK273,worksheet!A:A,0),MATCH(worksheet!AN272,worksheet!A272:AE272,0))</f>
        <v>0.45087500000000003</v>
      </c>
      <c r="AO273">
        <f>INDEX(A:AE,MATCH(AK273,worksheet!A:A,0),MATCH(worksheet!AO272,worksheet!A272:AE272,0))</f>
        <v>1.0000530000000001</v>
      </c>
      <c r="AP273">
        <f>INDEX(A:AE,MATCH(AK273,worksheet!A:A,0),MATCH(worksheet!AP272,worksheet!A272:AE272,0))</f>
        <v>0.99995400000000001</v>
      </c>
    </row>
    <row r="274" spans="1:42" x14ac:dyDescent="0.25">
      <c r="A274" s="1">
        <v>44794</v>
      </c>
      <c r="B274">
        <v>1576.5435789999999</v>
      </c>
      <c r="C274">
        <v>1640.9365230000001</v>
      </c>
      <c r="D274">
        <v>1569.046509</v>
      </c>
      <c r="E274">
        <v>1619.31897</v>
      </c>
      <c r="F274">
        <v>1619.31897</v>
      </c>
      <c r="G274">
        <v>15849221752</v>
      </c>
      <c r="H274">
        <v>21160.392577999999</v>
      </c>
      <c r="I274">
        <v>21668.845702999999</v>
      </c>
      <c r="J274">
        <v>21103.197265999999</v>
      </c>
      <c r="K274">
        <v>21534.121093999998</v>
      </c>
      <c r="L274">
        <v>21534.121093999998</v>
      </c>
      <c r="M274">
        <v>23102307723</v>
      </c>
      <c r="N274">
        <v>0.99997400000000003</v>
      </c>
      <c r="O274">
        <v>1.0001610000000001</v>
      </c>
      <c r="P274">
        <v>0.999942</v>
      </c>
      <c r="Q274">
        <v>0.99999400000000005</v>
      </c>
      <c r="R274">
        <v>0.99999400000000005</v>
      </c>
      <c r="S274">
        <v>45699064002</v>
      </c>
      <c r="T274">
        <v>1.0001880000000001</v>
      </c>
      <c r="U274">
        <v>1.000397</v>
      </c>
      <c r="V274">
        <v>0.99975899999999995</v>
      </c>
      <c r="W274">
        <v>1.0001409999999999</v>
      </c>
      <c r="X274">
        <v>1.0001409999999999</v>
      </c>
      <c r="Y274">
        <v>5446317941</v>
      </c>
      <c r="Z274">
        <v>0.451266</v>
      </c>
      <c r="AA274">
        <v>0.47227799999999998</v>
      </c>
      <c r="AB274">
        <v>0.44848199999999999</v>
      </c>
      <c r="AC274">
        <v>0.46354600000000001</v>
      </c>
      <c r="AD274">
        <v>0.46354600000000001</v>
      </c>
      <c r="AE274">
        <v>616272980</v>
      </c>
      <c r="AK274" s="1">
        <v>44794</v>
      </c>
      <c r="AL274">
        <f t="shared" si="4"/>
        <v>1576.5435789999999</v>
      </c>
      <c r="AM274">
        <f>INDEX(A:AE,MATCH(AK274,worksheet!A:A,0),MATCH(worksheet!AM273,worksheet!A273:AE273,0))</f>
        <v>21160.392577999999</v>
      </c>
      <c r="AN274">
        <f>INDEX(A:AE,MATCH(AK274,worksheet!A:A,0),MATCH(worksheet!AN273,worksheet!A273:AE273,0))</f>
        <v>0.451266</v>
      </c>
      <c r="AO274">
        <f>INDEX(A:AE,MATCH(AK274,worksheet!A:A,0),MATCH(worksheet!AO273,worksheet!A273:AE273,0))</f>
        <v>0.99997400000000003</v>
      </c>
      <c r="AP274">
        <f>INDEX(A:AE,MATCH(AK274,worksheet!A:A,0),MATCH(worksheet!AP273,worksheet!A273:AE273,0))</f>
        <v>1.0001880000000001</v>
      </c>
    </row>
    <row r="275" spans="1:42" x14ac:dyDescent="0.25">
      <c r="A275" s="1">
        <v>44795</v>
      </c>
      <c r="B275">
        <v>1619.16687</v>
      </c>
      <c r="C275">
        <v>1622.7788089999999</v>
      </c>
      <c r="D275">
        <v>1535.0147710000001</v>
      </c>
      <c r="E275">
        <v>1622.5058590000001</v>
      </c>
      <c r="F275">
        <v>1622.5058590000001</v>
      </c>
      <c r="G275">
        <v>18557078599</v>
      </c>
      <c r="H275">
        <v>21531.462890999999</v>
      </c>
      <c r="I275">
        <v>21531.462890999999</v>
      </c>
      <c r="J275">
        <v>20939.183593999998</v>
      </c>
      <c r="K275">
        <v>21398.908202999999</v>
      </c>
      <c r="L275">
        <v>21398.908202999999</v>
      </c>
      <c r="M275">
        <v>31666498758</v>
      </c>
      <c r="N275">
        <v>0.99999899999999997</v>
      </c>
      <c r="O275">
        <v>1.0001139999999999</v>
      </c>
      <c r="P275">
        <v>0.99989099999999997</v>
      </c>
      <c r="Q275">
        <v>0.99998399999999998</v>
      </c>
      <c r="R275">
        <v>0.99998399999999998</v>
      </c>
      <c r="S275">
        <v>51710064329</v>
      </c>
      <c r="T275">
        <v>1.0001139999999999</v>
      </c>
      <c r="U275">
        <v>1.000364</v>
      </c>
      <c r="V275">
        <v>0.99976399999999999</v>
      </c>
      <c r="W275">
        <v>1.000138</v>
      </c>
      <c r="X275">
        <v>1.000138</v>
      </c>
      <c r="Y275">
        <v>5446317941</v>
      </c>
      <c r="Z275">
        <v>0.463536</v>
      </c>
      <c r="AA275">
        <v>0.463536</v>
      </c>
      <c r="AB275">
        <v>0.44001499999999999</v>
      </c>
      <c r="AC275">
        <v>0.46144600000000002</v>
      </c>
      <c r="AD275">
        <v>0.46144600000000002</v>
      </c>
      <c r="AE275">
        <v>722091304</v>
      </c>
      <c r="AK275" s="1">
        <v>44795</v>
      </c>
      <c r="AL275">
        <f t="shared" si="4"/>
        <v>1619.16687</v>
      </c>
      <c r="AM275">
        <f>INDEX(A:AE,MATCH(AK275,worksheet!A:A,0),MATCH(worksheet!AM274,worksheet!A274:AE274,0))</f>
        <v>21531.462890999999</v>
      </c>
      <c r="AN275">
        <f>INDEX(A:AE,MATCH(AK275,worksheet!A:A,0),MATCH(worksheet!AN274,worksheet!A274:AE274,0))</f>
        <v>0.463536</v>
      </c>
      <c r="AO275">
        <f>INDEX(A:AE,MATCH(AK275,worksheet!A:A,0),MATCH(worksheet!AO274,worksheet!A274:AE274,0))</f>
        <v>0.99999899999999997</v>
      </c>
      <c r="AP275">
        <f>INDEX(A:AE,MATCH(AK275,worksheet!A:A,0),MATCH(worksheet!AP274,worksheet!A274:AE274,0))</f>
        <v>1.0001139999999999</v>
      </c>
    </row>
    <row r="276" spans="1:42" x14ac:dyDescent="0.25">
      <c r="A276" s="1">
        <v>44796</v>
      </c>
      <c r="B276">
        <v>1622.939331</v>
      </c>
      <c r="C276">
        <v>1666.676514</v>
      </c>
      <c r="D276">
        <v>1569.4285890000001</v>
      </c>
      <c r="E276">
        <v>1662.7698969999999</v>
      </c>
      <c r="F276">
        <v>1662.7698969999999</v>
      </c>
      <c r="G276">
        <v>18322041914</v>
      </c>
      <c r="H276">
        <v>21401.044922000001</v>
      </c>
      <c r="I276">
        <v>21646.203125</v>
      </c>
      <c r="J276">
        <v>20955.138672000001</v>
      </c>
      <c r="K276">
        <v>21528.087890999999</v>
      </c>
      <c r="L276">
        <v>21528.087890999999</v>
      </c>
      <c r="M276">
        <v>31878280659</v>
      </c>
      <c r="N276">
        <v>0.99998299999999996</v>
      </c>
      <c r="O276">
        <v>1.0000500000000001</v>
      </c>
      <c r="P276">
        <v>0.99988600000000005</v>
      </c>
      <c r="Q276">
        <v>0.99999199999999999</v>
      </c>
      <c r="R276">
        <v>0.99999199999999999</v>
      </c>
      <c r="S276">
        <v>52978066914</v>
      </c>
      <c r="T276">
        <v>1.0001359999999999</v>
      </c>
      <c r="U276">
        <v>1.0003949999999999</v>
      </c>
      <c r="V276">
        <v>0.99970499999999995</v>
      </c>
      <c r="W276">
        <v>0.99998200000000004</v>
      </c>
      <c r="X276">
        <v>0.99998200000000004</v>
      </c>
      <c r="Y276">
        <v>5446317941</v>
      </c>
      <c r="Z276">
        <v>0.46148299999999998</v>
      </c>
      <c r="AA276">
        <v>0.46881</v>
      </c>
      <c r="AB276">
        <v>0.44780500000000001</v>
      </c>
      <c r="AC276">
        <v>0.46520699999999998</v>
      </c>
      <c r="AD276">
        <v>0.46520699999999998</v>
      </c>
      <c r="AE276">
        <v>562953519</v>
      </c>
      <c r="AK276" s="1">
        <v>44796</v>
      </c>
      <c r="AL276">
        <f t="shared" si="4"/>
        <v>1622.939331</v>
      </c>
      <c r="AM276">
        <f>INDEX(A:AE,MATCH(AK276,worksheet!A:A,0),MATCH(worksheet!AM275,worksheet!A275:AE275,0))</f>
        <v>21401.044922000001</v>
      </c>
      <c r="AN276">
        <f>INDEX(A:AE,MATCH(AK276,worksheet!A:A,0),MATCH(worksheet!AN275,worksheet!A275:AE275,0))</f>
        <v>0.46148299999999998</v>
      </c>
      <c r="AO276">
        <f>INDEX(A:AE,MATCH(AK276,worksheet!A:A,0),MATCH(worksheet!AO275,worksheet!A275:AE275,0))</f>
        <v>0.99998299999999996</v>
      </c>
      <c r="AP276">
        <f>INDEX(A:AE,MATCH(AK276,worksheet!A:A,0),MATCH(worksheet!AP275,worksheet!A275:AE275,0))</f>
        <v>1.0000500000000001</v>
      </c>
    </row>
    <row r="277" spans="1:42" x14ac:dyDescent="0.25">
      <c r="A277" s="1">
        <v>44797</v>
      </c>
      <c r="B277">
        <v>1662.6954350000001</v>
      </c>
      <c r="C277">
        <v>1686.5577390000001</v>
      </c>
      <c r="D277">
        <v>1610.0992429999999</v>
      </c>
      <c r="E277">
        <v>1657.0592039999999</v>
      </c>
      <c r="F277">
        <v>1657.0592039999999</v>
      </c>
      <c r="G277">
        <v>16780932907</v>
      </c>
      <c r="H277">
        <v>21526.455077999999</v>
      </c>
      <c r="I277">
        <v>21783.076172000001</v>
      </c>
      <c r="J277">
        <v>21195.005859000001</v>
      </c>
      <c r="K277">
        <v>21395.019531000002</v>
      </c>
      <c r="L277">
        <v>21395.019531000002</v>
      </c>
      <c r="M277">
        <v>31962253368</v>
      </c>
      <c r="N277">
        <v>0.99999199999999999</v>
      </c>
      <c r="O277">
        <v>1.000105</v>
      </c>
      <c r="P277">
        <v>0.99995500000000004</v>
      </c>
      <c r="Q277">
        <v>1.0000389999999999</v>
      </c>
      <c r="R277">
        <v>1.0000389999999999</v>
      </c>
      <c r="S277">
        <v>48708536003</v>
      </c>
      <c r="T277">
        <v>0.99999899999999997</v>
      </c>
      <c r="U277">
        <v>1.0002390000000001</v>
      </c>
      <c r="V277">
        <v>0.99964699999999995</v>
      </c>
      <c r="W277">
        <v>0.999861</v>
      </c>
      <c r="X277">
        <v>0.999861</v>
      </c>
      <c r="Y277">
        <v>7342467396</v>
      </c>
      <c r="Z277">
        <v>0.46518199999999998</v>
      </c>
      <c r="AA277">
        <v>0.46660099999999999</v>
      </c>
      <c r="AB277">
        <v>0.45451799999999998</v>
      </c>
      <c r="AC277">
        <v>0.45810899999999999</v>
      </c>
      <c r="AD277">
        <v>0.45810899999999999</v>
      </c>
      <c r="AE277">
        <v>494717036</v>
      </c>
      <c r="AK277" s="1">
        <v>44797</v>
      </c>
      <c r="AL277">
        <f t="shared" si="4"/>
        <v>1662.6954350000001</v>
      </c>
      <c r="AM277">
        <f>INDEX(A:AE,MATCH(AK277,worksheet!A:A,0),MATCH(worksheet!AM276,worksheet!A276:AE276,0))</f>
        <v>21526.455077999999</v>
      </c>
      <c r="AN277">
        <f>INDEX(A:AE,MATCH(AK277,worksheet!A:A,0),MATCH(worksheet!AN276,worksheet!A276:AE276,0))</f>
        <v>0.46518199999999998</v>
      </c>
      <c r="AO277">
        <f>INDEX(A:AE,MATCH(AK277,worksheet!A:A,0),MATCH(worksheet!AO276,worksheet!A276:AE276,0))</f>
        <v>0.99999199999999999</v>
      </c>
      <c r="AP277">
        <f>INDEX(A:AE,MATCH(AK277,worksheet!A:A,0),MATCH(worksheet!AP276,worksheet!A276:AE276,0))</f>
        <v>1.000105</v>
      </c>
    </row>
    <row r="278" spans="1:42" x14ac:dyDescent="0.25">
      <c r="A278" s="1">
        <v>44798</v>
      </c>
      <c r="B278">
        <v>1657.336548</v>
      </c>
      <c r="C278">
        <v>1718.1832280000001</v>
      </c>
      <c r="D278">
        <v>1656.8560789999999</v>
      </c>
      <c r="E278">
        <v>1696.4570309999999</v>
      </c>
      <c r="F278">
        <v>1696.4570309999999</v>
      </c>
      <c r="G278">
        <v>14818795695</v>
      </c>
      <c r="H278">
        <v>21395.458984000001</v>
      </c>
      <c r="I278">
        <v>21789.636718999998</v>
      </c>
      <c r="J278">
        <v>21362.441406000002</v>
      </c>
      <c r="K278">
        <v>21600.904297000001</v>
      </c>
      <c r="L278">
        <v>21600.904297000001</v>
      </c>
      <c r="M278">
        <v>31028679593</v>
      </c>
      <c r="N278">
        <v>1.0000340000000001</v>
      </c>
      <c r="O278">
        <v>1.00013</v>
      </c>
      <c r="P278">
        <v>0.99995900000000004</v>
      </c>
      <c r="Q278">
        <v>1.0000800000000001</v>
      </c>
      <c r="R278">
        <v>1.0000800000000001</v>
      </c>
      <c r="S278">
        <v>45854093190</v>
      </c>
      <c r="T278">
        <v>0.99992099999999995</v>
      </c>
      <c r="U278">
        <v>1.0001949999999999</v>
      </c>
      <c r="V278">
        <v>0.99967099999999998</v>
      </c>
      <c r="W278">
        <v>0.99995999999999996</v>
      </c>
      <c r="X278">
        <v>0.99995999999999996</v>
      </c>
      <c r="Y278">
        <v>7247298408</v>
      </c>
      <c r="Z278">
        <v>0.45810800000000002</v>
      </c>
      <c r="AA278">
        <v>0.47341499999999997</v>
      </c>
      <c r="AB278">
        <v>0.45804099999999998</v>
      </c>
      <c r="AC278">
        <v>0.464999</v>
      </c>
      <c r="AD278">
        <v>0.464999</v>
      </c>
      <c r="AE278">
        <v>525337287</v>
      </c>
      <c r="AK278" s="1">
        <v>44798</v>
      </c>
      <c r="AL278">
        <f t="shared" si="4"/>
        <v>1657.336548</v>
      </c>
      <c r="AM278">
        <f>INDEX(A:AE,MATCH(AK278,worksheet!A:A,0),MATCH(worksheet!AM277,worksheet!A277:AE277,0))</f>
        <v>21395.458984000001</v>
      </c>
      <c r="AN278">
        <f>INDEX(A:AE,MATCH(AK278,worksheet!A:A,0),MATCH(worksheet!AN277,worksheet!A277:AE277,0))</f>
        <v>0.45810800000000002</v>
      </c>
      <c r="AO278">
        <f>INDEX(A:AE,MATCH(AK278,worksheet!A:A,0),MATCH(worksheet!AO277,worksheet!A277:AE277,0))</f>
        <v>1.0000340000000001</v>
      </c>
      <c r="AP278">
        <f>INDEX(A:AE,MATCH(AK278,worksheet!A:A,0),MATCH(worksheet!AP277,worksheet!A277:AE277,0))</f>
        <v>1.00013</v>
      </c>
    </row>
    <row r="279" spans="1:42" x14ac:dyDescent="0.25">
      <c r="A279" s="1">
        <v>44799</v>
      </c>
      <c r="B279">
        <v>1696.3245850000001</v>
      </c>
      <c r="C279">
        <v>1698.5610349999999</v>
      </c>
      <c r="D279">
        <v>1498.77124</v>
      </c>
      <c r="E279">
        <v>1507.782837</v>
      </c>
      <c r="F279">
        <v>1507.782837</v>
      </c>
      <c r="G279">
        <v>26713710143</v>
      </c>
      <c r="H279">
        <v>21596.085938</v>
      </c>
      <c r="I279">
        <v>21804.908202999999</v>
      </c>
      <c r="J279">
        <v>20199.482422000001</v>
      </c>
      <c r="K279">
        <v>20260.019531000002</v>
      </c>
      <c r="L279">
        <v>20260.019531000002</v>
      </c>
      <c r="M279">
        <v>42326789564</v>
      </c>
      <c r="N279">
        <v>1.000078</v>
      </c>
      <c r="O279">
        <v>1.0001389999999999</v>
      </c>
      <c r="P279">
        <v>0.999973</v>
      </c>
      <c r="Q279">
        <v>1.000043</v>
      </c>
      <c r="R279">
        <v>1.000043</v>
      </c>
      <c r="S279">
        <v>62406193046</v>
      </c>
      <c r="T279">
        <v>0.99997899999999995</v>
      </c>
      <c r="U279">
        <v>1.000318</v>
      </c>
      <c r="V279">
        <v>0.99954900000000002</v>
      </c>
      <c r="W279">
        <v>0.99997400000000003</v>
      </c>
      <c r="X279">
        <v>0.99997400000000003</v>
      </c>
      <c r="Y279">
        <v>9023777773</v>
      </c>
      <c r="Z279">
        <v>0.46495900000000001</v>
      </c>
      <c r="AA279">
        <v>0.48163899999999998</v>
      </c>
      <c r="AB279">
        <v>0.42815700000000001</v>
      </c>
      <c r="AC279">
        <v>0.430863</v>
      </c>
      <c r="AD279">
        <v>0.430863</v>
      </c>
      <c r="AE279">
        <v>1299179883</v>
      </c>
      <c r="AK279" s="1">
        <v>44799</v>
      </c>
      <c r="AL279">
        <f t="shared" si="4"/>
        <v>1696.3245850000001</v>
      </c>
      <c r="AM279">
        <f>INDEX(A:AE,MATCH(AK279,worksheet!A:A,0),MATCH(worksheet!AM278,worksheet!A278:AE278,0))</f>
        <v>21596.085938</v>
      </c>
      <c r="AN279">
        <f>INDEX(A:AE,MATCH(AK279,worksheet!A:A,0),MATCH(worksheet!AN278,worksheet!A278:AE278,0))</f>
        <v>0.46495900000000001</v>
      </c>
      <c r="AO279">
        <f>INDEX(A:AE,MATCH(AK279,worksheet!A:A,0),MATCH(worksheet!AO278,worksheet!A278:AE278,0))</f>
        <v>1.000078</v>
      </c>
      <c r="AP279">
        <f>INDEX(A:AE,MATCH(AK279,worksheet!A:A,0),MATCH(worksheet!AP278,worksheet!A278:AE278,0))</f>
        <v>1.0001389999999999</v>
      </c>
    </row>
    <row r="280" spans="1:42" x14ac:dyDescent="0.25">
      <c r="A280" s="1">
        <v>44800</v>
      </c>
      <c r="B280">
        <v>1508.156982</v>
      </c>
      <c r="C280">
        <v>1517.150024</v>
      </c>
      <c r="D280">
        <v>1454.2829589999999</v>
      </c>
      <c r="E280">
        <v>1491.3950199999999</v>
      </c>
      <c r="F280">
        <v>1491.3950199999999</v>
      </c>
      <c r="G280">
        <v>18120831899</v>
      </c>
      <c r="H280">
        <v>20262.480468999998</v>
      </c>
      <c r="I280">
        <v>20340.775390999999</v>
      </c>
      <c r="J280">
        <v>19890.523438</v>
      </c>
      <c r="K280">
        <v>20041.738281000002</v>
      </c>
      <c r="L280">
        <v>20041.738281000002</v>
      </c>
      <c r="M280">
        <v>30116729776</v>
      </c>
      <c r="N280">
        <v>1.0000560000000001</v>
      </c>
      <c r="O280">
        <v>1.00014</v>
      </c>
      <c r="P280">
        <v>0.99997100000000005</v>
      </c>
      <c r="Q280">
        <v>1.000019</v>
      </c>
      <c r="R280">
        <v>1.000019</v>
      </c>
      <c r="S280">
        <v>43316381517</v>
      </c>
      <c r="T280">
        <v>0.99992099999999995</v>
      </c>
      <c r="U280">
        <v>1.0003500000000001</v>
      </c>
      <c r="V280">
        <v>0.99970099999999995</v>
      </c>
      <c r="W280">
        <v>1.0000089999999999</v>
      </c>
      <c r="X280">
        <v>1.0000089999999999</v>
      </c>
      <c r="Y280">
        <v>12367955268</v>
      </c>
      <c r="Z280">
        <v>0.43103900000000001</v>
      </c>
      <c r="AA280">
        <v>0.450795</v>
      </c>
      <c r="AB280">
        <v>0.42807699999999999</v>
      </c>
      <c r="AC280">
        <v>0.44970300000000002</v>
      </c>
      <c r="AD280">
        <v>0.44970300000000002</v>
      </c>
      <c r="AE280">
        <v>733099946</v>
      </c>
      <c r="AK280" s="1">
        <v>44800</v>
      </c>
      <c r="AL280">
        <f t="shared" si="4"/>
        <v>1508.156982</v>
      </c>
      <c r="AM280">
        <f>INDEX(A:AE,MATCH(AK280,worksheet!A:A,0),MATCH(worksheet!AM279,worksheet!A279:AE279,0))</f>
        <v>20262.480468999998</v>
      </c>
      <c r="AN280">
        <f>INDEX(A:AE,MATCH(AK280,worksheet!A:A,0),MATCH(worksheet!AN279,worksheet!A279:AE279,0))</f>
        <v>0.43103900000000001</v>
      </c>
      <c r="AO280">
        <f>INDEX(A:AE,MATCH(AK280,worksheet!A:A,0),MATCH(worksheet!AO279,worksheet!A279:AE279,0))</f>
        <v>1.0000560000000001</v>
      </c>
      <c r="AP280">
        <f>INDEX(A:AE,MATCH(AK280,worksheet!A:A,0),MATCH(worksheet!AP279,worksheet!A279:AE279,0))</f>
        <v>1.00014</v>
      </c>
    </row>
    <row r="281" spans="1:42" x14ac:dyDescent="0.25">
      <c r="A281" s="1">
        <v>44801</v>
      </c>
      <c r="B281">
        <v>1491.2067870000001</v>
      </c>
      <c r="C281">
        <v>1505.7919919999999</v>
      </c>
      <c r="D281">
        <v>1430.5473629999999</v>
      </c>
      <c r="E281">
        <v>1430.5473629999999</v>
      </c>
      <c r="F281">
        <v>1430.5473629999999</v>
      </c>
      <c r="G281">
        <v>12823572918</v>
      </c>
      <c r="H281">
        <v>20041.035156000002</v>
      </c>
      <c r="I281">
        <v>20139.054688</v>
      </c>
      <c r="J281">
        <v>19616.814452999999</v>
      </c>
      <c r="K281">
        <v>19616.814452999999</v>
      </c>
      <c r="L281">
        <v>19616.814452999999</v>
      </c>
      <c r="M281">
        <v>24366810591</v>
      </c>
      <c r="N281">
        <v>1.0000150000000001</v>
      </c>
      <c r="O281">
        <v>1.0000869999999999</v>
      </c>
      <c r="P281">
        <v>0.99996499999999999</v>
      </c>
      <c r="Q281">
        <v>1.0000279999999999</v>
      </c>
      <c r="R281">
        <v>1.0000279999999999</v>
      </c>
      <c r="S281">
        <v>34337927087</v>
      </c>
      <c r="T281">
        <v>1.000014</v>
      </c>
      <c r="U281">
        <v>1.00024</v>
      </c>
      <c r="V281">
        <v>0.99972700000000003</v>
      </c>
      <c r="W281">
        <v>1.0000309999999999</v>
      </c>
      <c r="X281">
        <v>1.0000309999999999</v>
      </c>
      <c r="Y281">
        <v>6479740107</v>
      </c>
      <c r="Z281">
        <v>0.44971899999999998</v>
      </c>
      <c r="AA281">
        <v>0.453401</v>
      </c>
      <c r="AB281">
        <v>0.43004900000000001</v>
      </c>
      <c r="AC281">
        <v>0.43004900000000001</v>
      </c>
      <c r="AD281">
        <v>0.43004900000000001</v>
      </c>
      <c r="AE281">
        <v>519341943</v>
      </c>
      <c r="AK281" s="1">
        <v>44801</v>
      </c>
      <c r="AL281">
        <f t="shared" si="4"/>
        <v>1491.2067870000001</v>
      </c>
      <c r="AM281">
        <f>INDEX(A:AE,MATCH(AK281,worksheet!A:A,0),MATCH(worksheet!AM280,worksheet!A280:AE280,0))</f>
        <v>20041.035156000002</v>
      </c>
      <c r="AN281">
        <f>INDEX(A:AE,MATCH(AK281,worksheet!A:A,0),MATCH(worksheet!AN280,worksheet!A280:AE280,0))</f>
        <v>0.44971899999999998</v>
      </c>
      <c r="AO281">
        <f>INDEX(A:AE,MATCH(AK281,worksheet!A:A,0),MATCH(worksheet!AO280,worksheet!A280:AE280,0))</f>
        <v>1.0000150000000001</v>
      </c>
      <c r="AP281">
        <f>INDEX(A:AE,MATCH(AK281,worksheet!A:A,0),MATCH(worksheet!AP280,worksheet!A280:AE280,0))</f>
        <v>1.0000869999999999</v>
      </c>
    </row>
    <row r="282" spans="1:42" x14ac:dyDescent="0.25">
      <c r="A282" s="1">
        <v>44802</v>
      </c>
      <c r="B282">
        <v>1430.439453</v>
      </c>
      <c r="C282">
        <v>1556.3095699999999</v>
      </c>
      <c r="D282">
        <v>1427.728394</v>
      </c>
      <c r="E282">
        <v>1553.0373540000001</v>
      </c>
      <c r="F282">
        <v>1553.0373540000001</v>
      </c>
      <c r="G282">
        <v>17965837488</v>
      </c>
      <c r="H282">
        <v>19615.154297000001</v>
      </c>
      <c r="I282">
        <v>20357.462890999999</v>
      </c>
      <c r="J282">
        <v>19600.785156000002</v>
      </c>
      <c r="K282">
        <v>20297.994140999999</v>
      </c>
      <c r="L282">
        <v>20297.994140999999</v>
      </c>
      <c r="M282">
        <v>32637854078</v>
      </c>
      <c r="N282">
        <v>1.000051</v>
      </c>
      <c r="O282">
        <v>1.0000910000000001</v>
      </c>
      <c r="P282">
        <v>0.99996799999999997</v>
      </c>
      <c r="Q282">
        <v>1.000032</v>
      </c>
      <c r="R282">
        <v>1.000032</v>
      </c>
      <c r="S282">
        <v>45837060552</v>
      </c>
      <c r="T282">
        <v>0.99993500000000002</v>
      </c>
      <c r="U282">
        <v>1.0003660000000001</v>
      </c>
      <c r="V282">
        <v>0.99980100000000005</v>
      </c>
      <c r="W282">
        <v>0.99996700000000005</v>
      </c>
      <c r="X282">
        <v>0.99996700000000005</v>
      </c>
      <c r="Y282">
        <v>8146241733</v>
      </c>
      <c r="Z282">
        <v>0.43007000000000001</v>
      </c>
      <c r="AA282">
        <v>0.45204899999999998</v>
      </c>
      <c r="AB282">
        <v>0.42768200000000001</v>
      </c>
      <c r="AC282">
        <v>0.45070300000000002</v>
      </c>
      <c r="AD282">
        <v>0.45070300000000002</v>
      </c>
      <c r="AE282">
        <v>587946527</v>
      </c>
      <c r="AK282" s="1">
        <v>44802</v>
      </c>
      <c r="AL282">
        <f t="shared" si="4"/>
        <v>1430.439453</v>
      </c>
      <c r="AM282">
        <f>INDEX(A:AE,MATCH(AK282,worksheet!A:A,0),MATCH(worksheet!AM281,worksheet!A281:AE281,0))</f>
        <v>19615.154297000001</v>
      </c>
      <c r="AN282">
        <f>INDEX(A:AE,MATCH(AK282,worksheet!A:A,0),MATCH(worksheet!AN281,worksheet!A281:AE281,0))</f>
        <v>0.43007000000000001</v>
      </c>
      <c r="AO282">
        <f>INDEX(A:AE,MATCH(AK282,worksheet!A:A,0),MATCH(worksheet!AO281,worksheet!A281:AE281,0))</f>
        <v>1.000051</v>
      </c>
      <c r="AP282">
        <f>INDEX(A:AE,MATCH(AK282,worksheet!A:A,0),MATCH(worksheet!AP281,worksheet!A281:AE281,0))</f>
        <v>1.0000910000000001</v>
      </c>
    </row>
    <row r="283" spans="1:42" x14ac:dyDescent="0.25">
      <c r="A283" s="1">
        <v>44803</v>
      </c>
      <c r="B283">
        <v>1553.1889650000001</v>
      </c>
      <c r="C283">
        <v>1600.461182</v>
      </c>
      <c r="D283">
        <v>1480.8317870000001</v>
      </c>
      <c r="E283">
        <v>1523.8388669999999</v>
      </c>
      <c r="F283">
        <v>1523.8388669999999</v>
      </c>
      <c r="G283">
        <v>21835784470</v>
      </c>
      <c r="H283">
        <v>20298.611327999999</v>
      </c>
      <c r="I283">
        <v>20542.644531000002</v>
      </c>
      <c r="J283">
        <v>19617.640625</v>
      </c>
      <c r="K283">
        <v>19796.808593999998</v>
      </c>
      <c r="L283">
        <v>19796.808593999998</v>
      </c>
      <c r="M283">
        <v>34483360283</v>
      </c>
      <c r="N283">
        <v>1.0000389999999999</v>
      </c>
      <c r="O283">
        <v>1.0002340000000001</v>
      </c>
      <c r="P283">
        <v>0.999977</v>
      </c>
      <c r="Q283">
        <v>1.000081</v>
      </c>
      <c r="R283">
        <v>1.000081</v>
      </c>
      <c r="S283">
        <v>50170084207</v>
      </c>
      <c r="T283">
        <v>0.99997999999999998</v>
      </c>
      <c r="U283">
        <v>1.000502</v>
      </c>
      <c r="V283">
        <v>0.99968699999999999</v>
      </c>
      <c r="W283">
        <v>1.000006</v>
      </c>
      <c r="X283">
        <v>1.000006</v>
      </c>
      <c r="Y283">
        <v>6564730413</v>
      </c>
      <c r="Z283">
        <v>0.45073600000000003</v>
      </c>
      <c r="AA283">
        <v>0.46254600000000001</v>
      </c>
      <c r="AB283">
        <v>0.44001800000000002</v>
      </c>
      <c r="AC283">
        <v>0.45216899999999999</v>
      </c>
      <c r="AD283">
        <v>0.45216899999999999</v>
      </c>
      <c r="AE283">
        <v>640051711</v>
      </c>
      <c r="AK283" s="1">
        <v>44803</v>
      </c>
      <c r="AL283">
        <f t="shared" si="4"/>
        <v>1553.1889650000001</v>
      </c>
      <c r="AM283">
        <f>INDEX(A:AE,MATCH(AK283,worksheet!A:A,0),MATCH(worksheet!AM282,worksheet!A282:AE282,0))</f>
        <v>20298.611327999999</v>
      </c>
      <c r="AN283">
        <f>INDEX(A:AE,MATCH(AK283,worksheet!A:A,0),MATCH(worksheet!AN282,worksheet!A282:AE282,0))</f>
        <v>0.45073600000000003</v>
      </c>
      <c r="AO283">
        <f>INDEX(A:AE,MATCH(AK283,worksheet!A:A,0),MATCH(worksheet!AO282,worksheet!A282:AE282,0))</f>
        <v>1.0000389999999999</v>
      </c>
      <c r="AP283">
        <f>INDEX(A:AE,MATCH(AK283,worksheet!A:A,0),MATCH(worksheet!AP282,worksheet!A282:AE282,0))</f>
        <v>1.0002340000000001</v>
      </c>
    </row>
    <row r="284" spans="1:42" x14ac:dyDescent="0.25">
      <c r="A284" s="1">
        <v>44804</v>
      </c>
      <c r="B284">
        <v>1524.286499</v>
      </c>
      <c r="C284">
        <v>1612.3588870000001</v>
      </c>
      <c r="D284">
        <v>1524.286499</v>
      </c>
      <c r="E284">
        <v>1553.684937</v>
      </c>
      <c r="F284">
        <v>1553.684937</v>
      </c>
      <c r="G284">
        <v>20591680941</v>
      </c>
      <c r="H284">
        <v>19799.582031000002</v>
      </c>
      <c r="I284">
        <v>20420.990234000001</v>
      </c>
      <c r="J284">
        <v>19799.582031000002</v>
      </c>
      <c r="K284">
        <v>20049.763672000001</v>
      </c>
      <c r="L284">
        <v>20049.763672000001</v>
      </c>
      <c r="M284">
        <v>33225232872</v>
      </c>
      <c r="N284">
        <v>1.0000899999999999</v>
      </c>
      <c r="O284">
        <v>1.0001629999999999</v>
      </c>
      <c r="P284">
        <v>0.99997400000000003</v>
      </c>
      <c r="Q284">
        <v>1.000016</v>
      </c>
      <c r="R284">
        <v>1.000016</v>
      </c>
      <c r="S284">
        <v>48405934722</v>
      </c>
      <c r="T284">
        <v>0.99997899999999995</v>
      </c>
      <c r="U284">
        <v>1.000391</v>
      </c>
      <c r="V284">
        <v>0.99968199999999996</v>
      </c>
      <c r="W284">
        <v>1.0000279999999999</v>
      </c>
      <c r="X284">
        <v>1.0000279999999999</v>
      </c>
      <c r="Y284">
        <v>5586800452</v>
      </c>
      <c r="Z284">
        <v>0.45226300000000003</v>
      </c>
      <c r="AA284">
        <v>0.462779</v>
      </c>
      <c r="AB284">
        <v>0.44605499999999998</v>
      </c>
      <c r="AC284">
        <v>0.44666499999999998</v>
      </c>
      <c r="AD284">
        <v>0.44666499999999998</v>
      </c>
      <c r="AE284">
        <v>521553602</v>
      </c>
      <c r="AK284" s="1">
        <v>44804</v>
      </c>
      <c r="AL284">
        <f t="shared" si="4"/>
        <v>1524.286499</v>
      </c>
      <c r="AM284">
        <f>INDEX(A:AE,MATCH(AK284,worksheet!A:A,0),MATCH(worksheet!AM283,worksheet!A283:AE283,0))</f>
        <v>19799.582031000002</v>
      </c>
      <c r="AN284">
        <f>INDEX(A:AE,MATCH(AK284,worksheet!A:A,0),MATCH(worksheet!AN283,worksheet!A283:AE283,0))</f>
        <v>0.45226300000000003</v>
      </c>
      <c r="AO284">
        <f>INDEX(A:AE,MATCH(AK284,worksheet!A:A,0),MATCH(worksheet!AO283,worksheet!A283:AE283,0))</f>
        <v>1.0000899999999999</v>
      </c>
      <c r="AP284">
        <f>INDEX(A:AE,MATCH(AK284,worksheet!A:A,0),MATCH(worksheet!AP283,worksheet!A283:AE283,0))</f>
        <v>1.0001629999999999</v>
      </c>
    </row>
    <row r="285" spans="1:42" x14ac:dyDescent="0.25">
      <c r="A285" s="1">
        <v>44805</v>
      </c>
      <c r="B285">
        <v>1553.7563479999999</v>
      </c>
      <c r="C285">
        <v>1593.082764</v>
      </c>
      <c r="D285">
        <v>1520.1883539999999</v>
      </c>
      <c r="E285">
        <v>1586.1767580000001</v>
      </c>
      <c r="F285">
        <v>1586.1767580000001</v>
      </c>
      <c r="G285">
        <v>16434276817</v>
      </c>
      <c r="H285">
        <v>20050.498047000001</v>
      </c>
      <c r="I285">
        <v>20198.390625</v>
      </c>
      <c r="J285">
        <v>19653.96875</v>
      </c>
      <c r="K285">
        <v>20127.140625</v>
      </c>
      <c r="L285">
        <v>20127.140625</v>
      </c>
      <c r="M285">
        <v>30182031010</v>
      </c>
      <c r="N285">
        <v>1.000014</v>
      </c>
      <c r="O285">
        <v>1.0001169999999999</v>
      </c>
      <c r="P285">
        <v>0.99996799999999997</v>
      </c>
      <c r="Q285">
        <v>1.0000100000000001</v>
      </c>
      <c r="R285">
        <v>1.0000100000000001</v>
      </c>
      <c r="S285">
        <v>44702355872</v>
      </c>
      <c r="T285">
        <v>1.0000549999999999</v>
      </c>
      <c r="U285">
        <v>1.000397</v>
      </c>
      <c r="V285">
        <v>0.99965999999999999</v>
      </c>
      <c r="W285">
        <v>0.99997599999999998</v>
      </c>
      <c r="X285">
        <v>0.99997599999999998</v>
      </c>
      <c r="Y285">
        <v>5070758690</v>
      </c>
      <c r="Z285">
        <v>0.44667699999999999</v>
      </c>
      <c r="AA285">
        <v>0.45850200000000002</v>
      </c>
      <c r="AB285">
        <v>0.44247599999999998</v>
      </c>
      <c r="AC285">
        <v>0.45748100000000003</v>
      </c>
      <c r="AD285">
        <v>0.45748100000000003</v>
      </c>
      <c r="AE285">
        <v>582859437</v>
      </c>
      <c r="AK285" s="1">
        <v>44805</v>
      </c>
      <c r="AL285">
        <f t="shared" si="4"/>
        <v>1553.7563479999999</v>
      </c>
      <c r="AM285">
        <f>INDEX(A:AE,MATCH(AK285,worksheet!A:A,0),MATCH(worksheet!AM284,worksheet!A284:AE284,0))</f>
        <v>20050.498047000001</v>
      </c>
      <c r="AN285">
        <f>INDEX(A:AE,MATCH(AK285,worksheet!A:A,0),MATCH(worksheet!AN284,worksheet!A284:AE284,0))</f>
        <v>0.44667699999999999</v>
      </c>
      <c r="AO285">
        <f>INDEX(A:AE,MATCH(AK285,worksheet!A:A,0),MATCH(worksheet!AO284,worksheet!A284:AE284,0))</f>
        <v>1.000014</v>
      </c>
      <c r="AP285">
        <f>INDEX(A:AE,MATCH(AK285,worksheet!A:A,0),MATCH(worksheet!AP284,worksheet!A284:AE284,0))</f>
        <v>1.0001169999999999</v>
      </c>
    </row>
    <row r="286" spans="1:42" x14ac:dyDescent="0.25">
      <c r="A286" s="1">
        <v>44806</v>
      </c>
      <c r="B286">
        <v>1586.0179439999999</v>
      </c>
      <c r="C286">
        <v>1643.1832280000001</v>
      </c>
      <c r="D286">
        <v>1551.8779300000001</v>
      </c>
      <c r="E286">
        <v>1577.2204589999999</v>
      </c>
      <c r="F286">
        <v>1577.2204589999999</v>
      </c>
      <c r="G286">
        <v>17708478709</v>
      </c>
      <c r="H286">
        <v>20126.072265999999</v>
      </c>
      <c r="I286">
        <v>20401.568359000001</v>
      </c>
      <c r="J286">
        <v>19814.765625</v>
      </c>
      <c r="K286">
        <v>19969.771484000001</v>
      </c>
      <c r="L286">
        <v>19969.771484000001</v>
      </c>
      <c r="M286">
        <v>29123998928</v>
      </c>
      <c r="N286">
        <v>0.999996</v>
      </c>
      <c r="O286">
        <v>1.0001199999999999</v>
      </c>
      <c r="P286">
        <v>0.99994799999999995</v>
      </c>
      <c r="Q286">
        <v>1.000089</v>
      </c>
      <c r="R286">
        <v>1.000089</v>
      </c>
      <c r="S286">
        <v>44468235183</v>
      </c>
      <c r="T286">
        <v>0.99997000000000003</v>
      </c>
      <c r="U286">
        <v>1.000278</v>
      </c>
      <c r="V286">
        <v>0.99973199999999995</v>
      </c>
      <c r="W286">
        <v>1.0001009999999999</v>
      </c>
      <c r="X286">
        <v>1.0001009999999999</v>
      </c>
      <c r="Y286">
        <v>4800544392</v>
      </c>
      <c r="Z286">
        <v>0.45746399999999998</v>
      </c>
      <c r="AA286">
        <v>0.46563900000000003</v>
      </c>
      <c r="AB286">
        <v>0.44991300000000001</v>
      </c>
      <c r="AC286">
        <v>0.45455899999999999</v>
      </c>
      <c r="AD286">
        <v>0.45455899999999999</v>
      </c>
      <c r="AE286">
        <v>525812957</v>
      </c>
      <c r="AK286" s="1">
        <v>44806</v>
      </c>
      <c r="AL286">
        <f t="shared" si="4"/>
        <v>1586.0179439999999</v>
      </c>
      <c r="AM286">
        <f>INDEX(A:AE,MATCH(AK286,worksheet!A:A,0),MATCH(worksheet!AM285,worksheet!A285:AE285,0))</f>
        <v>20126.072265999999</v>
      </c>
      <c r="AN286">
        <f>INDEX(A:AE,MATCH(AK286,worksheet!A:A,0),MATCH(worksheet!AN285,worksheet!A285:AE285,0))</f>
        <v>0.45746399999999998</v>
      </c>
      <c r="AO286">
        <f>INDEX(A:AE,MATCH(AK286,worksheet!A:A,0),MATCH(worksheet!AO285,worksheet!A285:AE285,0))</f>
        <v>0.999996</v>
      </c>
      <c r="AP286">
        <f>INDEX(A:AE,MATCH(AK286,worksheet!A:A,0),MATCH(worksheet!AP285,worksheet!A285:AE285,0))</f>
        <v>1.0001199999999999</v>
      </c>
    </row>
    <row r="287" spans="1:42" x14ac:dyDescent="0.25">
      <c r="A287" s="1">
        <v>44807</v>
      </c>
      <c r="B287">
        <v>1577.213745</v>
      </c>
      <c r="C287">
        <v>1579.454346</v>
      </c>
      <c r="D287">
        <v>1541.6721190000001</v>
      </c>
      <c r="E287">
        <v>1556.8726810000001</v>
      </c>
      <c r="F287">
        <v>1556.8726810000001</v>
      </c>
      <c r="G287">
        <v>9516825994</v>
      </c>
      <c r="H287">
        <v>19969.71875</v>
      </c>
      <c r="I287">
        <v>20037.009765999999</v>
      </c>
      <c r="J287">
        <v>19698.355468999998</v>
      </c>
      <c r="K287">
        <v>19832.087890999999</v>
      </c>
      <c r="L287">
        <v>19832.087890999999</v>
      </c>
      <c r="M287">
        <v>23613051457</v>
      </c>
      <c r="N287">
        <v>1.000089</v>
      </c>
      <c r="O287">
        <v>1.0001199999999999</v>
      </c>
      <c r="P287">
        <v>1.0000340000000001</v>
      </c>
      <c r="Q287">
        <v>1.0000739999999999</v>
      </c>
      <c r="R287">
        <v>1.0000739999999999</v>
      </c>
      <c r="S287">
        <v>30873646175</v>
      </c>
      <c r="T287">
        <v>1.0001329999999999</v>
      </c>
      <c r="U287">
        <v>1.000294</v>
      </c>
      <c r="V287">
        <v>0.99963999999999997</v>
      </c>
      <c r="W287">
        <v>1.0001260000000001</v>
      </c>
      <c r="X287">
        <v>1.0001260000000001</v>
      </c>
      <c r="Y287">
        <v>5057166378</v>
      </c>
      <c r="Z287">
        <v>0.45453399999999999</v>
      </c>
      <c r="AA287">
        <v>0.484817</v>
      </c>
      <c r="AB287">
        <v>0.45399400000000001</v>
      </c>
      <c r="AC287">
        <v>0.48038700000000001</v>
      </c>
      <c r="AD287">
        <v>0.48038700000000001</v>
      </c>
      <c r="AE287">
        <v>778592386</v>
      </c>
      <c r="AK287" s="1">
        <v>44807</v>
      </c>
      <c r="AL287">
        <f t="shared" si="4"/>
        <v>1577.213745</v>
      </c>
      <c r="AM287">
        <f>INDEX(A:AE,MATCH(AK287,worksheet!A:A,0),MATCH(worksheet!AM286,worksheet!A286:AE286,0))</f>
        <v>19969.71875</v>
      </c>
      <c r="AN287">
        <f>INDEX(A:AE,MATCH(AK287,worksheet!A:A,0),MATCH(worksheet!AN286,worksheet!A286:AE286,0))</f>
        <v>0.45453399999999999</v>
      </c>
      <c r="AO287">
        <f>INDEX(A:AE,MATCH(AK287,worksheet!A:A,0),MATCH(worksheet!AO286,worksheet!A286:AE286,0))</f>
        <v>1.000089</v>
      </c>
      <c r="AP287">
        <f>INDEX(A:AE,MATCH(AK287,worksheet!A:A,0),MATCH(worksheet!AP286,worksheet!A286:AE286,0))</f>
        <v>1.0001199999999999</v>
      </c>
    </row>
    <row r="288" spans="1:42" x14ac:dyDescent="0.25">
      <c r="A288" s="1">
        <v>44808</v>
      </c>
      <c r="B288">
        <v>1556.895874</v>
      </c>
      <c r="C288">
        <v>1578.0092770000001</v>
      </c>
      <c r="D288">
        <v>1543.6988530000001</v>
      </c>
      <c r="E288">
        <v>1577.6416019999999</v>
      </c>
      <c r="F288">
        <v>1577.6416019999999</v>
      </c>
      <c r="G288">
        <v>8884144998</v>
      </c>
      <c r="H288">
        <v>19832.470702999999</v>
      </c>
      <c r="I288">
        <v>19999.689452999999</v>
      </c>
      <c r="J288">
        <v>19636.816406000002</v>
      </c>
      <c r="K288">
        <v>19986.712890999999</v>
      </c>
      <c r="L288">
        <v>19986.712890999999</v>
      </c>
      <c r="M288">
        <v>25245861652</v>
      </c>
      <c r="N288">
        <v>1.000076</v>
      </c>
      <c r="O288">
        <v>1.0001009999999999</v>
      </c>
      <c r="P288">
        <v>0.99997499999999995</v>
      </c>
      <c r="Q288">
        <v>1.0000610000000001</v>
      </c>
      <c r="R288">
        <v>1.0000610000000001</v>
      </c>
      <c r="S288">
        <v>31495577330</v>
      </c>
      <c r="T288">
        <v>1.000116</v>
      </c>
      <c r="U288">
        <v>1.0002549999999999</v>
      </c>
      <c r="V288">
        <v>0.99979600000000002</v>
      </c>
      <c r="W288">
        <v>1.0001070000000001</v>
      </c>
      <c r="X288">
        <v>1.0001070000000001</v>
      </c>
      <c r="Y288">
        <v>6332291606</v>
      </c>
      <c r="Z288">
        <v>0.48037200000000002</v>
      </c>
      <c r="AA288">
        <v>0.50582800000000006</v>
      </c>
      <c r="AB288">
        <v>0.47680499999999998</v>
      </c>
      <c r="AC288">
        <v>0.50308399999999998</v>
      </c>
      <c r="AD288">
        <v>0.50308399999999998</v>
      </c>
      <c r="AE288">
        <v>907968827</v>
      </c>
      <c r="AK288" s="1">
        <v>44808</v>
      </c>
      <c r="AL288">
        <f t="shared" si="4"/>
        <v>1556.895874</v>
      </c>
      <c r="AM288">
        <f>INDEX(A:AE,MATCH(AK288,worksheet!A:A,0),MATCH(worksheet!AM287,worksheet!A287:AE287,0))</f>
        <v>19832.470702999999</v>
      </c>
      <c r="AN288">
        <f>INDEX(A:AE,MATCH(AK288,worksheet!A:A,0),MATCH(worksheet!AN287,worksheet!A287:AE287,0))</f>
        <v>0.48037200000000002</v>
      </c>
      <c r="AO288">
        <f>INDEX(A:AE,MATCH(AK288,worksheet!A:A,0),MATCH(worksheet!AO287,worksheet!A287:AE287,0))</f>
        <v>1.000076</v>
      </c>
      <c r="AP288">
        <f>INDEX(A:AE,MATCH(AK288,worksheet!A:A,0),MATCH(worksheet!AP287,worksheet!A287:AE287,0))</f>
        <v>1.0001009999999999</v>
      </c>
    </row>
    <row r="289" spans="1:42" x14ac:dyDescent="0.25">
      <c r="A289" s="1">
        <v>44809</v>
      </c>
      <c r="B289">
        <v>1577.884033</v>
      </c>
      <c r="C289">
        <v>1621.6613769999999</v>
      </c>
      <c r="D289">
        <v>1559.7818600000001</v>
      </c>
      <c r="E289">
        <v>1617.1832280000001</v>
      </c>
      <c r="F289">
        <v>1617.1832280000001</v>
      </c>
      <c r="G289">
        <v>13060541168</v>
      </c>
      <c r="H289">
        <v>19988.789063</v>
      </c>
      <c r="I289">
        <v>20031.160156000002</v>
      </c>
      <c r="J289">
        <v>19673.046875</v>
      </c>
      <c r="K289">
        <v>19812.371093999998</v>
      </c>
      <c r="L289">
        <v>19812.371093999998</v>
      </c>
      <c r="M289">
        <v>28813460025</v>
      </c>
      <c r="N289">
        <v>1.000062</v>
      </c>
      <c r="O289">
        <v>1.000092</v>
      </c>
      <c r="P289">
        <v>0.99996600000000002</v>
      </c>
      <c r="Q289">
        <v>1.000038</v>
      </c>
      <c r="R289">
        <v>1.000038</v>
      </c>
      <c r="S289">
        <v>39598045837</v>
      </c>
      <c r="T289">
        <v>1.000121</v>
      </c>
      <c r="U289">
        <v>1.0002899999999999</v>
      </c>
      <c r="V289">
        <v>0.99959200000000004</v>
      </c>
      <c r="W289">
        <v>0.99988200000000005</v>
      </c>
      <c r="X289">
        <v>0.99988200000000005</v>
      </c>
      <c r="Y289">
        <v>6182567826</v>
      </c>
      <c r="Z289">
        <v>0.50316799999999995</v>
      </c>
      <c r="AA289">
        <v>0.50533899999999998</v>
      </c>
      <c r="AB289">
        <v>0.48388500000000001</v>
      </c>
      <c r="AC289">
        <v>0.49912099999999998</v>
      </c>
      <c r="AD289">
        <v>0.49912099999999998</v>
      </c>
      <c r="AE289">
        <v>646475147</v>
      </c>
      <c r="AK289" s="1">
        <v>44809</v>
      </c>
      <c r="AL289">
        <f t="shared" si="4"/>
        <v>1577.884033</v>
      </c>
      <c r="AM289">
        <f>INDEX(A:AE,MATCH(AK289,worksheet!A:A,0),MATCH(worksheet!AM288,worksheet!A288:AE288,0))</f>
        <v>19988.789063</v>
      </c>
      <c r="AN289">
        <f>INDEX(A:AE,MATCH(AK289,worksheet!A:A,0),MATCH(worksheet!AN288,worksheet!A288:AE288,0))</f>
        <v>0.50316799999999995</v>
      </c>
      <c r="AO289">
        <f>INDEX(A:AE,MATCH(AK289,worksheet!A:A,0),MATCH(worksheet!AO288,worksheet!A288:AE288,0))</f>
        <v>1.000062</v>
      </c>
      <c r="AP289">
        <f>INDEX(A:AE,MATCH(AK289,worksheet!A:A,0),MATCH(worksheet!AP288,worksheet!A288:AE288,0))</f>
        <v>1.000092</v>
      </c>
    </row>
    <row r="290" spans="1:42" x14ac:dyDescent="0.25">
      <c r="A290" s="1">
        <v>44810</v>
      </c>
      <c r="B290">
        <v>1617.2402340000001</v>
      </c>
      <c r="C290">
        <v>1680.595337</v>
      </c>
      <c r="D290">
        <v>1561.7485349999999</v>
      </c>
      <c r="E290">
        <v>1561.7485349999999</v>
      </c>
      <c r="F290">
        <v>1561.7485349999999</v>
      </c>
      <c r="G290">
        <v>22946059125</v>
      </c>
      <c r="H290">
        <v>19817.724609000001</v>
      </c>
      <c r="I290">
        <v>20155.269531000002</v>
      </c>
      <c r="J290">
        <v>18800.171875</v>
      </c>
      <c r="K290">
        <v>18837.667968999998</v>
      </c>
      <c r="L290">
        <v>18837.667968999998</v>
      </c>
      <c r="M290">
        <v>43403978910</v>
      </c>
      <c r="N290">
        <v>1.000027</v>
      </c>
      <c r="O290">
        <v>1.0000929999999999</v>
      </c>
      <c r="P290">
        <v>0.99996700000000005</v>
      </c>
      <c r="Q290">
        <v>1.000049</v>
      </c>
      <c r="R290">
        <v>1.000049</v>
      </c>
      <c r="S290">
        <v>64015343588</v>
      </c>
      <c r="T290">
        <v>0.99990000000000001</v>
      </c>
      <c r="U290">
        <v>1.000318</v>
      </c>
      <c r="V290">
        <v>0.99945700000000004</v>
      </c>
      <c r="W290">
        <v>0.99987800000000004</v>
      </c>
      <c r="X290">
        <v>0.99987800000000004</v>
      </c>
      <c r="Y290">
        <v>7323352432</v>
      </c>
      <c r="Z290">
        <v>0.49909100000000001</v>
      </c>
      <c r="AA290">
        <v>0.51115600000000005</v>
      </c>
      <c r="AB290">
        <v>0.46299099999999999</v>
      </c>
      <c r="AC290">
        <v>0.46306599999999998</v>
      </c>
      <c r="AD290">
        <v>0.46306599999999998</v>
      </c>
      <c r="AE290">
        <v>982012136</v>
      </c>
      <c r="AK290" s="1">
        <v>44810</v>
      </c>
      <c r="AL290">
        <f t="shared" si="4"/>
        <v>1617.2402340000001</v>
      </c>
      <c r="AM290">
        <f>INDEX(A:AE,MATCH(AK290,worksheet!A:A,0),MATCH(worksheet!AM289,worksheet!A289:AE289,0))</f>
        <v>19817.724609000001</v>
      </c>
      <c r="AN290">
        <f>INDEX(A:AE,MATCH(AK290,worksheet!A:A,0),MATCH(worksheet!AN289,worksheet!A289:AE289,0))</f>
        <v>0.49909100000000001</v>
      </c>
      <c r="AO290">
        <f>INDEX(A:AE,MATCH(AK290,worksheet!A:A,0),MATCH(worksheet!AO289,worksheet!A289:AE289,0))</f>
        <v>1.000027</v>
      </c>
      <c r="AP290">
        <f>INDEX(A:AE,MATCH(AK290,worksheet!A:A,0),MATCH(worksheet!AP289,worksheet!A289:AE289,0))</f>
        <v>1.0000929999999999</v>
      </c>
    </row>
    <row r="291" spans="1:42" x14ac:dyDescent="0.25">
      <c r="A291" s="1">
        <v>44811</v>
      </c>
      <c r="B291">
        <v>1560.9067379999999</v>
      </c>
      <c r="C291">
        <v>1651.0511469999999</v>
      </c>
      <c r="D291">
        <v>1500.013672</v>
      </c>
      <c r="E291">
        <v>1629.9063719999999</v>
      </c>
      <c r="F291">
        <v>1629.9063719999999</v>
      </c>
      <c r="G291">
        <v>19560363854</v>
      </c>
      <c r="H291">
        <v>18837.683593999998</v>
      </c>
      <c r="I291">
        <v>19427.171875</v>
      </c>
      <c r="J291">
        <v>18644.466797000001</v>
      </c>
      <c r="K291">
        <v>19290.324218999998</v>
      </c>
      <c r="L291">
        <v>19290.324218999998</v>
      </c>
      <c r="M291">
        <v>35239757134</v>
      </c>
      <c r="N291">
        <v>1.000011</v>
      </c>
      <c r="O291">
        <v>1.000178</v>
      </c>
      <c r="P291">
        <v>0.99998699999999996</v>
      </c>
      <c r="Q291">
        <v>1.0001089999999999</v>
      </c>
      <c r="R291">
        <v>1.0001089999999999</v>
      </c>
      <c r="S291">
        <v>52755357561</v>
      </c>
      <c r="T291">
        <v>0.99980500000000005</v>
      </c>
      <c r="U291">
        <v>1.000316</v>
      </c>
      <c r="V291">
        <v>0.99970999999999999</v>
      </c>
      <c r="W291">
        <v>0.99999300000000002</v>
      </c>
      <c r="X291">
        <v>0.99999300000000002</v>
      </c>
      <c r="Y291">
        <v>5925798240</v>
      </c>
      <c r="Z291">
        <v>0.46301100000000001</v>
      </c>
      <c r="AA291">
        <v>0.48161900000000002</v>
      </c>
      <c r="AB291">
        <v>0.45547700000000002</v>
      </c>
      <c r="AC291">
        <v>0.47928199999999999</v>
      </c>
      <c r="AD291">
        <v>0.47928199999999999</v>
      </c>
      <c r="AE291">
        <v>693147052</v>
      </c>
      <c r="AK291" s="1">
        <v>44811</v>
      </c>
      <c r="AL291">
        <f t="shared" si="4"/>
        <v>1560.9067379999999</v>
      </c>
      <c r="AM291">
        <f>INDEX(A:AE,MATCH(AK291,worksheet!A:A,0),MATCH(worksheet!AM290,worksheet!A290:AE290,0))</f>
        <v>18837.683593999998</v>
      </c>
      <c r="AN291">
        <f>INDEX(A:AE,MATCH(AK291,worksheet!A:A,0),MATCH(worksheet!AN290,worksheet!A290:AE290,0))</f>
        <v>0.46301100000000001</v>
      </c>
      <c r="AO291">
        <f>INDEX(A:AE,MATCH(AK291,worksheet!A:A,0),MATCH(worksheet!AO290,worksheet!A290:AE290,0))</f>
        <v>1.000011</v>
      </c>
      <c r="AP291">
        <f>INDEX(A:AE,MATCH(AK291,worksheet!A:A,0),MATCH(worksheet!AP290,worksheet!A290:AE290,0))</f>
        <v>1.000178</v>
      </c>
    </row>
    <row r="292" spans="1:42" x14ac:dyDescent="0.25">
      <c r="A292" s="1">
        <v>44812</v>
      </c>
      <c r="B292">
        <v>1629.8051760000001</v>
      </c>
      <c r="C292">
        <v>1655.064087</v>
      </c>
      <c r="D292">
        <v>1603.0638429999999</v>
      </c>
      <c r="E292">
        <v>1635.3476559999999</v>
      </c>
      <c r="F292">
        <v>1635.3476559999999</v>
      </c>
      <c r="G292">
        <v>17621046717</v>
      </c>
      <c r="H292">
        <v>19289.941406000002</v>
      </c>
      <c r="I292">
        <v>19417.351563</v>
      </c>
      <c r="J292">
        <v>19076.714843999998</v>
      </c>
      <c r="K292">
        <v>19329.833984000001</v>
      </c>
      <c r="L292">
        <v>19329.833984000001</v>
      </c>
      <c r="M292">
        <v>32194477850</v>
      </c>
      <c r="N292">
        <v>1.000097</v>
      </c>
      <c r="O292">
        <v>1.000173</v>
      </c>
      <c r="P292">
        <v>1.000014</v>
      </c>
      <c r="Q292">
        <v>1.000102</v>
      </c>
      <c r="R292">
        <v>1.000102</v>
      </c>
      <c r="S292">
        <v>49640976411</v>
      </c>
      <c r="T292">
        <v>0.99996700000000005</v>
      </c>
      <c r="U292">
        <v>1.000259</v>
      </c>
      <c r="V292">
        <v>0.99970000000000003</v>
      </c>
      <c r="W292">
        <v>0.99991399999999997</v>
      </c>
      <c r="X292">
        <v>0.99991399999999997</v>
      </c>
      <c r="Y292">
        <v>5599051311</v>
      </c>
      <c r="Z292">
        <v>0.47927399999999998</v>
      </c>
      <c r="AA292">
        <v>0.481431</v>
      </c>
      <c r="AB292">
        <v>0.46456900000000001</v>
      </c>
      <c r="AC292">
        <v>0.47927399999999998</v>
      </c>
      <c r="AD292">
        <v>0.47927399999999998</v>
      </c>
      <c r="AE292">
        <v>647768733</v>
      </c>
      <c r="AK292" s="1">
        <v>44812</v>
      </c>
      <c r="AL292">
        <f t="shared" si="4"/>
        <v>1629.8051760000001</v>
      </c>
      <c r="AM292">
        <f>INDEX(A:AE,MATCH(AK292,worksheet!A:A,0),MATCH(worksheet!AM291,worksheet!A291:AE291,0))</f>
        <v>19289.941406000002</v>
      </c>
      <c r="AN292">
        <f>INDEX(A:AE,MATCH(AK292,worksheet!A:A,0),MATCH(worksheet!AN291,worksheet!A291:AE291,0))</f>
        <v>0.47927399999999998</v>
      </c>
      <c r="AO292">
        <f>INDEX(A:AE,MATCH(AK292,worksheet!A:A,0),MATCH(worksheet!AO291,worksheet!A291:AE291,0))</f>
        <v>1.000097</v>
      </c>
      <c r="AP292">
        <f>INDEX(A:AE,MATCH(AK292,worksheet!A:A,0),MATCH(worksheet!AP291,worksheet!A291:AE291,0))</f>
        <v>1.000173</v>
      </c>
    </row>
    <row r="293" spans="1:42" x14ac:dyDescent="0.25">
      <c r="A293" s="1">
        <v>44813</v>
      </c>
      <c r="B293">
        <v>1635.1877440000001</v>
      </c>
      <c r="C293">
        <v>1735.809814</v>
      </c>
      <c r="D293">
        <v>1632.836548</v>
      </c>
      <c r="E293">
        <v>1719.0854489999999</v>
      </c>
      <c r="F293">
        <v>1719.0854489999999</v>
      </c>
      <c r="G293">
        <v>20242323690</v>
      </c>
      <c r="H293">
        <v>19328.140625</v>
      </c>
      <c r="I293">
        <v>21439.410156000002</v>
      </c>
      <c r="J293">
        <v>19310.962890999999</v>
      </c>
      <c r="K293">
        <v>21381.152343999998</v>
      </c>
      <c r="L293">
        <v>21381.152343999998</v>
      </c>
      <c r="M293">
        <v>48469528171</v>
      </c>
      <c r="N293">
        <v>1.0000960000000001</v>
      </c>
      <c r="O293">
        <v>1.0003029999999999</v>
      </c>
      <c r="P293">
        <v>1.0000549999999999</v>
      </c>
      <c r="Q293">
        <v>1.000235</v>
      </c>
      <c r="R293">
        <v>1.000235</v>
      </c>
      <c r="S293">
        <v>70683518131</v>
      </c>
      <c r="T293">
        <v>0.99990699999999999</v>
      </c>
      <c r="U293">
        <v>1.0002200000000001</v>
      </c>
      <c r="V293">
        <v>0.99963299999999999</v>
      </c>
      <c r="W293">
        <v>0.99994499999999997</v>
      </c>
      <c r="X293">
        <v>0.99994499999999997</v>
      </c>
      <c r="Y293">
        <v>7486756055</v>
      </c>
      <c r="Z293">
        <v>0.47925299999999998</v>
      </c>
      <c r="AA293">
        <v>0.502938</v>
      </c>
      <c r="AB293">
        <v>0.47867700000000002</v>
      </c>
      <c r="AC293">
        <v>0.50292000000000003</v>
      </c>
      <c r="AD293">
        <v>0.50292000000000003</v>
      </c>
      <c r="AE293">
        <v>858927416</v>
      </c>
      <c r="AK293" s="1">
        <v>44813</v>
      </c>
      <c r="AL293">
        <f t="shared" si="4"/>
        <v>1635.1877440000001</v>
      </c>
      <c r="AM293">
        <f>INDEX(A:AE,MATCH(AK293,worksheet!A:A,0),MATCH(worksheet!AM292,worksheet!A292:AE292,0))</f>
        <v>19328.140625</v>
      </c>
      <c r="AN293">
        <f>INDEX(A:AE,MATCH(AK293,worksheet!A:A,0),MATCH(worksheet!AN292,worksheet!A292:AE292,0))</f>
        <v>0.47925299999999998</v>
      </c>
      <c r="AO293">
        <f>INDEX(A:AE,MATCH(AK293,worksheet!A:A,0),MATCH(worksheet!AO292,worksheet!A292:AE292,0))</f>
        <v>1.0000960000000001</v>
      </c>
      <c r="AP293">
        <f>INDEX(A:AE,MATCH(AK293,worksheet!A:A,0),MATCH(worksheet!AP292,worksheet!A292:AE292,0))</f>
        <v>1.0003029999999999</v>
      </c>
    </row>
    <row r="294" spans="1:42" x14ac:dyDescent="0.25">
      <c r="A294" s="1">
        <v>44814</v>
      </c>
      <c r="B294">
        <v>1718.9613039999999</v>
      </c>
      <c r="C294">
        <v>1784.497803</v>
      </c>
      <c r="D294">
        <v>1710.2969969999999</v>
      </c>
      <c r="E294">
        <v>1776.2037350000001</v>
      </c>
      <c r="F294">
        <v>1776.2037350000001</v>
      </c>
      <c r="G294">
        <v>13130928217</v>
      </c>
      <c r="H294">
        <v>21376.912109000001</v>
      </c>
      <c r="I294">
        <v>21760.275390999999</v>
      </c>
      <c r="J294">
        <v>21168.722656000002</v>
      </c>
      <c r="K294">
        <v>21680.539063</v>
      </c>
      <c r="L294">
        <v>21680.539063</v>
      </c>
      <c r="M294">
        <v>36913738894</v>
      </c>
      <c r="N294">
        <v>1.000235</v>
      </c>
      <c r="O294">
        <v>1.0004200000000001</v>
      </c>
      <c r="P294">
        <v>1.000167</v>
      </c>
      <c r="Q294">
        <v>1.000281</v>
      </c>
      <c r="R294">
        <v>1.000281</v>
      </c>
      <c r="S294">
        <v>53524443076</v>
      </c>
      <c r="T294">
        <v>0.99994499999999997</v>
      </c>
      <c r="U294">
        <v>1.000224</v>
      </c>
      <c r="V294">
        <v>0.99968599999999996</v>
      </c>
      <c r="W294">
        <v>0.99986299999999995</v>
      </c>
      <c r="X294">
        <v>0.99986299999999995</v>
      </c>
      <c r="Y294">
        <v>6034410916</v>
      </c>
      <c r="Z294">
        <v>0.50284200000000001</v>
      </c>
      <c r="AA294">
        <v>0.52349299999999999</v>
      </c>
      <c r="AB294">
        <v>0.49636200000000003</v>
      </c>
      <c r="AC294">
        <v>0.51242200000000004</v>
      </c>
      <c r="AD294">
        <v>0.51242200000000004</v>
      </c>
      <c r="AE294">
        <v>995666468</v>
      </c>
      <c r="AK294" s="1">
        <v>44814</v>
      </c>
      <c r="AL294">
        <f t="shared" si="4"/>
        <v>1718.9613039999999</v>
      </c>
      <c r="AM294">
        <f>INDEX(A:AE,MATCH(AK294,worksheet!A:A,0),MATCH(worksheet!AM293,worksheet!A293:AE293,0))</f>
        <v>21376.912109000001</v>
      </c>
      <c r="AN294">
        <f>INDEX(A:AE,MATCH(AK294,worksheet!A:A,0),MATCH(worksheet!AN293,worksheet!A293:AE293,0))</f>
        <v>0.50284200000000001</v>
      </c>
      <c r="AO294">
        <f>INDEX(A:AE,MATCH(AK294,worksheet!A:A,0),MATCH(worksheet!AO293,worksheet!A293:AE293,0))</f>
        <v>1.000235</v>
      </c>
      <c r="AP294">
        <f>INDEX(A:AE,MATCH(AK294,worksheet!A:A,0),MATCH(worksheet!AP293,worksheet!A293:AE293,0))</f>
        <v>1.0004200000000001</v>
      </c>
    </row>
    <row r="295" spans="1:42" x14ac:dyDescent="0.25">
      <c r="A295" s="1">
        <v>44815</v>
      </c>
      <c r="B295">
        <v>1775.9760739999999</v>
      </c>
      <c r="C295">
        <v>1782.7298579999999</v>
      </c>
      <c r="D295">
        <v>1730.1647949999999</v>
      </c>
      <c r="E295">
        <v>1761.8000489999999</v>
      </c>
      <c r="F295">
        <v>1761.8000489999999</v>
      </c>
      <c r="G295">
        <v>12464301922</v>
      </c>
      <c r="H295">
        <v>21678.542968999998</v>
      </c>
      <c r="I295">
        <v>21770.552734000001</v>
      </c>
      <c r="J295">
        <v>21406.945313</v>
      </c>
      <c r="K295">
        <v>21769.255859000001</v>
      </c>
      <c r="L295">
        <v>21769.255859000001</v>
      </c>
      <c r="M295">
        <v>34493951963</v>
      </c>
      <c r="N295">
        <v>1.0002789999999999</v>
      </c>
      <c r="O295">
        <v>1.000343</v>
      </c>
      <c r="P295">
        <v>1.0002219999999999</v>
      </c>
      <c r="Q295">
        <v>1.0002759999999999</v>
      </c>
      <c r="R295">
        <v>1.0002759999999999</v>
      </c>
      <c r="S295">
        <v>47160062304</v>
      </c>
      <c r="T295">
        <v>0.999861</v>
      </c>
      <c r="U295">
        <v>1.0002530000000001</v>
      </c>
      <c r="V295">
        <v>0.99963000000000002</v>
      </c>
      <c r="W295">
        <v>0.99995100000000003</v>
      </c>
      <c r="X295">
        <v>0.99995100000000003</v>
      </c>
      <c r="Y295">
        <v>5285353049</v>
      </c>
      <c r="Z295">
        <v>0.51237999999999995</v>
      </c>
      <c r="AA295">
        <v>0.51915</v>
      </c>
      <c r="AB295">
        <v>0.50330799999999998</v>
      </c>
      <c r="AC295">
        <v>0.50975199999999998</v>
      </c>
      <c r="AD295">
        <v>0.50975199999999998</v>
      </c>
      <c r="AE295">
        <v>705305295</v>
      </c>
      <c r="AK295" s="1">
        <v>44815</v>
      </c>
      <c r="AL295">
        <f t="shared" si="4"/>
        <v>1775.9760739999999</v>
      </c>
      <c r="AM295">
        <f>INDEX(A:AE,MATCH(AK295,worksheet!A:A,0),MATCH(worksheet!AM294,worksheet!A294:AE294,0))</f>
        <v>21678.542968999998</v>
      </c>
      <c r="AN295">
        <f>INDEX(A:AE,MATCH(AK295,worksheet!A:A,0),MATCH(worksheet!AN294,worksheet!A294:AE294,0))</f>
        <v>0.51237999999999995</v>
      </c>
      <c r="AO295">
        <f>INDEX(A:AE,MATCH(AK295,worksheet!A:A,0),MATCH(worksheet!AO294,worksheet!A294:AE294,0))</f>
        <v>1.0002789999999999</v>
      </c>
      <c r="AP295">
        <f>INDEX(A:AE,MATCH(AK295,worksheet!A:A,0),MATCH(worksheet!AP294,worksheet!A294:AE294,0))</f>
        <v>1.000343</v>
      </c>
    </row>
    <row r="296" spans="1:42" x14ac:dyDescent="0.25">
      <c r="A296" s="1">
        <v>44816</v>
      </c>
      <c r="B296">
        <v>1762.0848390000001</v>
      </c>
      <c r="C296">
        <v>1778.163452</v>
      </c>
      <c r="D296">
        <v>1698.293457</v>
      </c>
      <c r="E296">
        <v>1713.765259</v>
      </c>
      <c r="F296">
        <v>1713.765259</v>
      </c>
      <c r="G296">
        <v>17688391310</v>
      </c>
      <c r="H296">
        <v>21770.148438</v>
      </c>
      <c r="I296">
        <v>22439.181640999999</v>
      </c>
      <c r="J296">
        <v>21603.896484000001</v>
      </c>
      <c r="K296">
        <v>22370.449218999998</v>
      </c>
      <c r="L296">
        <v>22370.449218999998</v>
      </c>
      <c r="M296">
        <v>50212088965</v>
      </c>
      <c r="N296">
        <v>1.000281</v>
      </c>
      <c r="O296">
        <v>1.0003230000000001</v>
      </c>
      <c r="P296">
        <v>1.0000979999999999</v>
      </c>
      <c r="Q296">
        <v>1.0002040000000001</v>
      </c>
      <c r="R296">
        <v>1.0002040000000001</v>
      </c>
      <c r="S296">
        <v>66834639114</v>
      </c>
      <c r="T296">
        <v>0.99995999999999996</v>
      </c>
      <c r="U296">
        <v>1.0002</v>
      </c>
      <c r="V296">
        <v>0.99951599999999996</v>
      </c>
      <c r="W296">
        <v>1.000011</v>
      </c>
      <c r="X296">
        <v>1.000011</v>
      </c>
      <c r="Y296">
        <v>6603561164</v>
      </c>
      <c r="Z296">
        <v>0.50975099999999995</v>
      </c>
      <c r="AA296">
        <v>0.51886200000000005</v>
      </c>
      <c r="AB296">
        <v>0.49781999999999998</v>
      </c>
      <c r="AC296">
        <v>0.50154600000000005</v>
      </c>
      <c r="AD296">
        <v>0.50154600000000005</v>
      </c>
      <c r="AE296">
        <v>856809100</v>
      </c>
      <c r="AK296" s="1">
        <v>44816</v>
      </c>
      <c r="AL296">
        <f t="shared" si="4"/>
        <v>1762.0848390000001</v>
      </c>
      <c r="AM296">
        <f>INDEX(A:AE,MATCH(AK296,worksheet!A:A,0),MATCH(worksheet!AM295,worksheet!A295:AE295,0))</f>
        <v>21770.148438</v>
      </c>
      <c r="AN296">
        <f>INDEX(A:AE,MATCH(AK296,worksheet!A:A,0),MATCH(worksheet!AN295,worksheet!A295:AE295,0))</f>
        <v>0.50975099999999995</v>
      </c>
      <c r="AO296">
        <f>INDEX(A:AE,MATCH(AK296,worksheet!A:A,0),MATCH(worksheet!AO295,worksheet!A295:AE295,0))</f>
        <v>1.000281</v>
      </c>
      <c r="AP296">
        <f>INDEX(A:AE,MATCH(AK296,worksheet!A:A,0),MATCH(worksheet!AP295,worksheet!A295:AE295,0))</f>
        <v>1.0003230000000001</v>
      </c>
    </row>
    <row r="297" spans="1:42" x14ac:dyDescent="0.25">
      <c r="A297" s="1">
        <v>44817</v>
      </c>
      <c r="B297">
        <v>1713.962524</v>
      </c>
      <c r="C297">
        <v>1745.779053</v>
      </c>
      <c r="D297">
        <v>1564.0318600000001</v>
      </c>
      <c r="E297">
        <v>1580.7879640000001</v>
      </c>
      <c r="F297">
        <v>1580.7879640000001</v>
      </c>
      <c r="G297">
        <v>23066821734</v>
      </c>
      <c r="H297">
        <v>22371.480468999998</v>
      </c>
      <c r="I297">
        <v>22673.820313</v>
      </c>
      <c r="J297">
        <v>20062.669922000001</v>
      </c>
      <c r="K297">
        <v>20296.707031000002</v>
      </c>
      <c r="L297">
        <v>20296.707031000002</v>
      </c>
      <c r="M297">
        <v>51091116622</v>
      </c>
      <c r="N297">
        <v>1.0001610000000001</v>
      </c>
      <c r="O297">
        <v>1.00034</v>
      </c>
      <c r="P297">
        <v>0.99999199999999999</v>
      </c>
      <c r="Q297">
        <v>1.0000249999999999</v>
      </c>
      <c r="R297">
        <v>1.0000249999999999</v>
      </c>
      <c r="S297">
        <v>71413926112</v>
      </c>
      <c r="T297">
        <v>1.000022</v>
      </c>
      <c r="U297">
        <v>1.0002249999999999</v>
      </c>
      <c r="V297">
        <v>0.99936400000000003</v>
      </c>
      <c r="W297">
        <v>1.0001139999999999</v>
      </c>
      <c r="X297">
        <v>1.0001139999999999</v>
      </c>
      <c r="Y297">
        <v>7447771857</v>
      </c>
      <c r="Z297">
        <v>0.50149500000000002</v>
      </c>
      <c r="AA297">
        <v>0.50752399999999998</v>
      </c>
      <c r="AB297">
        <v>0.46291399999999999</v>
      </c>
      <c r="AC297">
        <v>0.46888099999999999</v>
      </c>
      <c r="AD297">
        <v>0.46888099999999999</v>
      </c>
      <c r="AE297">
        <v>1004511415</v>
      </c>
      <c r="AK297" s="1">
        <v>44817</v>
      </c>
      <c r="AL297">
        <f t="shared" si="4"/>
        <v>1713.962524</v>
      </c>
      <c r="AM297">
        <f>INDEX(A:AE,MATCH(AK297,worksheet!A:A,0),MATCH(worksheet!AM296,worksheet!A296:AE296,0))</f>
        <v>22371.480468999998</v>
      </c>
      <c r="AN297">
        <f>INDEX(A:AE,MATCH(AK297,worksheet!A:A,0),MATCH(worksheet!AN296,worksheet!A296:AE296,0))</f>
        <v>0.50149500000000002</v>
      </c>
      <c r="AO297">
        <f>INDEX(A:AE,MATCH(AK297,worksheet!A:A,0),MATCH(worksheet!AO296,worksheet!A296:AE296,0))</f>
        <v>1.0001610000000001</v>
      </c>
      <c r="AP297">
        <f>INDEX(A:AE,MATCH(AK297,worksheet!A:A,0),MATCH(worksheet!AP296,worksheet!A296:AE296,0))</f>
        <v>1.00034</v>
      </c>
    </row>
    <row r="298" spans="1:42" x14ac:dyDescent="0.25">
      <c r="A298" s="1">
        <v>44818</v>
      </c>
      <c r="B298">
        <v>1574.858154</v>
      </c>
      <c r="C298">
        <v>1642.1572269999999</v>
      </c>
      <c r="D298">
        <v>1564.0318600000001</v>
      </c>
      <c r="E298">
        <v>1634.755005</v>
      </c>
      <c r="F298">
        <v>1634.755005</v>
      </c>
      <c r="G298">
        <v>17897150206</v>
      </c>
      <c r="H298">
        <v>20184.554688</v>
      </c>
      <c r="I298">
        <v>20467.201172000001</v>
      </c>
      <c r="J298">
        <v>19793.396484000001</v>
      </c>
      <c r="K298">
        <v>20241.089843999998</v>
      </c>
      <c r="L298">
        <v>20241.089843999998</v>
      </c>
      <c r="M298">
        <v>37872380889</v>
      </c>
      <c r="N298">
        <v>1.000038</v>
      </c>
      <c r="O298">
        <v>1.000213</v>
      </c>
      <c r="P298">
        <v>0.99997400000000003</v>
      </c>
      <c r="Q298">
        <v>1.0001420000000001</v>
      </c>
      <c r="R298">
        <v>1.0001420000000001</v>
      </c>
      <c r="S298">
        <v>55170613417</v>
      </c>
      <c r="T298">
        <v>0.99996499999999999</v>
      </c>
      <c r="U298">
        <v>1.0002679999999999</v>
      </c>
      <c r="V298">
        <v>0.99977000000000005</v>
      </c>
      <c r="W298">
        <v>1.00004</v>
      </c>
      <c r="X298">
        <v>1.00004</v>
      </c>
      <c r="Y298">
        <v>5785823308</v>
      </c>
      <c r="Z298">
        <v>0.46391199999999999</v>
      </c>
      <c r="AA298">
        <v>0.485709</v>
      </c>
      <c r="AB298">
        <v>0.46304899999999999</v>
      </c>
      <c r="AC298">
        <v>0.48137600000000003</v>
      </c>
      <c r="AD298">
        <v>0.48137600000000003</v>
      </c>
      <c r="AE298">
        <v>737527013</v>
      </c>
      <c r="AK298" s="1">
        <v>44818</v>
      </c>
      <c r="AL298">
        <f t="shared" si="4"/>
        <v>1574.858154</v>
      </c>
      <c r="AM298">
        <f>INDEX(A:AE,MATCH(AK298,worksheet!A:A,0),MATCH(worksheet!AM297,worksheet!A297:AE297,0))</f>
        <v>20184.554688</v>
      </c>
      <c r="AN298">
        <f>INDEX(A:AE,MATCH(AK298,worksheet!A:A,0),MATCH(worksheet!AN297,worksheet!A297:AE297,0))</f>
        <v>0.46391199999999999</v>
      </c>
      <c r="AO298">
        <f>INDEX(A:AE,MATCH(AK298,worksheet!A:A,0),MATCH(worksheet!AO297,worksheet!A297:AE297,0))</f>
        <v>1.000038</v>
      </c>
      <c r="AP298">
        <f>INDEX(A:AE,MATCH(AK298,worksheet!A:A,0),MATCH(worksheet!AP297,worksheet!A297:AE297,0))</f>
        <v>1.000213</v>
      </c>
    </row>
    <row r="299" spans="1:42" x14ac:dyDescent="0.25">
      <c r="A299" s="1">
        <v>44819</v>
      </c>
      <c r="B299">
        <v>1635.0830080000001</v>
      </c>
      <c r="C299">
        <v>1648.9456789999999</v>
      </c>
      <c r="D299">
        <v>1466.139404</v>
      </c>
      <c r="E299">
        <v>1471.693481</v>
      </c>
      <c r="F299">
        <v>1471.693481</v>
      </c>
      <c r="G299">
        <v>26946275878</v>
      </c>
      <c r="H299">
        <v>20242.289063</v>
      </c>
      <c r="I299">
        <v>20318.166015999999</v>
      </c>
      <c r="J299">
        <v>19636.734375</v>
      </c>
      <c r="K299">
        <v>19701.210938</v>
      </c>
      <c r="L299">
        <v>19701.210938</v>
      </c>
      <c r="M299">
        <v>36389011503</v>
      </c>
      <c r="N299">
        <v>1.000138</v>
      </c>
      <c r="O299">
        <v>1.000275</v>
      </c>
      <c r="P299">
        <v>0.99993900000000002</v>
      </c>
      <c r="Q299">
        <v>1.000003</v>
      </c>
      <c r="R299">
        <v>1.000003</v>
      </c>
      <c r="S299">
        <v>60606622307</v>
      </c>
      <c r="T299">
        <v>1.000038</v>
      </c>
      <c r="U299">
        <v>1.0004299999999999</v>
      </c>
      <c r="V299">
        <v>0.99974399999999997</v>
      </c>
      <c r="W299">
        <v>1.000162</v>
      </c>
      <c r="X299">
        <v>1.000162</v>
      </c>
      <c r="Y299">
        <v>7140693834</v>
      </c>
      <c r="Z299">
        <v>0.48137400000000002</v>
      </c>
      <c r="AA299">
        <v>0.481406</v>
      </c>
      <c r="AB299">
        <v>0.46386899999999998</v>
      </c>
      <c r="AC299">
        <v>0.465644</v>
      </c>
      <c r="AD299">
        <v>0.465644</v>
      </c>
      <c r="AE299">
        <v>685227625</v>
      </c>
      <c r="AK299" s="1">
        <v>44819</v>
      </c>
      <c r="AL299">
        <f t="shared" si="4"/>
        <v>1635.0830080000001</v>
      </c>
      <c r="AM299">
        <f>INDEX(A:AE,MATCH(AK299,worksheet!A:A,0),MATCH(worksheet!AM298,worksheet!A298:AE298,0))</f>
        <v>20242.289063</v>
      </c>
      <c r="AN299">
        <f>INDEX(A:AE,MATCH(AK299,worksheet!A:A,0),MATCH(worksheet!AN298,worksheet!A298:AE298,0))</f>
        <v>0.48137400000000002</v>
      </c>
      <c r="AO299">
        <f>INDEX(A:AE,MATCH(AK299,worksheet!A:A,0),MATCH(worksheet!AO298,worksheet!A298:AE298,0))</f>
        <v>1.000138</v>
      </c>
      <c r="AP299">
        <f>INDEX(A:AE,MATCH(AK299,worksheet!A:A,0),MATCH(worksheet!AP298,worksheet!A298:AE298,0))</f>
        <v>1.000275</v>
      </c>
    </row>
    <row r="300" spans="1:42" x14ac:dyDescent="0.25">
      <c r="A300" s="1">
        <v>44820</v>
      </c>
      <c r="B300">
        <v>1471.928345</v>
      </c>
      <c r="C300">
        <v>1480.5642089999999</v>
      </c>
      <c r="D300">
        <v>1415.5812989999999</v>
      </c>
      <c r="E300">
        <v>1432.447754</v>
      </c>
      <c r="F300">
        <v>1432.447754</v>
      </c>
      <c r="G300">
        <v>16764804299</v>
      </c>
      <c r="H300">
        <v>19704.005859000001</v>
      </c>
      <c r="I300">
        <v>19870.628906000002</v>
      </c>
      <c r="J300">
        <v>19400.076172000001</v>
      </c>
      <c r="K300">
        <v>19772.583984000001</v>
      </c>
      <c r="L300">
        <v>19772.583984000001</v>
      </c>
      <c r="M300">
        <v>30123362273</v>
      </c>
      <c r="N300">
        <v>1.0000020000000001</v>
      </c>
      <c r="O300">
        <v>1.000095</v>
      </c>
      <c r="P300">
        <v>0.99989099999999997</v>
      </c>
      <c r="Q300">
        <v>0.99998100000000001</v>
      </c>
      <c r="R300">
        <v>0.99998100000000001</v>
      </c>
      <c r="S300">
        <v>46290851147</v>
      </c>
      <c r="T300">
        <v>1.00017</v>
      </c>
      <c r="U300">
        <v>1.0003359999999999</v>
      </c>
      <c r="V300">
        <v>0.99974700000000005</v>
      </c>
      <c r="W300">
        <v>1.0001180000000001</v>
      </c>
      <c r="X300">
        <v>1.0001180000000001</v>
      </c>
      <c r="Y300">
        <v>5765020468</v>
      </c>
      <c r="Z300">
        <v>0.46570299999999998</v>
      </c>
      <c r="AA300">
        <v>0.47413</v>
      </c>
      <c r="AB300">
        <v>0.45601900000000001</v>
      </c>
      <c r="AC300">
        <v>0.47412599999999999</v>
      </c>
      <c r="AD300">
        <v>0.47412599999999999</v>
      </c>
      <c r="AE300">
        <v>558761609</v>
      </c>
      <c r="AK300" s="1">
        <v>44820</v>
      </c>
      <c r="AL300">
        <f t="shared" si="4"/>
        <v>1471.928345</v>
      </c>
      <c r="AM300">
        <f>INDEX(A:AE,MATCH(AK300,worksheet!A:A,0),MATCH(worksheet!AM299,worksheet!A299:AE299,0))</f>
        <v>19704.005859000001</v>
      </c>
      <c r="AN300">
        <f>INDEX(A:AE,MATCH(AK300,worksheet!A:A,0),MATCH(worksheet!AN299,worksheet!A299:AE299,0))</f>
        <v>0.46570299999999998</v>
      </c>
      <c r="AO300">
        <f>INDEX(A:AE,MATCH(AK300,worksheet!A:A,0),MATCH(worksheet!AO299,worksheet!A299:AE299,0))</f>
        <v>1.0000020000000001</v>
      </c>
      <c r="AP300">
        <f>INDEX(A:AE,MATCH(AK300,worksheet!A:A,0),MATCH(worksheet!AP299,worksheet!A299:AE299,0))</f>
        <v>1.000095</v>
      </c>
    </row>
    <row r="301" spans="1:42" x14ac:dyDescent="0.25">
      <c r="A301" s="1">
        <v>44821</v>
      </c>
      <c r="B301">
        <v>1432.8764650000001</v>
      </c>
      <c r="C301">
        <v>1473.0604249999999</v>
      </c>
      <c r="D301">
        <v>1415.0423579999999</v>
      </c>
      <c r="E301">
        <v>1469.7416989999999</v>
      </c>
      <c r="F301">
        <v>1469.7416989999999</v>
      </c>
      <c r="G301">
        <v>10798098671</v>
      </c>
      <c r="H301">
        <v>19777.033202999999</v>
      </c>
      <c r="I301">
        <v>20162.53125</v>
      </c>
      <c r="J301">
        <v>19777.033202999999</v>
      </c>
      <c r="K301">
        <v>20127.576172000001</v>
      </c>
      <c r="L301">
        <v>20127.576172000001</v>
      </c>
      <c r="M301">
        <v>24957448100</v>
      </c>
      <c r="N301">
        <v>0.99998200000000004</v>
      </c>
      <c r="O301">
        <v>1.0001370000000001</v>
      </c>
      <c r="P301">
        <v>0.99994499999999997</v>
      </c>
      <c r="Q301">
        <v>1.0000979999999999</v>
      </c>
      <c r="R301">
        <v>1.0000979999999999</v>
      </c>
      <c r="S301">
        <v>34904822689</v>
      </c>
      <c r="T301">
        <v>1.0000770000000001</v>
      </c>
      <c r="U301">
        <v>1.000283</v>
      </c>
      <c r="V301">
        <v>0.99985599999999997</v>
      </c>
      <c r="W301">
        <v>1.000032</v>
      </c>
      <c r="X301">
        <v>1.000032</v>
      </c>
      <c r="Y301">
        <v>3630797018</v>
      </c>
      <c r="Z301">
        <v>0.474221</v>
      </c>
      <c r="AA301">
        <v>0.48772599999999999</v>
      </c>
      <c r="AB301">
        <v>0.47309899999999999</v>
      </c>
      <c r="AC301">
        <v>0.48715599999999998</v>
      </c>
      <c r="AD301">
        <v>0.48715599999999998</v>
      </c>
      <c r="AE301">
        <v>511814025</v>
      </c>
      <c r="AK301" s="1">
        <v>44821</v>
      </c>
      <c r="AL301">
        <f t="shared" si="4"/>
        <v>1432.8764650000001</v>
      </c>
      <c r="AM301">
        <f>INDEX(A:AE,MATCH(AK301,worksheet!A:A,0),MATCH(worksheet!AM300,worksheet!A300:AE300,0))</f>
        <v>19777.033202999999</v>
      </c>
      <c r="AN301">
        <f>INDEX(A:AE,MATCH(AK301,worksheet!A:A,0),MATCH(worksheet!AN300,worksheet!A300:AE300,0))</f>
        <v>0.474221</v>
      </c>
      <c r="AO301">
        <f>INDEX(A:AE,MATCH(AK301,worksheet!A:A,0),MATCH(worksheet!AO300,worksheet!A300:AE300,0))</f>
        <v>0.99998200000000004</v>
      </c>
      <c r="AP301">
        <f>INDEX(A:AE,MATCH(AK301,worksheet!A:A,0),MATCH(worksheet!AP300,worksheet!A300:AE300,0))</f>
        <v>1.0001370000000001</v>
      </c>
    </row>
    <row r="302" spans="1:42" x14ac:dyDescent="0.25">
      <c r="A302" s="1">
        <v>44822</v>
      </c>
      <c r="B302">
        <v>1469.7054439999999</v>
      </c>
      <c r="C302">
        <v>1469.7054439999999</v>
      </c>
      <c r="D302">
        <v>1331.494751</v>
      </c>
      <c r="E302">
        <v>1335.3291019999999</v>
      </c>
      <c r="F302">
        <v>1335.3291019999999</v>
      </c>
      <c r="G302">
        <v>15762284723</v>
      </c>
      <c r="H302">
        <v>20127.234375</v>
      </c>
      <c r="I302">
        <v>20127.234375</v>
      </c>
      <c r="J302">
        <v>19387.492188</v>
      </c>
      <c r="K302">
        <v>19419.505859000001</v>
      </c>
      <c r="L302">
        <v>19419.505859000001</v>
      </c>
      <c r="M302">
        <v>31254779144</v>
      </c>
      <c r="N302">
        <v>1.0000960000000001</v>
      </c>
      <c r="O302">
        <v>1.0001450000000001</v>
      </c>
      <c r="P302">
        <v>0.99994899999999998</v>
      </c>
      <c r="Q302">
        <v>1.0000230000000001</v>
      </c>
      <c r="R302">
        <v>1.0000230000000001</v>
      </c>
      <c r="S302">
        <v>46056427438</v>
      </c>
      <c r="T302">
        <v>1.000081</v>
      </c>
      <c r="U302">
        <v>1.0002390000000001</v>
      </c>
      <c r="V302">
        <v>0.99965099999999996</v>
      </c>
      <c r="W302">
        <v>1.0000770000000001</v>
      </c>
      <c r="X302">
        <v>1.0000770000000001</v>
      </c>
      <c r="Y302">
        <v>4028540366</v>
      </c>
      <c r="Z302">
        <v>0.487091</v>
      </c>
      <c r="AA302">
        <v>0.48962099999999997</v>
      </c>
      <c r="AB302">
        <v>0.44465500000000002</v>
      </c>
      <c r="AC302">
        <v>0.44718599999999997</v>
      </c>
      <c r="AD302">
        <v>0.44718599999999997</v>
      </c>
      <c r="AE302">
        <v>677522389</v>
      </c>
      <c r="AK302" s="1">
        <v>44822</v>
      </c>
      <c r="AL302">
        <f t="shared" si="4"/>
        <v>1469.7054439999999</v>
      </c>
      <c r="AM302">
        <f>INDEX(A:AE,MATCH(AK302,worksheet!A:A,0),MATCH(worksheet!AM301,worksheet!A301:AE301,0))</f>
        <v>20127.234375</v>
      </c>
      <c r="AN302">
        <f>INDEX(A:AE,MATCH(AK302,worksheet!A:A,0),MATCH(worksheet!AN301,worksheet!A301:AE301,0))</f>
        <v>0.487091</v>
      </c>
      <c r="AO302">
        <f>INDEX(A:AE,MATCH(AK302,worksheet!A:A,0),MATCH(worksheet!AO301,worksheet!A301:AE301,0))</f>
        <v>1.0000960000000001</v>
      </c>
      <c r="AP302">
        <f>INDEX(A:AE,MATCH(AK302,worksheet!A:A,0),MATCH(worksheet!AP301,worksheet!A301:AE301,0))</f>
        <v>1.0001450000000001</v>
      </c>
    </row>
    <row r="303" spans="1:42" x14ac:dyDescent="0.25">
      <c r="A303" s="1">
        <v>44823</v>
      </c>
      <c r="B303">
        <v>1335.2707519999999</v>
      </c>
      <c r="C303">
        <v>1388.272217</v>
      </c>
      <c r="D303">
        <v>1287.4208980000001</v>
      </c>
      <c r="E303">
        <v>1377.5413820000001</v>
      </c>
      <c r="F303">
        <v>1377.5413820000001</v>
      </c>
      <c r="G303">
        <v>18712714223</v>
      </c>
      <c r="H303">
        <v>19418.572265999999</v>
      </c>
      <c r="I303">
        <v>19639.480468999998</v>
      </c>
      <c r="J303">
        <v>18390.318359000001</v>
      </c>
      <c r="K303">
        <v>19544.128906000002</v>
      </c>
      <c r="L303">
        <v>19544.128906000002</v>
      </c>
      <c r="M303">
        <v>40177002624</v>
      </c>
      <c r="N303">
        <v>1.000008</v>
      </c>
      <c r="O303">
        <v>1.000175</v>
      </c>
      <c r="P303">
        <v>0.99994499999999997</v>
      </c>
      <c r="Q303">
        <v>1.0001059999999999</v>
      </c>
      <c r="R303">
        <v>1.0001059999999999</v>
      </c>
      <c r="S303">
        <v>56769197831</v>
      </c>
      <c r="T303">
        <v>0.99999400000000005</v>
      </c>
      <c r="U303">
        <v>1.0004500000000001</v>
      </c>
      <c r="V303">
        <v>0.999668</v>
      </c>
      <c r="W303">
        <v>0.99987300000000001</v>
      </c>
      <c r="X303">
        <v>0.99987300000000001</v>
      </c>
      <c r="Y303">
        <v>5448220572</v>
      </c>
      <c r="Z303">
        <v>0.44728299999999999</v>
      </c>
      <c r="AA303">
        <v>0.45568500000000001</v>
      </c>
      <c r="AB303">
        <v>0.434388</v>
      </c>
      <c r="AC303">
        <v>0.45350400000000002</v>
      </c>
      <c r="AD303">
        <v>0.45350400000000002</v>
      </c>
      <c r="AE303">
        <v>776470650</v>
      </c>
      <c r="AK303" s="1">
        <v>44823</v>
      </c>
      <c r="AL303">
        <f t="shared" si="4"/>
        <v>1335.2707519999999</v>
      </c>
      <c r="AM303">
        <f>INDEX(A:AE,MATCH(AK303,worksheet!A:A,0),MATCH(worksheet!AM302,worksheet!A302:AE302,0))</f>
        <v>19418.572265999999</v>
      </c>
      <c r="AN303">
        <f>INDEX(A:AE,MATCH(AK303,worksheet!A:A,0),MATCH(worksheet!AN302,worksheet!A302:AE302,0))</f>
        <v>0.44728299999999999</v>
      </c>
      <c r="AO303">
        <f>INDEX(A:AE,MATCH(AK303,worksheet!A:A,0),MATCH(worksheet!AO302,worksheet!A302:AE302,0))</f>
        <v>1.000008</v>
      </c>
      <c r="AP303">
        <f>INDEX(A:AE,MATCH(AK303,worksheet!A:A,0),MATCH(worksheet!AP302,worksheet!A302:AE302,0))</f>
        <v>1.000175</v>
      </c>
    </row>
    <row r="304" spans="1:42" x14ac:dyDescent="0.25">
      <c r="A304" s="1">
        <v>44824</v>
      </c>
      <c r="B304">
        <v>1377.619019</v>
      </c>
      <c r="C304">
        <v>1381.965698</v>
      </c>
      <c r="D304">
        <v>1319.2014160000001</v>
      </c>
      <c r="E304">
        <v>1324.3881839999999</v>
      </c>
      <c r="F304">
        <v>1324.3881839999999</v>
      </c>
      <c r="G304">
        <v>14722317220</v>
      </c>
      <c r="H304">
        <v>19545.591797000001</v>
      </c>
      <c r="I304">
        <v>19602.457031000002</v>
      </c>
      <c r="J304">
        <v>18813.455077999999</v>
      </c>
      <c r="K304">
        <v>18890.789063</v>
      </c>
      <c r="L304">
        <v>18890.789063</v>
      </c>
      <c r="M304">
        <v>36791346508</v>
      </c>
      <c r="N304">
        <v>1.0001040000000001</v>
      </c>
      <c r="O304">
        <v>1.000194</v>
      </c>
      <c r="P304">
        <v>1.0000370000000001</v>
      </c>
      <c r="Q304">
        <v>1.0000599999999999</v>
      </c>
      <c r="R304">
        <v>1.0000599999999999</v>
      </c>
      <c r="S304">
        <v>50515394641</v>
      </c>
      <c r="T304">
        <v>0.99990199999999996</v>
      </c>
      <c r="U304">
        <v>1.000308</v>
      </c>
      <c r="V304">
        <v>0.99960000000000004</v>
      </c>
      <c r="W304">
        <v>0.99994799999999995</v>
      </c>
      <c r="X304">
        <v>0.99994799999999995</v>
      </c>
      <c r="Y304">
        <v>4922676526</v>
      </c>
      <c r="Z304">
        <v>0.45354299999999997</v>
      </c>
      <c r="AA304">
        <v>0.454071</v>
      </c>
      <c r="AB304">
        <v>0.43881399999999998</v>
      </c>
      <c r="AC304">
        <v>0.44189899999999999</v>
      </c>
      <c r="AD304">
        <v>0.44189899999999999</v>
      </c>
      <c r="AE304">
        <v>544680283</v>
      </c>
      <c r="AK304" s="1">
        <v>44824</v>
      </c>
      <c r="AL304">
        <f t="shared" si="4"/>
        <v>1377.619019</v>
      </c>
      <c r="AM304">
        <f>INDEX(A:AE,MATCH(AK304,worksheet!A:A,0),MATCH(worksheet!AM303,worksheet!A303:AE303,0))</f>
        <v>19545.591797000001</v>
      </c>
      <c r="AN304">
        <f>INDEX(A:AE,MATCH(AK304,worksheet!A:A,0),MATCH(worksheet!AN303,worksheet!A303:AE303,0))</f>
        <v>0.45354299999999997</v>
      </c>
      <c r="AO304">
        <f>INDEX(A:AE,MATCH(AK304,worksheet!A:A,0),MATCH(worksheet!AO303,worksheet!A303:AE303,0))</f>
        <v>1.0001040000000001</v>
      </c>
      <c r="AP304">
        <f>INDEX(A:AE,MATCH(AK304,worksheet!A:A,0),MATCH(worksheet!AP303,worksheet!A303:AE303,0))</f>
        <v>1.000194</v>
      </c>
    </row>
    <row r="305" spans="1:42" x14ac:dyDescent="0.25">
      <c r="A305" s="1">
        <v>44825</v>
      </c>
      <c r="B305">
        <v>1324.2155760000001</v>
      </c>
      <c r="C305">
        <v>1384.4769289999999</v>
      </c>
      <c r="D305">
        <v>1229.4267580000001</v>
      </c>
      <c r="E305">
        <v>1252.607788</v>
      </c>
      <c r="F305">
        <v>1252.607788</v>
      </c>
      <c r="G305">
        <v>20643507800</v>
      </c>
      <c r="H305">
        <v>18891.283202999999</v>
      </c>
      <c r="I305">
        <v>19674.630859000001</v>
      </c>
      <c r="J305">
        <v>18290.314452999999</v>
      </c>
      <c r="K305">
        <v>18547.400390999999</v>
      </c>
      <c r="L305">
        <v>18547.400390999999</v>
      </c>
      <c r="M305">
        <v>46363793975</v>
      </c>
      <c r="N305">
        <v>1.0000549999999999</v>
      </c>
      <c r="O305">
        <v>1.000194</v>
      </c>
      <c r="P305">
        <v>1.0000329999999999</v>
      </c>
      <c r="Q305">
        <v>1.000086</v>
      </c>
      <c r="R305">
        <v>1.000086</v>
      </c>
      <c r="S305">
        <v>63560607050</v>
      </c>
      <c r="T305">
        <v>0.999915</v>
      </c>
      <c r="U305">
        <v>1.0006930000000001</v>
      </c>
      <c r="V305">
        <v>0.99934900000000004</v>
      </c>
      <c r="W305">
        <v>1.000113</v>
      </c>
      <c r="X305">
        <v>1.000113</v>
      </c>
      <c r="Y305">
        <v>5956755763</v>
      </c>
      <c r="Z305">
        <v>0.44195099999999998</v>
      </c>
      <c r="AA305">
        <v>0.46184199999999997</v>
      </c>
      <c r="AB305">
        <v>0.43254599999999999</v>
      </c>
      <c r="AC305">
        <v>0.44115900000000002</v>
      </c>
      <c r="AD305">
        <v>0.44115900000000002</v>
      </c>
      <c r="AE305">
        <v>1223771049</v>
      </c>
      <c r="AK305" s="1">
        <v>44825</v>
      </c>
      <c r="AL305">
        <f t="shared" si="4"/>
        <v>1324.2155760000001</v>
      </c>
      <c r="AM305">
        <f>INDEX(A:AE,MATCH(AK305,worksheet!A:A,0),MATCH(worksheet!AM304,worksheet!A304:AE304,0))</f>
        <v>18891.283202999999</v>
      </c>
      <c r="AN305">
        <f>INDEX(A:AE,MATCH(AK305,worksheet!A:A,0),MATCH(worksheet!AN304,worksheet!A304:AE304,0))</f>
        <v>0.44195099999999998</v>
      </c>
      <c r="AO305">
        <f>INDEX(A:AE,MATCH(AK305,worksheet!A:A,0),MATCH(worksheet!AO304,worksheet!A304:AE304,0))</f>
        <v>1.0000549999999999</v>
      </c>
      <c r="AP305">
        <f>INDEX(A:AE,MATCH(AK305,worksheet!A:A,0),MATCH(worksheet!AP304,worksheet!A304:AE304,0))</f>
        <v>1.000194</v>
      </c>
    </row>
    <row r="306" spans="1:42" x14ac:dyDescent="0.25">
      <c r="A306" s="1">
        <v>44826</v>
      </c>
      <c r="B306">
        <v>1251.5673830000001</v>
      </c>
      <c r="C306">
        <v>1336.157837</v>
      </c>
      <c r="D306">
        <v>1240.9682620000001</v>
      </c>
      <c r="E306">
        <v>1327.6801760000001</v>
      </c>
      <c r="F306">
        <v>1327.6801760000001</v>
      </c>
      <c r="G306">
        <v>18461527259</v>
      </c>
      <c r="H306">
        <v>18534.650390999999</v>
      </c>
      <c r="I306">
        <v>19456.910156000002</v>
      </c>
      <c r="J306">
        <v>18415.591797000001</v>
      </c>
      <c r="K306">
        <v>19413.550781000002</v>
      </c>
      <c r="L306">
        <v>19413.550781000002</v>
      </c>
      <c r="M306">
        <v>41135767926</v>
      </c>
      <c r="N306">
        <v>1.0001059999999999</v>
      </c>
      <c r="O306">
        <v>1.0001720000000001</v>
      </c>
      <c r="P306">
        <v>0.99997100000000005</v>
      </c>
      <c r="Q306">
        <v>0.99998399999999998</v>
      </c>
      <c r="R306">
        <v>0.99998399999999998</v>
      </c>
      <c r="S306">
        <v>54330130153</v>
      </c>
      <c r="T306">
        <v>1.0001340000000001</v>
      </c>
      <c r="U306">
        <v>1.000488</v>
      </c>
      <c r="V306">
        <v>0.99961299999999997</v>
      </c>
      <c r="W306">
        <v>0.99992000000000003</v>
      </c>
      <c r="X306">
        <v>0.99992000000000003</v>
      </c>
      <c r="Y306">
        <v>5233558179</v>
      </c>
      <c r="Z306">
        <v>0.44087599999999999</v>
      </c>
      <c r="AA306">
        <v>0.465499</v>
      </c>
      <c r="AB306">
        <v>0.43570999999999999</v>
      </c>
      <c r="AC306">
        <v>0.45896599999999999</v>
      </c>
      <c r="AD306">
        <v>0.45896599999999999</v>
      </c>
      <c r="AE306">
        <v>762487961</v>
      </c>
      <c r="AK306" s="1">
        <v>44826</v>
      </c>
      <c r="AL306">
        <f t="shared" si="4"/>
        <v>1251.5673830000001</v>
      </c>
      <c r="AM306">
        <f>INDEX(A:AE,MATCH(AK306,worksheet!A:A,0),MATCH(worksheet!AM305,worksheet!A305:AE305,0))</f>
        <v>18534.650390999999</v>
      </c>
      <c r="AN306">
        <f>INDEX(A:AE,MATCH(AK306,worksheet!A:A,0),MATCH(worksheet!AN305,worksheet!A305:AE305,0))</f>
        <v>0.44087599999999999</v>
      </c>
      <c r="AO306">
        <f>INDEX(A:AE,MATCH(AK306,worksheet!A:A,0),MATCH(worksheet!AO305,worksheet!A305:AE305,0))</f>
        <v>1.0001059999999999</v>
      </c>
      <c r="AP306">
        <f>INDEX(A:AE,MATCH(AK306,worksheet!A:A,0),MATCH(worksheet!AP305,worksheet!A305:AE305,0))</f>
        <v>1.0001720000000001</v>
      </c>
    </row>
    <row r="307" spans="1:42" x14ac:dyDescent="0.25">
      <c r="A307" s="1">
        <v>44827</v>
      </c>
      <c r="B307">
        <v>1327.4812010000001</v>
      </c>
      <c r="C307">
        <v>1353.2883300000001</v>
      </c>
      <c r="D307">
        <v>1270.1983640000001</v>
      </c>
      <c r="E307">
        <v>1328.2595209999999</v>
      </c>
      <c r="F307">
        <v>1328.2595209999999</v>
      </c>
      <c r="G307">
        <v>18771106339</v>
      </c>
      <c r="H307">
        <v>19412.400390999999</v>
      </c>
      <c r="I307">
        <v>19464.671875</v>
      </c>
      <c r="J307">
        <v>18617.552734000001</v>
      </c>
      <c r="K307">
        <v>19297.638672000001</v>
      </c>
      <c r="L307">
        <v>19297.638672000001</v>
      </c>
      <c r="M307">
        <v>38896078052</v>
      </c>
      <c r="N307">
        <v>0.99999400000000005</v>
      </c>
      <c r="O307">
        <v>1.000048</v>
      </c>
      <c r="P307">
        <v>0.999946</v>
      </c>
      <c r="Q307">
        <v>0.99998100000000001</v>
      </c>
      <c r="R307">
        <v>0.99998100000000001</v>
      </c>
      <c r="S307">
        <v>58265731392</v>
      </c>
      <c r="T307">
        <v>0.999946</v>
      </c>
      <c r="U307">
        <v>1.000386</v>
      </c>
      <c r="V307">
        <v>0.99972000000000005</v>
      </c>
      <c r="W307">
        <v>0.99999300000000002</v>
      </c>
      <c r="X307">
        <v>0.99999300000000002</v>
      </c>
      <c r="Y307">
        <v>5282910708</v>
      </c>
      <c r="Z307">
        <v>0.458951</v>
      </c>
      <c r="AA307">
        <v>0.47910799999999998</v>
      </c>
      <c r="AB307">
        <v>0.44835199999999997</v>
      </c>
      <c r="AC307">
        <v>0.46182099999999998</v>
      </c>
      <c r="AD307">
        <v>0.46182099999999998</v>
      </c>
      <c r="AE307">
        <v>1025328778</v>
      </c>
      <c r="AK307" s="1">
        <v>44827</v>
      </c>
      <c r="AL307">
        <f t="shared" si="4"/>
        <v>1327.4812010000001</v>
      </c>
      <c r="AM307">
        <f>INDEX(A:AE,MATCH(AK307,worksheet!A:A,0),MATCH(worksheet!AM306,worksheet!A306:AE306,0))</f>
        <v>19412.400390999999</v>
      </c>
      <c r="AN307">
        <f>INDEX(A:AE,MATCH(AK307,worksheet!A:A,0),MATCH(worksheet!AN306,worksheet!A306:AE306,0))</f>
        <v>0.458951</v>
      </c>
      <c r="AO307">
        <f>INDEX(A:AE,MATCH(AK307,worksheet!A:A,0),MATCH(worksheet!AO306,worksheet!A306:AE306,0))</f>
        <v>0.99999400000000005</v>
      </c>
      <c r="AP307">
        <f>INDEX(A:AE,MATCH(AK307,worksheet!A:A,0),MATCH(worksheet!AP306,worksheet!A306:AE306,0))</f>
        <v>1.000048</v>
      </c>
    </row>
    <row r="308" spans="1:42" x14ac:dyDescent="0.25">
      <c r="A308" s="1">
        <v>44828</v>
      </c>
      <c r="B308">
        <v>1328.244629</v>
      </c>
      <c r="C308">
        <v>1346.255249</v>
      </c>
      <c r="D308">
        <v>1312.640259</v>
      </c>
      <c r="E308">
        <v>1317.9932859999999</v>
      </c>
      <c r="F308">
        <v>1317.9932859999999</v>
      </c>
      <c r="G308">
        <v>12098209717</v>
      </c>
      <c r="H308">
        <v>19296.990234000001</v>
      </c>
      <c r="I308">
        <v>19310.197265999999</v>
      </c>
      <c r="J308">
        <v>18861.974609000001</v>
      </c>
      <c r="K308">
        <v>18937.011718999998</v>
      </c>
      <c r="L308">
        <v>18937.011718999998</v>
      </c>
      <c r="M308">
        <v>26149643168</v>
      </c>
      <c r="N308">
        <v>0.99998200000000004</v>
      </c>
      <c r="O308">
        <v>1.000102</v>
      </c>
      <c r="P308">
        <v>0.99995500000000004</v>
      </c>
      <c r="Q308">
        <v>1.0000500000000001</v>
      </c>
      <c r="R308">
        <v>1.0000500000000001</v>
      </c>
      <c r="S308">
        <v>39015165939</v>
      </c>
      <c r="T308">
        <v>1.0000100000000001</v>
      </c>
      <c r="U308">
        <v>1.000243</v>
      </c>
      <c r="V308">
        <v>0.99964699999999995</v>
      </c>
      <c r="W308">
        <v>0.999973</v>
      </c>
      <c r="X308">
        <v>0.999973</v>
      </c>
      <c r="Y308">
        <v>3875334932</v>
      </c>
      <c r="Z308">
        <v>0.46183000000000002</v>
      </c>
      <c r="AA308">
        <v>0.46709600000000001</v>
      </c>
      <c r="AB308">
        <v>0.45129399999999997</v>
      </c>
      <c r="AC308">
        <v>0.4516</v>
      </c>
      <c r="AD308">
        <v>0.4516</v>
      </c>
      <c r="AE308">
        <v>582129449</v>
      </c>
      <c r="AK308" s="1">
        <v>44828</v>
      </c>
      <c r="AL308">
        <f t="shared" si="4"/>
        <v>1328.244629</v>
      </c>
      <c r="AM308">
        <f>INDEX(A:AE,MATCH(AK308,worksheet!A:A,0),MATCH(worksheet!AM307,worksheet!A307:AE307,0))</f>
        <v>19296.990234000001</v>
      </c>
      <c r="AN308">
        <f>INDEX(A:AE,MATCH(AK308,worksheet!A:A,0),MATCH(worksheet!AN307,worksheet!A307:AE307,0))</f>
        <v>0.46183000000000002</v>
      </c>
      <c r="AO308">
        <f>INDEX(A:AE,MATCH(AK308,worksheet!A:A,0),MATCH(worksheet!AO307,worksheet!A307:AE307,0))</f>
        <v>0.99998200000000004</v>
      </c>
      <c r="AP308">
        <f>INDEX(A:AE,MATCH(AK308,worksheet!A:A,0),MATCH(worksheet!AP307,worksheet!A307:AE307,0))</f>
        <v>1.000102</v>
      </c>
    </row>
    <row r="309" spans="1:42" x14ac:dyDescent="0.25">
      <c r="A309" s="1">
        <v>44829</v>
      </c>
      <c r="B309">
        <v>1317.9384769999999</v>
      </c>
      <c r="C309">
        <v>1333.3713379999999</v>
      </c>
      <c r="D309">
        <v>1275.627686</v>
      </c>
      <c r="E309">
        <v>1294.216797</v>
      </c>
      <c r="F309">
        <v>1294.216797</v>
      </c>
      <c r="G309">
        <v>11802651633</v>
      </c>
      <c r="H309">
        <v>18936.310547000001</v>
      </c>
      <c r="I309">
        <v>19134.732422000001</v>
      </c>
      <c r="J309">
        <v>18696.46875</v>
      </c>
      <c r="K309">
        <v>18802.097656000002</v>
      </c>
      <c r="L309">
        <v>18802.097656000002</v>
      </c>
      <c r="M309">
        <v>23359966112</v>
      </c>
      <c r="N309">
        <v>1.0000530000000001</v>
      </c>
      <c r="O309">
        <v>1.0001370000000001</v>
      </c>
      <c r="P309">
        <v>1.000024</v>
      </c>
      <c r="Q309">
        <v>1.0000549999999999</v>
      </c>
      <c r="R309">
        <v>1.0000549999999999</v>
      </c>
      <c r="S309">
        <v>35041309688</v>
      </c>
      <c r="T309">
        <v>0.99996799999999997</v>
      </c>
      <c r="U309">
        <v>1.0003010000000001</v>
      </c>
      <c r="V309">
        <v>0.99981699999999996</v>
      </c>
      <c r="W309">
        <v>0.99996799999999997</v>
      </c>
      <c r="X309">
        <v>0.99996799999999997</v>
      </c>
      <c r="Y309">
        <v>3878358168</v>
      </c>
      <c r="Z309">
        <v>0.45159899999999997</v>
      </c>
      <c r="AA309">
        <v>0.46177299999999999</v>
      </c>
      <c r="AB309">
        <v>0.440216</v>
      </c>
      <c r="AC309">
        <v>0.44618799999999997</v>
      </c>
      <c r="AD309">
        <v>0.44618799999999997</v>
      </c>
      <c r="AE309">
        <v>528836100</v>
      </c>
      <c r="AK309" s="1">
        <v>44829</v>
      </c>
      <c r="AL309">
        <f t="shared" si="4"/>
        <v>1317.9384769999999</v>
      </c>
      <c r="AM309">
        <f>INDEX(A:AE,MATCH(AK309,worksheet!A:A,0),MATCH(worksheet!AM308,worksheet!A308:AE308,0))</f>
        <v>18936.310547000001</v>
      </c>
      <c r="AN309">
        <f>INDEX(A:AE,MATCH(AK309,worksheet!A:A,0),MATCH(worksheet!AN308,worksheet!A308:AE308,0))</f>
        <v>0.45159899999999997</v>
      </c>
      <c r="AO309">
        <f>INDEX(A:AE,MATCH(AK309,worksheet!A:A,0),MATCH(worksheet!AO308,worksheet!A308:AE308,0))</f>
        <v>1.0000530000000001</v>
      </c>
      <c r="AP309">
        <f>INDEX(A:AE,MATCH(AK309,worksheet!A:A,0),MATCH(worksheet!AP308,worksheet!A308:AE308,0))</f>
        <v>1.0001370000000001</v>
      </c>
    </row>
    <row r="310" spans="1:42" x14ac:dyDescent="0.25">
      <c r="A310" s="1">
        <v>44830</v>
      </c>
      <c r="B310">
        <v>1294.3861079999999</v>
      </c>
      <c r="C310">
        <v>1335.5263669999999</v>
      </c>
      <c r="D310">
        <v>1282.0493160000001</v>
      </c>
      <c r="E310">
        <v>1335.3201899999999</v>
      </c>
      <c r="F310">
        <v>1335.3201899999999</v>
      </c>
      <c r="G310">
        <v>16034549271</v>
      </c>
      <c r="H310">
        <v>18803.900390999999</v>
      </c>
      <c r="I310">
        <v>19274.873047000001</v>
      </c>
      <c r="J310">
        <v>18721.285156000002</v>
      </c>
      <c r="K310">
        <v>19222.671875</v>
      </c>
      <c r="L310">
        <v>19222.671875</v>
      </c>
      <c r="M310">
        <v>44148798321</v>
      </c>
      <c r="N310">
        <v>1.0000469999999999</v>
      </c>
      <c r="O310">
        <v>1.000157</v>
      </c>
      <c r="P310">
        <v>0.99995000000000001</v>
      </c>
      <c r="Q310">
        <v>0.99999000000000005</v>
      </c>
      <c r="R310">
        <v>0.99999000000000005</v>
      </c>
      <c r="S310">
        <v>57810071895</v>
      </c>
      <c r="T310">
        <v>1.000049</v>
      </c>
      <c r="U310">
        <v>1.000421</v>
      </c>
      <c r="V310">
        <v>0.99974099999999999</v>
      </c>
      <c r="W310">
        <v>1.000165</v>
      </c>
      <c r="X310">
        <v>1.000165</v>
      </c>
      <c r="Y310">
        <v>3999499289</v>
      </c>
      <c r="Z310">
        <v>0.446299</v>
      </c>
      <c r="AA310">
        <v>0.45027</v>
      </c>
      <c r="AB310">
        <v>0.43823400000000001</v>
      </c>
      <c r="AC310">
        <v>0.44675700000000002</v>
      </c>
      <c r="AD310">
        <v>0.44675700000000002</v>
      </c>
      <c r="AE310">
        <v>630690579</v>
      </c>
      <c r="AK310" s="1">
        <v>44830</v>
      </c>
      <c r="AL310">
        <f t="shared" si="4"/>
        <v>1294.3861079999999</v>
      </c>
      <c r="AM310">
        <f>INDEX(A:AE,MATCH(AK310,worksheet!A:A,0),MATCH(worksheet!AM309,worksheet!A309:AE309,0))</f>
        <v>18803.900390999999</v>
      </c>
      <c r="AN310">
        <f>INDEX(A:AE,MATCH(AK310,worksheet!A:A,0),MATCH(worksheet!AN309,worksheet!A309:AE309,0))</f>
        <v>0.446299</v>
      </c>
      <c r="AO310">
        <f>INDEX(A:AE,MATCH(AK310,worksheet!A:A,0),MATCH(worksheet!AO309,worksheet!A309:AE309,0))</f>
        <v>1.0000469999999999</v>
      </c>
      <c r="AP310">
        <f>INDEX(A:AE,MATCH(AK310,worksheet!A:A,0),MATCH(worksheet!AP309,worksheet!A309:AE309,0))</f>
        <v>1.000157</v>
      </c>
    </row>
    <row r="311" spans="1:42" x14ac:dyDescent="0.25">
      <c r="A311" s="1">
        <v>44831</v>
      </c>
      <c r="B311">
        <v>1335.3370359999999</v>
      </c>
      <c r="C311">
        <v>1396.8914789999999</v>
      </c>
      <c r="D311">
        <v>1308.9914550000001</v>
      </c>
      <c r="E311">
        <v>1330.127686</v>
      </c>
      <c r="F311">
        <v>1330.127686</v>
      </c>
      <c r="G311">
        <v>17870598937</v>
      </c>
      <c r="H311">
        <v>19221.839843999998</v>
      </c>
      <c r="I311">
        <v>20338.455077999999</v>
      </c>
      <c r="J311">
        <v>18915.667968999998</v>
      </c>
      <c r="K311">
        <v>19110.546875</v>
      </c>
      <c r="L311">
        <v>19110.546875</v>
      </c>
      <c r="M311">
        <v>58571439619</v>
      </c>
      <c r="N311">
        <v>0.99998399999999998</v>
      </c>
      <c r="O311">
        <v>1.0000960000000001</v>
      </c>
      <c r="P311">
        <v>0.99995100000000003</v>
      </c>
      <c r="Q311">
        <v>0.99997999999999998</v>
      </c>
      <c r="R311">
        <v>0.99997999999999998</v>
      </c>
      <c r="S311">
        <v>71681603882</v>
      </c>
      <c r="T311">
        <v>1.0002139999999999</v>
      </c>
      <c r="U311">
        <v>1.0004120000000001</v>
      </c>
      <c r="V311">
        <v>0.99970499999999995</v>
      </c>
      <c r="W311">
        <v>1.0001230000000001</v>
      </c>
      <c r="X311">
        <v>1.0001230000000001</v>
      </c>
      <c r="Y311">
        <v>4795683665</v>
      </c>
      <c r="Z311">
        <v>0.44681900000000002</v>
      </c>
      <c r="AA311">
        <v>0.46249400000000002</v>
      </c>
      <c r="AB311">
        <v>0.43817200000000001</v>
      </c>
      <c r="AC311">
        <v>0.44189000000000001</v>
      </c>
      <c r="AD311">
        <v>0.44189000000000001</v>
      </c>
      <c r="AE311">
        <v>683067297</v>
      </c>
      <c r="AK311" s="1">
        <v>44831</v>
      </c>
      <c r="AL311">
        <f t="shared" si="4"/>
        <v>1335.3370359999999</v>
      </c>
      <c r="AM311">
        <f>INDEX(A:AE,MATCH(AK311,worksheet!A:A,0),MATCH(worksheet!AM310,worksheet!A310:AE310,0))</f>
        <v>19221.839843999998</v>
      </c>
      <c r="AN311">
        <f>INDEX(A:AE,MATCH(AK311,worksheet!A:A,0),MATCH(worksheet!AN310,worksheet!A310:AE310,0))</f>
        <v>0.44681900000000002</v>
      </c>
      <c r="AO311">
        <f>INDEX(A:AE,MATCH(AK311,worksheet!A:A,0),MATCH(worksheet!AO310,worksheet!A310:AE310,0))</f>
        <v>0.99998399999999998</v>
      </c>
      <c r="AP311">
        <f>INDEX(A:AE,MATCH(AK311,worksheet!A:A,0),MATCH(worksheet!AP310,worksheet!A310:AE310,0))</f>
        <v>1.0000960000000001</v>
      </c>
    </row>
    <row r="312" spans="1:42" x14ac:dyDescent="0.25">
      <c r="A312" s="1">
        <v>44832</v>
      </c>
      <c r="B312">
        <v>1329.5413820000001</v>
      </c>
      <c r="C312">
        <v>1351.9644780000001</v>
      </c>
      <c r="D312">
        <v>1267.869263</v>
      </c>
      <c r="E312">
        <v>1337.410889</v>
      </c>
      <c r="F312">
        <v>1337.410889</v>
      </c>
      <c r="G312">
        <v>18994979566</v>
      </c>
      <c r="H312">
        <v>19104.621093999998</v>
      </c>
      <c r="I312">
        <v>19688.34375</v>
      </c>
      <c r="J312">
        <v>18553.296875</v>
      </c>
      <c r="K312">
        <v>19426.720702999999</v>
      </c>
      <c r="L312">
        <v>19426.720702999999</v>
      </c>
      <c r="M312">
        <v>53071298734</v>
      </c>
      <c r="N312">
        <v>0.99997800000000003</v>
      </c>
      <c r="O312">
        <v>1.0000519999999999</v>
      </c>
      <c r="P312">
        <v>0.99991099999999999</v>
      </c>
      <c r="Q312">
        <v>0.99997599999999998</v>
      </c>
      <c r="R312">
        <v>0.99997599999999998</v>
      </c>
      <c r="S312">
        <v>65738293663</v>
      </c>
      <c r="T312">
        <v>1.000054</v>
      </c>
      <c r="U312">
        <v>1.0003439999999999</v>
      </c>
      <c r="V312">
        <v>0.99976699999999996</v>
      </c>
      <c r="W312">
        <v>1.000011</v>
      </c>
      <c r="X312">
        <v>1.000011</v>
      </c>
      <c r="Y312">
        <v>4650658918</v>
      </c>
      <c r="Z312">
        <v>0.44178200000000001</v>
      </c>
      <c r="AA312">
        <v>0.44251400000000002</v>
      </c>
      <c r="AB312">
        <v>0.42641400000000002</v>
      </c>
      <c r="AC312">
        <v>0.43729000000000001</v>
      </c>
      <c r="AD312">
        <v>0.43729000000000001</v>
      </c>
      <c r="AE312">
        <v>618645006</v>
      </c>
      <c r="AK312" s="1">
        <v>44832</v>
      </c>
      <c r="AL312">
        <f t="shared" si="4"/>
        <v>1329.5413820000001</v>
      </c>
      <c r="AM312">
        <f>INDEX(A:AE,MATCH(AK312,worksheet!A:A,0),MATCH(worksheet!AM311,worksheet!A311:AE311,0))</f>
        <v>19104.621093999998</v>
      </c>
      <c r="AN312">
        <f>INDEX(A:AE,MATCH(AK312,worksheet!A:A,0),MATCH(worksheet!AN311,worksheet!A311:AE311,0))</f>
        <v>0.44178200000000001</v>
      </c>
      <c r="AO312">
        <f>INDEX(A:AE,MATCH(AK312,worksheet!A:A,0),MATCH(worksheet!AO311,worksheet!A311:AE311,0))</f>
        <v>0.99997800000000003</v>
      </c>
      <c r="AP312">
        <f>INDEX(A:AE,MATCH(AK312,worksheet!A:A,0),MATCH(worksheet!AP311,worksheet!A311:AE311,0))</f>
        <v>1.0000519999999999</v>
      </c>
    </row>
    <row r="313" spans="1:42" x14ac:dyDescent="0.25">
      <c r="A313" s="1">
        <v>44833</v>
      </c>
      <c r="B313">
        <v>1337.554443</v>
      </c>
      <c r="C313">
        <v>1348.1076660000001</v>
      </c>
      <c r="D313">
        <v>1293.1933590000001</v>
      </c>
      <c r="E313">
        <v>1335.6523440000001</v>
      </c>
      <c r="F313">
        <v>1335.6523440000001</v>
      </c>
      <c r="G313">
        <v>13796915736</v>
      </c>
      <c r="H313">
        <v>19427.779297000001</v>
      </c>
      <c r="I313">
        <v>19589.265625</v>
      </c>
      <c r="J313">
        <v>18924.353515999999</v>
      </c>
      <c r="K313">
        <v>19573.050781000002</v>
      </c>
      <c r="L313">
        <v>19573.050781000002</v>
      </c>
      <c r="M313">
        <v>41037843771</v>
      </c>
      <c r="N313">
        <v>0.99999700000000002</v>
      </c>
      <c r="O313">
        <v>1.000097</v>
      </c>
      <c r="P313">
        <v>0.99992800000000004</v>
      </c>
      <c r="Q313">
        <v>1.0000789999999999</v>
      </c>
      <c r="R313">
        <v>1.0000789999999999</v>
      </c>
      <c r="S313">
        <v>52649004466</v>
      </c>
      <c r="T313">
        <v>1.000054</v>
      </c>
      <c r="U313">
        <v>1.000319</v>
      </c>
      <c r="V313">
        <v>0.99965199999999999</v>
      </c>
      <c r="W313">
        <v>1.000124</v>
      </c>
      <c r="X313">
        <v>1.000124</v>
      </c>
      <c r="Y313">
        <v>4102135594</v>
      </c>
      <c r="Z313">
        <v>0.43730799999999997</v>
      </c>
      <c r="AA313">
        <v>0.43836799999999998</v>
      </c>
      <c r="AB313">
        <v>0.42846400000000001</v>
      </c>
      <c r="AC313">
        <v>0.43817</v>
      </c>
      <c r="AD313">
        <v>0.43817</v>
      </c>
      <c r="AE313">
        <v>533583651</v>
      </c>
      <c r="AK313" s="1">
        <v>44833</v>
      </c>
      <c r="AL313">
        <f t="shared" si="4"/>
        <v>1337.554443</v>
      </c>
      <c r="AM313">
        <f>INDEX(A:AE,MATCH(AK313,worksheet!A:A,0),MATCH(worksheet!AM312,worksheet!A312:AE312,0))</f>
        <v>19427.779297000001</v>
      </c>
      <c r="AN313">
        <f>INDEX(A:AE,MATCH(AK313,worksheet!A:A,0),MATCH(worksheet!AN312,worksheet!A312:AE312,0))</f>
        <v>0.43730799999999997</v>
      </c>
      <c r="AO313">
        <f>INDEX(A:AE,MATCH(AK313,worksheet!A:A,0),MATCH(worksheet!AO312,worksheet!A312:AE312,0))</f>
        <v>0.99999700000000002</v>
      </c>
      <c r="AP313">
        <f>INDEX(A:AE,MATCH(AK313,worksheet!A:A,0),MATCH(worksheet!AP312,worksheet!A312:AE312,0))</f>
        <v>1.000097</v>
      </c>
    </row>
    <row r="314" spans="1:42" x14ac:dyDescent="0.25">
      <c r="A314" s="1">
        <v>44834</v>
      </c>
      <c r="B314">
        <v>1335.6464840000001</v>
      </c>
      <c r="C314">
        <v>1368.743408</v>
      </c>
      <c r="D314">
        <v>1320.3831789999999</v>
      </c>
      <c r="E314">
        <v>1327.978638</v>
      </c>
      <c r="F314">
        <v>1327.978638</v>
      </c>
      <c r="G314">
        <v>14250100093</v>
      </c>
      <c r="H314">
        <v>19573.431640999999</v>
      </c>
      <c r="I314">
        <v>20109.849609000001</v>
      </c>
      <c r="J314">
        <v>19265.662109000001</v>
      </c>
      <c r="K314">
        <v>19431.789063</v>
      </c>
      <c r="L314">
        <v>19431.789063</v>
      </c>
      <c r="M314">
        <v>43975248085</v>
      </c>
      <c r="N314">
        <v>1.000076</v>
      </c>
      <c r="O314">
        <v>1.000165</v>
      </c>
      <c r="P314">
        <v>1.0000089999999999</v>
      </c>
      <c r="Q314">
        <v>1.000049</v>
      </c>
      <c r="R314">
        <v>1.000049</v>
      </c>
      <c r="S314">
        <v>55223655589</v>
      </c>
      <c r="T314">
        <v>0.99997199999999997</v>
      </c>
      <c r="U314">
        <v>1.0003949999999999</v>
      </c>
      <c r="V314">
        <v>0.99980100000000005</v>
      </c>
      <c r="W314">
        <v>1.0000659999999999</v>
      </c>
      <c r="X314">
        <v>1.0000659999999999</v>
      </c>
      <c r="Y314">
        <v>4870470845</v>
      </c>
      <c r="Z314">
        <v>0.43818299999999999</v>
      </c>
      <c r="AA314">
        <v>0.44054399999999999</v>
      </c>
      <c r="AB314">
        <v>0.43024899999999999</v>
      </c>
      <c r="AC314">
        <v>0.43441400000000002</v>
      </c>
      <c r="AD314">
        <v>0.43441400000000002</v>
      </c>
      <c r="AE314">
        <v>562475136</v>
      </c>
      <c r="AK314" s="1">
        <v>44834</v>
      </c>
      <c r="AL314">
        <f t="shared" si="4"/>
        <v>1335.6464840000001</v>
      </c>
      <c r="AM314">
        <f>INDEX(A:AE,MATCH(AK314,worksheet!A:A,0),MATCH(worksheet!AM313,worksheet!A313:AE313,0))</f>
        <v>19573.431640999999</v>
      </c>
      <c r="AN314">
        <f>INDEX(A:AE,MATCH(AK314,worksheet!A:A,0),MATCH(worksheet!AN313,worksheet!A313:AE313,0))</f>
        <v>0.43818299999999999</v>
      </c>
      <c r="AO314">
        <f>INDEX(A:AE,MATCH(AK314,worksheet!A:A,0),MATCH(worksheet!AO313,worksheet!A313:AE313,0))</f>
        <v>1.000076</v>
      </c>
      <c r="AP314">
        <f>INDEX(A:AE,MATCH(AK314,worksheet!A:A,0),MATCH(worksheet!AP313,worksheet!A313:AE313,0))</f>
        <v>1.000165</v>
      </c>
    </row>
    <row r="315" spans="1:42" x14ac:dyDescent="0.25">
      <c r="A315" s="1">
        <v>44835</v>
      </c>
      <c r="B315">
        <v>1328.193726</v>
      </c>
      <c r="C315">
        <v>1332.5164789999999</v>
      </c>
      <c r="D315">
        <v>1306.102539</v>
      </c>
      <c r="E315">
        <v>1311.644409</v>
      </c>
      <c r="F315">
        <v>1311.644409</v>
      </c>
      <c r="G315">
        <v>6227961237</v>
      </c>
      <c r="H315">
        <v>19431.105468999998</v>
      </c>
      <c r="I315">
        <v>19471.154297000001</v>
      </c>
      <c r="J315">
        <v>19231.082031000002</v>
      </c>
      <c r="K315">
        <v>19312.095702999999</v>
      </c>
      <c r="L315">
        <v>19312.095702999999</v>
      </c>
      <c r="M315">
        <v>18719537670</v>
      </c>
      <c r="N315">
        <v>1.000062</v>
      </c>
      <c r="O315">
        <v>1.0001070000000001</v>
      </c>
      <c r="P315">
        <v>0.99995599999999996</v>
      </c>
      <c r="Q315">
        <v>1.000043</v>
      </c>
      <c r="R315">
        <v>1.000043</v>
      </c>
      <c r="S315">
        <v>27312920843</v>
      </c>
      <c r="T315">
        <v>1.0000420000000001</v>
      </c>
      <c r="U315">
        <v>1.0001709999999999</v>
      </c>
      <c r="V315">
        <v>0.99979799999999996</v>
      </c>
      <c r="W315">
        <v>0.99998399999999998</v>
      </c>
      <c r="X315">
        <v>0.99998399999999998</v>
      </c>
      <c r="Y315">
        <v>3108134491</v>
      </c>
      <c r="Z315">
        <v>0.43442900000000001</v>
      </c>
      <c r="AA315">
        <v>0.43623099999999998</v>
      </c>
      <c r="AB315">
        <v>0.42895699999999998</v>
      </c>
      <c r="AC315">
        <v>0.43029299999999998</v>
      </c>
      <c r="AD315">
        <v>0.43029299999999998</v>
      </c>
      <c r="AE315">
        <v>317805815</v>
      </c>
      <c r="AK315" s="1">
        <v>44835</v>
      </c>
      <c r="AL315">
        <f t="shared" si="4"/>
        <v>1328.193726</v>
      </c>
      <c r="AM315">
        <f>INDEX(A:AE,MATCH(AK315,worksheet!A:A,0),MATCH(worksheet!AM314,worksheet!A314:AE314,0))</f>
        <v>19431.105468999998</v>
      </c>
      <c r="AN315">
        <f>INDEX(A:AE,MATCH(AK315,worksheet!A:A,0),MATCH(worksheet!AN314,worksheet!A314:AE314,0))</f>
        <v>0.43442900000000001</v>
      </c>
      <c r="AO315">
        <f>INDEX(A:AE,MATCH(AK315,worksheet!A:A,0),MATCH(worksheet!AO314,worksheet!A314:AE314,0))</f>
        <v>1.000062</v>
      </c>
      <c r="AP315">
        <f>INDEX(A:AE,MATCH(AK315,worksheet!A:A,0),MATCH(worksheet!AP314,worksheet!A314:AE314,0))</f>
        <v>1.0001070000000001</v>
      </c>
    </row>
    <row r="316" spans="1:42" x14ac:dyDescent="0.25">
      <c r="A316" s="1">
        <v>44836</v>
      </c>
      <c r="B316">
        <v>1311.753418</v>
      </c>
      <c r="C316">
        <v>1316.330078</v>
      </c>
      <c r="D316">
        <v>1275.3360600000001</v>
      </c>
      <c r="E316">
        <v>1276.0935059999999</v>
      </c>
      <c r="F316">
        <v>1276.0935059999999</v>
      </c>
      <c r="G316">
        <v>7578351650</v>
      </c>
      <c r="H316">
        <v>19311.849609000001</v>
      </c>
      <c r="I316">
        <v>19370.308593999998</v>
      </c>
      <c r="J316">
        <v>18970.621093999998</v>
      </c>
      <c r="K316">
        <v>19044.107422000001</v>
      </c>
      <c r="L316">
        <v>19044.107422000001</v>
      </c>
      <c r="M316">
        <v>20765955327</v>
      </c>
      <c r="N316">
        <v>1.0000450000000001</v>
      </c>
      <c r="O316">
        <v>1.0001059999999999</v>
      </c>
      <c r="P316">
        <v>0.99994799999999995</v>
      </c>
      <c r="Q316">
        <v>1.0000599999999999</v>
      </c>
      <c r="R316">
        <v>1.0000599999999999</v>
      </c>
      <c r="S316">
        <v>30109417396</v>
      </c>
      <c r="T316">
        <v>1.000013</v>
      </c>
      <c r="U316">
        <v>1.000311</v>
      </c>
      <c r="V316">
        <v>0.99944200000000005</v>
      </c>
      <c r="W316">
        <v>0.99999099999999996</v>
      </c>
      <c r="X316">
        <v>0.99999099999999996</v>
      </c>
      <c r="Y316">
        <v>2933405193</v>
      </c>
      <c r="Z316">
        <v>0.430284</v>
      </c>
      <c r="AA316">
        <v>0.43229400000000001</v>
      </c>
      <c r="AB316">
        <v>0.41896600000000001</v>
      </c>
      <c r="AC316">
        <v>0.41963299999999998</v>
      </c>
      <c r="AD316">
        <v>0.41963299999999998</v>
      </c>
      <c r="AE316">
        <v>404886268</v>
      </c>
      <c r="AK316" s="1">
        <v>44836</v>
      </c>
      <c r="AL316">
        <f t="shared" si="4"/>
        <v>1311.753418</v>
      </c>
      <c r="AM316">
        <f>INDEX(A:AE,MATCH(AK316,worksheet!A:A,0),MATCH(worksheet!AM315,worksheet!A315:AE315,0))</f>
        <v>19311.849609000001</v>
      </c>
      <c r="AN316">
        <f>INDEX(A:AE,MATCH(AK316,worksheet!A:A,0),MATCH(worksheet!AN315,worksheet!A315:AE315,0))</f>
        <v>0.430284</v>
      </c>
      <c r="AO316">
        <f>INDEX(A:AE,MATCH(AK316,worksheet!A:A,0),MATCH(worksheet!AO315,worksheet!A315:AE315,0))</f>
        <v>1.0000450000000001</v>
      </c>
      <c r="AP316">
        <f>INDEX(A:AE,MATCH(AK316,worksheet!A:A,0),MATCH(worksheet!AP315,worksheet!A315:AE315,0))</f>
        <v>1.0001059999999999</v>
      </c>
    </row>
    <row r="317" spans="1:42" x14ac:dyDescent="0.25">
      <c r="A317" s="1">
        <v>44837</v>
      </c>
      <c r="B317">
        <v>1276.163452</v>
      </c>
      <c r="C317">
        <v>1326.554443</v>
      </c>
      <c r="D317">
        <v>1271.150879</v>
      </c>
      <c r="E317">
        <v>1323.4392089999999</v>
      </c>
      <c r="F317">
        <v>1323.4392089999999</v>
      </c>
      <c r="G317">
        <v>10153070907</v>
      </c>
      <c r="H317">
        <v>19044.068359000001</v>
      </c>
      <c r="I317">
        <v>19653.542968999998</v>
      </c>
      <c r="J317">
        <v>19025.226563</v>
      </c>
      <c r="K317">
        <v>19623.580077999999</v>
      </c>
      <c r="L317">
        <v>19623.580077999999</v>
      </c>
      <c r="M317">
        <v>30484729489</v>
      </c>
      <c r="N317">
        <v>1.0000560000000001</v>
      </c>
      <c r="O317">
        <v>1.0001580000000001</v>
      </c>
      <c r="P317">
        <v>0.99998399999999998</v>
      </c>
      <c r="Q317">
        <v>1.000089</v>
      </c>
      <c r="R317">
        <v>1.000089</v>
      </c>
      <c r="S317">
        <v>40191505534</v>
      </c>
      <c r="T317">
        <v>1.000032</v>
      </c>
      <c r="U317">
        <v>1.0002150000000001</v>
      </c>
      <c r="V317">
        <v>0.99981600000000004</v>
      </c>
      <c r="W317">
        <v>0.99992700000000001</v>
      </c>
      <c r="X317">
        <v>0.99992700000000001</v>
      </c>
      <c r="Y317">
        <v>4449830981</v>
      </c>
      <c r="Z317">
        <v>0.41964400000000002</v>
      </c>
      <c r="AA317">
        <v>0.42860100000000001</v>
      </c>
      <c r="AB317">
        <v>0.418097</v>
      </c>
      <c r="AC317">
        <v>0.42799799999999999</v>
      </c>
      <c r="AD317">
        <v>0.42799799999999999</v>
      </c>
      <c r="AE317">
        <v>454947649</v>
      </c>
      <c r="AK317" s="1">
        <v>44837</v>
      </c>
      <c r="AL317">
        <f t="shared" si="4"/>
        <v>1276.163452</v>
      </c>
      <c r="AM317">
        <f>INDEX(A:AE,MATCH(AK317,worksheet!A:A,0),MATCH(worksheet!AM316,worksheet!A316:AE316,0))</f>
        <v>19044.068359000001</v>
      </c>
      <c r="AN317">
        <f>INDEX(A:AE,MATCH(AK317,worksheet!A:A,0),MATCH(worksheet!AN316,worksheet!A316:AE316,0))</f>
        <v>0.41964400000000002</v>
      </c>
      <c r="AO317">
        <f>INDEX(A:AE,MATCH(AK317,worksheet!A:A,0),MATCH(worksheet!AO316,worksheet!A316:AE316,0))</f>
        <v>1.0000560000000001</v>
      </c>
      <c r="AP317">
        <f>INDEX(A:AE,MATCH(AK317,worksheet!A:A,0),MATCH(worksheet!AP316,worksheet!A316:AE316,0))</f>
        <v>1.0001580000000001</v>
      </c>
    </row>
    <row r="318" spans="1:42" x14ac:dyDescent="0.25">
      <c r="A318" s="1">
        <v>44838</v>
      </c>
      <c r="B318">
        <v>1323.2783199999999</v>
      </c>
      <c r="C318">
        <v>1364.970947</v>
      </c>
      <c r="D318">
        <v>1320.0766599999999</v>
      </c>
      <c r="E318">
        <v>1362.126587</v>
      </c>
      <c r="F318">
        <v>1362.126587</v>
      </c>
      <c r="G318">
        <v>10139774963</v>
      </c>
      <c r="H318">
        <v>19623.583984000001</v>
      </c>
      <c r="I318">
        <v>20380.34375</v>
      </c>
      <c r="J318">
        <v>19523.839843999998</v>
      </c>
      <c r="K318">
        <v>20336.84375</v>
      </c>
      <c r="L318">
        <v>20336.84375</v>
      </c>
      <c r="M318">
        <v>35887278685</v>
      </c>
      <c r="N318">
        <v>1.0000910000000001</v>
      </c>
      <c r="O318">
        <v>1.000256</v>
      </c>
      <c r="P318">
        <v>1.000065</v>
      </c>
      <c r="Q318">
        <v>1.000251</v>
      </c>
      <c r="R318">
        <v>1.000251</v>
      </c>
      <c r="S318">
        <v>44505643606</v>
      </c>
      <c r="T318">
        <v>0.99991600000000003</v>
      </c>
      <c r="U318">
        <v>1.0002</v>
      </c>
      <c r="V318">
        <v>0.99978800000000001</v>
      </c>
      <c r="W318">
        <v>0.99993200000000004</v>
      </c>
      <c r="X318">
        <v>0.99993200000000004</v>
      </c>
      <c r="Y318">
        <v>3702781171</v>
      </c>
      <c r="Z318">
        <v>0.42800300000000002</v>
      </c>
      <c r="AA318">
        <v>0.43722</v>
      </c>
      <c r="AB318">
        <v>0.42592000000000002</v>
      </c>
      <c r="AC318">
        <v>0.43576500000000001</v>
      </c>
      <c r="AD318">
        <v>0.43576500000000001</v>
      </c>
      <c r="AE318">
        <v>443212603</v>
      </c>
      <c r="AK318" s="1">
        <v>44838</v>
      </c>
      <c r="AL318">
        <f t="shared" si="4"/>
        <v>1323.2783199999999</v>
      </c>
      <c r="AM318">
        <f>INDEX(A:AE,MATCH(AK318,worksheet!A:A,0),MATCH(worksheet!AM317,worksheet!A317:AE317,0))</f>
        <v>19623.583984000001</v>
      </c>
      <c r="AN318">
        <f>INDEX(A:AE,MATCH(AK318,worksheet!A:A,0),MATCH(worksheet!AN317,worksheet!A317:AE317,0))</f>
        <v>0.42800300000000002</v>
      </c>
      <c r="AO318">
        <f>INDEX(A:AE,MATCH(AK318,worksheet!A:A,0),MATCH(worksheet!AO317,worksheet!A317:AE317,0))</f>
        <v>1.0000910000000001</v>
      </c>
      <c r="AP318">
        <f>INDEX(A:AE,MATCH(AK318,worksheet!A:A,0),MATCH(worksheet!AP317,worksheet!A317:AE317,0))</f>
        <v>1.000256</v>
      </c>
    </row>
    <row r="319" spans="1:42" x14ac:dyDescent="0.25">
      <c r="A319" s="1">
        <v>44839</v>
      </c>
      <c r="B319">
        <v>1361.9729</v>
      </c>
      <c r="C319">
        <v>1362.4517820000001</v>
      </c>
      <c r="D319">
        <v>1320.8551030000001</v>
      </c>
      <c r="E319">
        <v>1352.837158</v>
      </c>
      <c r="F319">
        <v>1352.837158</v>
      </c>
      <c r="G319">
        <v>9774451820</v>
      </c>
      <c r="H319">
        <v>20335.900390999999</v>
      </c>
      <c r="I319">
        <v>20343.748047000001</v>
      </c>
      <c r="J319">
        <v>19801.800781000002</v>
      </c>
      <c r="K319">
        <v>20160.716797000001</v>
      </c>
      <c r="L319">
        <v>20160.716797000001</v>
      </c>
      <c r="M319">
        <v>33223790572</v>
      </c>
      <c r="N319">
        <v>1.0002500000000001</v>
      </c>
      <c r="O319">
        <v>1.000305</v>
      </c>
      <c r="P319">
        <v>1.0000519999999999</v>
      </c>
      <c r="Q319">
        <v>1.0001089999999999</v>
      </c>
      <c r="R319">
        <v>1.0001089999999999</v>
      </c>
      <c r="S319">
        <v>41883470473</v>
      </c>
      <c r="T319">
        <v>0.99994300000000003</v>
      </c>
      <c r="U319">
        <v>1.0002530000000001</v>
      </c>
      <c r="V319">
        <v>0.99970999999999999</v>
      </c>
      <c r="W319">
        <v>0.99993799999999999</v>
      </c>
      <c r="X319">
        <v>0.99993799999999999</v>
      </c>
      <c r="Y319">
        <v>3648372214</v>
      </c>
      <c r="Z319">
        <v>0.43577700000000003</v>
      </c>
      <c r="AA319">
        <v>0.43622100000000003</v>
      </c>
      <c r="AB319">
        <v>0.42471199999999998</v>
      </c>
      <c r="AC319">
        <v>0.43127300000000002</v>
      </c>
      <c r="AD319">
        <v>0.43127300000000002</v>
      </c>
      <c r="AE319">
        <v>442089311</v>
      </c>
      <c r="AK319" s="1">
        <v>44839</v>
      </c>
      <c r="AL319">
        <f t="shared" si="4"/>
        <v>1361.9729</v>
      </c>
      <c r="AM319">
        <f>INDEX(A:AE,MATCH(AK319,worksheet!A:A,0),MATCH(worksheet!AM318,worksheet!A318:AE318,0))</f>
        <v>20335.900390999999</v>
      </c>
      <c r="AN319">
        <f>INDEX(A:AE,MATCH(AK319,worksheet!A:A,0),MATCH(worksheet!AN318,worksheet!A318:AE318,0))</f>
        <v>0.43577700000000003</v>
      </c>
      <c r="AO319">
        <f>INDEX(A:AE,MATCH(AK319,worksheet!A:A,0),MATCH(worksheet!AO318,worksheet!A318:AE318,0))</f>
        <v>1.0002500000000001</v>
      </c>
      <c r="AP319">
        <f>INDEX(A:AE,MATCH(AK319,worksheet!A:A,0),MATCH(worksheet!AP318,worksheet!A318:AE318,0))</f>
        <v>1.000305</v>
      </c>
    </row>
    <row r="320" spans="1:42" x14ac:dyDescent="0.25">
      <c r="A320" s="1">
        <v>44840</v>
      </c>
      <c r="B320">
        <v>1352.8066409999999</v>
      </c>
      <c r="C320">
        <v>1380.4049070000001</v>
      </c>
      <c r="D320">
        <v>1349.4499510000001</v>
      </c>
      <c r="E320">
        <v>1351.7094729999999</v>
      </c>
      <c r="F320">
        <v>1351.7094729999999</v>
      </c>
      <c r="G320">
        <v>12033514861</v>
      </c>
      <c r="H320">
        <v>20161.039063</v>
      </c>
      <c r="I320">
        <v>20408.392577999999</v>
      </c>
      <c r="J320">
        <v>19900.087890999999</v>
      </c>
      <c r="K320">
        <v>19955.443359000001</v>
      </c>
      <c r="L320">
        <v>19955.443359000001</v>
      </c>
      <c r="M320">
        <v>34711412966</v>
      </c>
      <c r="N320">
        <v>1.000105</v>
      </c>
      <c r="O320">
        <v>1.000224</v>
      </c>
      <c r="P320">
        <v>1.0000880000000001</v>
      </c>
      <c r="Q320">
        <v>1.000143</v>
      </c>
      <c r="R320">
        <v>1.000143</v>
      </c>
      <c r="S320">
        <v>43958843047</v>
      </c>
      <c r="T320">
        <v>1.000006</v>
      </c>
      <c r="U320">
        <v>1.000272</v>
      </c>
      <c r="V320">
        <v>0.99971299999999996</v>
      </c>
      <c r="W320">
        <v>0.999969</v>
      </c>
      <c r="X320">
        <v>0.999969</v>
      </c>
      <c r="Y320">
        <v>4064924187</v>
      </c>
      <c r="Z320">
        <v>0.43126500000000001</v>
      </c>
      <c r="AA320">
        <v>0.43668400000000002</v>
      </c>
      <c r="AB320">
        <v>0.42678899999999997</v>
      </c>
      <c r="AC320">
        <v>0.42868699999999998</v>
      </c>
      <c r="AD320">
        <v>0.42868699999999998</v>
      </c>
      <c r="AE320">
        <v>429115801</v>
      </c>
      <c r="AK320" s="1">
        <v>44840</v>
      </c>
      <c r="AL320">
        <f t="shared" si="4"/>
        <v>1352.8066409999999</v>
      </c>
      <c r="AM320">
        <f>INDEX(A:AE,MATCH(AK320,worksheet!A:A,0),MATCH(worksheet!AM319,worksheet!A319:AE319,0))</f>
        <v>20161.039063</v>
      </c>
      <c r="AN320">
        <f>INDEX(A:AE,MATCH(AK320,worksheet!A:A,0),MATCH(worksheet!AN319,worksheet!A319:AE319,0))</f>
        <v>0.43126500000000001</v>
      </c>
      <c r="AO320">
        <f>INDEX(A:AE,MATCH(AK320,worksheet!A:A,0),MATCH(worksheet!AO319,worksheet!A319:AE319,0))</f>
        <v>1.000105</v>
      </c>
      <c r="AP320">
        <f>INDEX(A:AE,MATCH(AK320,worksheet!A:A,0),MATCH(worksheet!AP319,worksheet!A319:AE319,0))</f>
        <v>1.000224</v>
      </c>
    </row>
    <row r="321" spans="1:42" x14ac:dyDescent="0.25">
      <c r="A321" s="1">
        <v>44841</v>
      </c>
      <c r="B321">
        <v>1351.8364260000001</v>
      </c>
      <c r="C321">
        <v>1359.328125</v>
      </c>
      <c r="D321">
        <v>1321.7460940000001</v>
      </c>
      <c r="E321">
        <v>1332.5169679999999</v>
      </c>
      <c r="F321">
        <v>1332.5169679999999</v>
      </c>
      <c r="G321">
        <v>10061619355</v>
      </c>
      <c r="H321">
        <v>19957.558593999998</v>
      </c>
      <c r="I321">
        <v>20041.085938</v>
      </c>
      <c r="J321">
        <v>19395.792968999998</v>
      </c>
      <c r="K321">
        <v>19546.849609000001</v>
      </c>
      <c r="L321">
        <v>19546.849609000001</v>
      </c>
      <c r="M321">
        <v>29227315390</v>
      </c>
      <c r="N321">
        <v>1.000127</v>
      </c>
      <c r="O321">
        <v>1.0002120000000001</v>
      </c>
      <c r="P321">
        <v>1.0000579999999999</v>
      </c>
      <c r="Q321">
        <v>1.000122</v>
      </c>
      <c r="R321">
        <v>1.000122</v>
      </c>
      <c r="S321">
        <v>38019451874</v>
      </c>
      <c r="T321">
        <v>0.99998799999999999</v>
      </c>
      <c r="U321">
        <v>1.0002500000000001</v>
      </c>
      <c r="V321">
        <v>0.99973100000000004</v>
      </c>
      <c r="W321">
        <v>1.000022</v>
      </c>
      <c r="X321">
        <v>1.000022</v>
      </c>
      <c r="Y321">
        <v>3663387742</v>
      </c>
      <c r="Z321">
        <v>0.42869299999999999</v>
      </c>
      <c r="AA321">
        <v>0.43031900000000001</v>
      </c>
      <c r="AB321">
        <v>0.42239100000000002</v>
      </c>
      <c r="AC321">
        <v>0.42431999999999997</v>
      </c>
      <c r="AD321">
        <v>0.42431999999999997</v>
      </c>
      <c r="AE321">
        <v>412845097</v>
      </c>
      <c r="AK321" s="1">
        <v>44841</v>
      </c>
      <c r="AL321">
        <f t="shared" si="4"/>
        <v>1351.8364260000001</v>
      </c>
      <c r="AM321">
        <f>INDEX(A:AE,MATCH(AK321,worksheet!A:A,0),MATCH(worksheet!AM320,worksheet!A320:AE320,0))</f>
        <v>19957.558593999998</v>
      </c>
      <c r="AN321">
        <f>INDEX(A:AE,MATCH(AK321,worksheet!A:A,0),MATCH(worksheet!AN320,worksheet!A320:AE320,0))</f>
        <v>0.42869299999999999</v>
      </c>
      <c r="AO321">
        <f>INDEX(A:AE,MATCH(AK321,worksheet!A:A,0),MATCH(worksheet!AO320,worksheet!A320:AE320,0))</f>
        <v>1.000127</v>
      </c>
      <c r="AP321">
        <f>INDEX(A:AE,MATCH(AK321,worksheet!A:A,0),MATCH(worksheet!AP320,worksheet!A320:AE320,0))</f>
        <v>1.0002120000000001</v>
      </c>
    </row>
    <row r="322" spans="1:42" x14ac:dyDescent="0.25">
      <c r="A322" s="1">
        <v>44842</v>
      </c>
      <c r="B322">
        <v>1332.3713379999999</v>
      </c>
      <c r="C322">
        <v>1335.9548339999999</v>
      </c>
      <c r="D322">
        <v>1307.0729980000001</v>
      </c>
      <c r="E322">
        <v>1315.5004879999999</v>
      </c>
      <c r="F322">
        <v>1315.5004879999999</v>
      </c>
      <c r="G322">
        <v>5804676208</v>
      </c>
      <c r="H322">
        <v>19546.328125</v>
      </c>
      <c r="I322">
        <v>19601.695313</v>
      </c>
      <c r="J322">
        <v>19299.414063</v>
      </c>
      <c r="K322">
        <v>19416.568359000001</v>
      </c>
      <c r="L322">
        <v>19416.568359000001</v>
      </c>
      <c r="M322">
        <v>16437423167</v>
      </c>
      <c r="N322">
        <v>1.0001249999999999</v>
      </c>
      <c r="O322">
        <v>1.0001899999999999</v>
      </c>
      <c r="P322">
        <v>1.0000439999999999</v>
      </c>
      <c r="Q322">
        <v>1.0000830000000001</v>
      </c>
      <c r="R322">
        <v>1.0000830000000001</v>
      </c>
      <c r="S322">
        <v>23441883205</v>
      </c>
      <c r="T322">
        <v>0.99999300000000002</v>
      </c>
      <c r="U322">
        <v>1.000189</v>
      </c>
      <c r="V322">
        <v>0.99976600000000004</v>
      </c>
      <c r="W322">
        <v>1.0001469999999999</v>
      </c>
      <c r="X322">
        <v>1.0001469999999999</v>
      </c>
      <c r="Y322">
        <v>2735745388</v>
      </c>
      <c r="Z322">
        <v>0.42425299999999999</v>
      </c>
      <c r="AA322">
        <v>0.42676199999999997</v>
      </c>
      <c r="AB322">
        <v>0.42011199999999999</v>
      </c>
      <c r="AC322">
        <v>0.421736</v>
      </c>
      <c r="AD322">
        <v>0.421736</v>
      </c>
      <c r="AE322">
        <v>295762328</v>
      </c>
      <c r="AK322" s="1">
        <v>44842</v>
      </c>
      <c r="AL322">
        <f t="shared" si="4"/>
        <v>1332.3713379999999</v>
      </c>
      <c r="AM322">
        <f>INDEX(A:AE,MATCH(AK322,worksheet!A:A,0),MATCH(worksheet!AM321,worksheet!A321:AE321,0))</f>
        <v>19546.328125</v>
      </c>
      <c r="AN322">
        <f>INDEX(A:AE,MATCH(AK322,worksheet!A:A,0),MATCH(worksheet!AN321,worksheet!A321:AE321,0))</f>
        <v>0.42425299999999999</v>
      </c>
      <c r="AO322">
        <f>INDEX(A:AE,MATCH(AK322,worksheet!A:A,0),MATCH(worksheet!AO321,worksheet!A321:AE321,0))</f>
        <v>1.0001249999999999</v>
      </c>
      <c r="AP322">
        <f>INDEX(A:AE,MATCH(AK322,worksheet!A:A,0),MATCH(worksheet!AP321,worksheet!A321:AE321,0))</f>
        <v>1.0001899999999999</v>
      </c>
    </row>
    <row r="323" spans="1:42" x14ac:dyDescent="0.25">
      <c r="A323" s="1">
        <v>44843</v>
      </c>
      <c r="B323">
        <v>1315.4602050000001</v>
      </c>
      <c r="C323">
        <v>1327.668823</v>
      </c>
      <c r="D323">
        <v>1309.3446039999999</v>
      </c>
      <c r="E323">
        <v>1322.6042480000001</v>
      </c>
      <c r="F323">
        <v>1322.6042480000001</v>
      </c>
      <c r="G323">
        <v>5486230123</v>
      </c>
      <c r="H323">
        <v>19417.478515999999</v>
      </c>
      <c r="I323">
        <v>19542.539063</v>
      </c>
      <c r="J323">
        <v>19349.259765999999</v>
      </c>
      <c r="K323">
        <v>19446.425781000002</v>
      </c>
      <c r="L323">
        <v>19446.425781000002</v>
      </c>
      <c r="M323">
        <v>16837262532</v>
      </c>
      <c r="N323">
        <v>1.000078</v>
      </c>
      <c r="O323">
        <v>1.0001819999999999</v>
      </c>
      <c r="P323">
        <v>1.0000640000000001</v>
      </c>
      <c r="Q323">
        <v>1.0001580000000001</v>
      </c>
      <c r="R323">
        <v>1.0001580000000001</v>
      </c>
      <c r="S323">
        <v>22977760897</v>
      </c>
      <c r="T323">
        <v>1.000151</v>
      </c>
      <c r="U323">
        <v>1.0002169999999999</v>
      </c>
      <c r="V323">
        <v>0.99985400000000002</v>
      </c>
      <c r="W323">
        <v>0.99999300000000002</v>
      </c>
      <c r="X323">
        <v>0.99999300000000002</v>
      </c>
      <c r="Y323">
        <v>2260430910</v>
      </c>
      <c r="Z323">
        <v>0.42179100000000003</v>
      </c>
      <c r="AA323">
        <v>0.42400100000000002</v>
      </c>
      <c r="AB323">
        <v>0.41997499999999999</v>
      </c>
      <c r="AC323">
        <v>0.423072</v>
      </c>
      <c r="AD323">
        <v>0.423072</v>
      </c>
      <c r="AE323">
        <v>280279986</v>
      </c>
      <c r="AK323" s="1">
        <v>44843</v>
      </c>
      <c r="AL323">
        <f t="shared" ref="AL323:AL367" si="5">INDEX($A:$AE,MATCH(AK323,$A:$A,0),MATCH($AL322,$A322:$AE322,0))</f>
        <v>1315.4602050000001</v>
      </c>
      <c r="AM323">
        <f>INDEX(A:AE,MATCH(AK323,worksheet!A:A,0),MATCH(worksheet!AM322,worksheet!A322:AE322,0))</f>
        <v>19417.478515999999</v>
      </c>
      <c r="AN323">
        <f>INDEX(A:AE,MATCH(AK323,worksheet!A:A,0),MATCH(worksheet!AN322,worksheet!A322:AE322,0))</f>
        <v>0.42179100000000003</v>
      </c>
      <c r="AO323">
        <f>INDEX(A:AE,MATCH(AK323,worksheet!A:A,0),MATCH(worksheet!AO322,worksheet!A322:AE322,0))</f>
        <v>1.000078</v>
      </c>
      <c r="AP323">
        <f>INDEX(A:AE,MATCH(AK323,worksheet!A:A,0),MATCH(worksheet!AP322,worksheet!A322:AE322,0))</f>
        <v>1.0001819999999999</v>
      </c>
    </row>
    <row r="324" spans="1:42" x14ac:dyDescent="0.25">
      <c r="A324" s="1">
        <v>44844</v>
      </c>
      <c r="B324">
        <v>1322.6186520000001</v>
      </c>
      <c r="C324">
        <v>1335.66272</v>
      </c>
      <c r="D324">
        <v>1291.3376459999999</v>
      </c>
      <c r="E324">
        <v>1291.3376459999999</v>
      </c>
      <c r="F324">
        <v>1291.3376459999999</v>
      </c>
      <c r="G324">
        <v>8794491050</v>
      </c>
      <c r="H324">
        <v>19446.416015999999</v>
      </c>
      <c r="I324">
        <v>19515.466797000001</v>
      </c>
      <c r="J324">
        <v>19102.978515999999</v>
      </c>
      <c r="K324">
        <v>19141.484375</v>
      </c>
      <c r="L324">
        <v>19141.484375</v>
      </c>
      <c r="M324">
        <v>27425022774</v>
      </c>
      <c r="N324">
        <v>1.000159</v>
      </c>
      <c r="O324">
        <v>1.000189</v>
      </c>
      <c r="P324">
        <v>0.99994000000000005</v>
      </c>
      <c r="Q324">
        <v>1.0000180000000001</v>
      </c>
      <c r="R324">
        <v>1.0000180000000001</v>
      </c>
      <c r="S324">
        <v>37843287016</v>
      </c>
      <c r="T324">
        <v>0.99998100000000001</v>
      </c>
      <c r="U324">
        <v>1.000243</v>
      </c>
      <c r="V324">
        <v>0.99973800000000002</v>
      </c>
      <c r="W324">
        <v>0.99994099999999997</v>
      </c>
      <c r="X324">
        <v>0.99994099999999997</v>
      </c>
      <c r="Y324">
        <v>3234465931</v>
      </c>
      <c r="Z324">
        <v>0.42305399999999999</v>
      </c>
      <c r="AA324">
        <v>0.42626500000000001</v>
      </c>
      <c r="AB324">
        <v>0.40178799999999998</v>
      </c>
      <c r="AC324">
        <v>0.40180100000000002</v>
      </c>
      <c r="AD324">
        <v>0.40180100000000002</v>
      </c>
      <c r="AE324">
        <v>522186013</v>
      </c>
      <c r="AK324" s="1">
        <v>44844</v>
      </c>
      <c r="AL324">
        <f t="shared" si="5"/>
        <v>1322.6186520000001</v>
      </c>
      <c r="AM324">
        <f>INDEX(A:AE,MATCH(AK324,worksheet!A:A,0),MATCH(worksheet!AM323,worksheet!A323:AE323,0))</f>
        <v>19446.416015999999</v>
      </c>
      <c r="AN324">
        <f>INDEX(A:AE,MATCH(AK324,worksheet!A:A,0),MATCH(worksheet!AN323,worksheet!A323:AE323,0))</f>
        <v>0.42305399999999999</v>
      </c>
      <c r="AO324">
        <f>INDEX(A:AE,MATCH(AK324,worksheet!A:A,0),MATCH(worksheet!AO323,worksheet!A323:AE323,0))</f>
        <v>1.000159</v>
      </c>
      <c r="AP324">
        <f>INDEX(A:AE,MATCH(AK324,worksheet!A:A,0),MATCH(worksheet!AP323,worksheet!A323:AE323,0))</f>
        <v>1.000189</v>
      </c>
    </row>
    <row r="325" spans="1:42" x14ac:dyDescent="0.25">
      <c r="A325" s="1">
        <v>44845</v>
      </c>
      <c r="B325">
        <v>1291.1096190000001</v>
      </c>
      <c r="C325">
        <v>1296.2739260000001</v>
      </c>
      <c r="D325">
        <v>1272.7376710000001</v>
      </c>
      <c r="E325">
        <v>1279.5756839999999</v>
      </c>
      <c r="F325">
        <v>1279.5756839999999</v>
      </c>
      <c r="G325">
        <v>9274845260</v>
      </c>
      <c r="H325">
        <v>19139</v>
      </c>
      <c r="I325">
        <v>19241.960938</v>
      </c>
      <c r="J325">
        <v>18925.603515999999</v>
      </c>
      <c r="K325">
        <v>19051.417968999998</v>
      </c>
      <c r="L325">
        <v>19051.417968999998</v>
      </c>
      <c r="M325">
        <v>28711532910</v>
      </c>
      <c r="N325">
        <v>1.0000089999999999</v>
      </c>
      <c r="O325">
        <v>1.000065</v>
      </c>
      <c r="P325">
        <v>0.99988900000000003</v>
      </c>
      <c r="Q325">
        <v>0.99990100000000004</v>
      </c>
      <c r="R325">
        <v>0.99990100000000004</v>
      </c>
      <c r="S325">
        <v>38468219592</v>
      </c>
      <c r="T325">
        <v>0.99993399999999999</v>
      </c>
      <c r="U325">
        <v>1.000273</v>
      </c>
      <c r="V325">
        <v>0.99970999999999999</v>
      </c>
      <c r="W325">
        <v>1.0000249999999999</v>
      </c>
      <c r="X325">
        <v>1.0000249999999999</v>
      </c>
      <c r="Y325">
        <v>3635935332</v>
      </c>
      <c r="Z325">
        <v>0.40173500000000001</v>
      </c>
      <c r="AA325">
        <v>0.40173500000000001</v>
      </c>
      <c r="AB325">
        <v>0.38847300000000001</v>
      </c>
      <c r="AC325">
        <v>0.39054</v>
      </c>
      <c r="AD325">
        <v>0.39054</v>
      </c>
      <c r="AE325">
        <v>647675205</v>
      </c>
      <c r="AK325" s="1">
        <v>44845</v>
      </c>
      <c r="AL325">
        <f t="shared" si="5"/>
        <v>1291.1096190000001</v>
      </c>
      <c r="AM325">
        <f>INDEX(A:AE,MATCH(AK325,worksheet!A:A,0),MATCH(worksheet!AM324,worksheet!A324:AE324,0))</f>
        <v>19139</v>
      </c>
      <c r="AN325">
        <f>INDEX(A:AE,MATCH(AK325,worksheet!A:A,0),MATCH(worksheet!AN324,worksheet!A324:AE324,0))</f>
        <v>0.40173500000000001</v>
      </c>
      <c r="AO325">
        <f>INDEX(A:AE,MATCH(AK325,worksheet!A:A,0),MATCH(worksheet!AO324,worksheet!A324:AE324,0))</f>
        <v>1.0000089999999999</v>
      </c>
      <c r="AP325">
        <f>INDEX(A:AE,MATCH(AK325,worksheet!A:A,0),MATCH(worksheet!AP324,worksheet!A324:AE324,0))</f>
        <v>1.000065</v>
      </c>
    </row>
    <row r="326" spans="1:42" x14ac:dyDescent="0.25">
      <c r="A326" s="1">
        <v>44846</v>
      </c>
      <c r="B326">
        <v>1279.7322999999999</v>
      </c>
      <c r="C326">
        <v>1303.0751949999999</v>
      </c>
      <c r="D326">
        <v>1277.527466</v>
      </c>
      <c r="E326">
        <v>1294.9063719999999</v>
      </c>
      <c r="F326">
        <v>1294.9063719999999</v>
      </c>
      <c r="G326">
        <v>8355638578</v>
      </c>
      <c r="H326">
        <v>19052.646484000001</v>
      </c>
      <c r="I326">
        <v>19203.199218999998</v>
      </c>
      <c r="J326">
        <v>19029.757813</v>
      </c>
      <c r="K326">
        <v>19157.445313</v>
      </c>
      <c r="L326">
        <v>19157.445313</v>
      </c>
      <c r="M326">
        <v>24950173846</v>
      </c>
      <c r="N326">
        <v>0.99992099999999995</v>
      </c>
      <c r="O326">
        <v>1.0000439999999999</v>
      </c>
      <c r="P326">
        <v>0.99986200000000003</v>
      </c>
      <c r="Q326">
        <v>0.99999199999999999</v>
      </c>
      <c r="R326">
        <v>0.99999199999999999</v>
      </c>
      <c r="S326">
        <v>33048616462</v>
      </c>
      <c r="T326">
        <v>1.000024</v>
      </c>
      <c r="U326">
        <v>1.0002549999999999</v>
      </c>
      <c r="V326">
        <v>0.99985999999999997</v>
      </c>
      <c r="W326">
        <v>0.99996200000000002</v>
      </c>
      <c r="X326">
        <v>0.99996200000000002</v>
      </c>
      <c r="Y326">
        <v>2920458912</v>
      </c>
      <c r="Z326">
        <v>0.39058300000000001</v>
      </c>
      <c r="AA326">
        <v>0.39501900000000001</v>
      </c>
      <c r="AB326">
        <v>0.37863999999999998</v>
      </c>
      <c r="AC326">
        <v>0.38129999999999997</v>
      </c>
      <c r="AD326">
        <v>0.38129999999999997</v>
      </c>
      <c r="AE326">
        <v>470666876</v>
      </c>
      <c r="AK326" s="1">
        <v>44846</v>
      </c>
      <c r="AL326">
        <f t="shared" si="5"/>
        <v>1279.7322999999999</v>
      </c>
      <c r="AM326">
        <f>INDEX(A:AE,MATCH(AK326,worksheet!A:A,0),MATCH(worksheet!AM325,worksheet!A325:AE325,0))</f>
        <v>19052.646484000001</v>
      </c>
      <c r="AN326">
        <f>INDEX(A:AE,MATCH(AK326,worksheet!A:A,0),MATCH(worksheet!AN325,worksheet!A325:AE325,0))</f>
        <v>0.39058300000000001</v>
      </c>
      <c r="AO326">
        <f>INDEX(A:AE,MATCH(AK326,worksheet!A:A,0),MATCH(worksheet!AO325,worksheet!A325:AE325,0))</f>
        <v>0.99992099999999995</v>
      </c>
      <c r="AP326">
        <f>INDEX(A:AE,MATCH(AK326,worksheet!A:A,0),MATCH(worksheet!AP325,worksheet!A325:AE325,0))</f>
        <v>1.0000439999999999</v>
      </c>
    </row>
    <row r="327" spans="1:42" x14ac:dyDescent="0.25">
      <c r="A327" s="1">
        <v>44847</v>
      </c>
      <c r="B327">
        <v>1294.9173579999999</v>
      </c>
      <c r="C327">
        <v>1297.5642089999999</v>
      </c>
      <c r="D327">
        <v>1209.278198</v>
      </c>
      <c r="E327">
        <v>1288.1239009999999</v>
      </c>
      <c r="F327">
        <v>1288.1239009999999</v>
      </c>
      <c r="G327">
        <v>17499038202</v>
      </c>
      <c r="H327">
        <v>19156.966797000001</v>
      </c>
      <c r="I327">
        <v>19453.328125</v>
      </c>
      <c r="J327">
        <v>18319.822265999999</v>
      </c>
      <c r="K327">
        <v>19382.904297000001</v>
      </c>
      <c r="L327">
        <v>19382.904297000001</v>
      </c>
      <c r="M327">
        <v>44219840004</v>
      </c>
      <c r="N327">
        <v>0.99998299999999996</v>
      </c>
      <c r="O327">
        <v>1.0001359999999999</v>
      </c>
      <c r="P327">
        <v>0.99993200000000004</v>
      </c>
      <c r="Q327">
        <v>1.0000789999999999</v>
      </c>
      <c r="R327">
        <v>1.0000789999999999</v>
      </c>
      <c r="S327">
        <v>60450860335</v>
      </c>
      <c r="T327">
        <v>0.99997000000000003</v>
      </c>
      <c r="U327">
        <v>1.000351</v>
      </c>
      <c r="V327">
        <v>0.99954600000000005</v>
      </c>
      <c r="W327">
        <v>1.000016</v>
      </c>
      <c r="X327">
        <v>1.000016</v>
      </c>
      <c r="Y327">
        <v>4863475901</v>
      </c>
      <c r="Z327">
        <v>0.38132300000000002</v>
      </c>
      <c r="AA327">
        <v>0.38200899999999999</v>
      </c>
      <c r="AB327">
        <v>0.35116900000000001</v>
      </c>
      <c r="AC327">
        <v>0.37763799999999997</v>
      </c>
      <c r="AD327">
        <v>0.37763799999999997</v>
      </c>
      <c r="AE327">
        <v>1059234268</v>
      </c>
      <c r="AK327" s="1">
        <v>44847</v>
      </c>
      <c r="AL327">
        <f t="shared" si="5"/>
        <v>1294.9173579999999</v>
      </c>
      <c r="AM327">
        <f>INDEX(A:AE,MATCH(AK327,worksheet!A:A,0),MATCH(worksheet!AM326,worksheet!A326:AE326,0))</f>
        <v>19156.966797000001</v>
      </c>
      <c r="AN327">
        <f>INDEX(A:AE,MATCH(AK327,worksheet!A:A,0),MATCH(worksheet!AN326,worksheet!A326:AE326,0))</f>
        <v>0.38132300000000002</v>
      </c>
      <c r="AO327">
        <f>INDEX(A:AE,MATCH(AK327,worksheet!A:A,0),MATCH(worksheet!AO326,worksheet!A326:AE326,0))</f>
        <v>0.99998299999999996</v>
      </c>
      <c r="AP327">
        <f>INDEX(A:AE,MATCH(AK327,worksheet!A:A,0),MATCH(worksheet!AP326,worksheet!A326:AE326,0))</f>
        <v>1.0001359999999999</v>
      </c>
    </row>
    <row r="328" spans="1:42" x14ac:dyDescent="0.25">
      <c r="A328" s="1">
        <v>44848</v>
      </c>
      <c r="B328">
        <v>1288.048706</v>
      </c>
      <c r="C328">
        <v>1339.744751</v>
      </c>
      <c r="D328">
        <v>1285.3782960000001</v>
      </c>
      <c r="E328">
        <v>1297.4221190000001</v>
      </c>
      <c r="F328">
        <v>1297.4221190000001</v>
      </c>
      <c r="G328">
        <v>13113767755</v>
      </c>
      <c r="H328">
        <v>19382.533202999999</v>
      </c>
      <c r="I328">
        <v>19889.146484000001</v>
      </c>
      <c r="J328">
        <v>19115.408202999999</v>
      </c>
      <c r="K328">
        <v>19185.65625</v>
      </c>
      <c r="L328">
        <v>19185.65625</v>
      </c>
      <c r="M328">
        <v>38452356727</v>
      </c>
      <c r="N328">
        <v>1.0000830000000001</v>
      </c>
      <c r="O328">
        <v>1.0001530000000001</v>
      </c>
      <c r="P328">
        <v>1.000016</v>
      </c>
      <c r="Q328">
        <v>1.0000739999999999</v>
      </c>
      <c r="R328">
        <v>1.0000739999999999</v>
      </c>
      <c r="S328">
        <v>48926387475</v>
      </c>
      <c r="T328">
        <v>1.0000089999999999</v>
      </c>
      <c r="U328">
        <v>1.000324</v>
      </c>
      <c r="V328">
        <v>0.99970099999999995</v>
      </c>
      <c r="W328">
        <v>0.99999499999999997</v>
      </c>
      <c r="X328">
        <v>0.99999499999999997</v>
      </c>
      <c r="Y328">
        <v>4058420604</v>
      </c>
      <c r="Z328">
        <v>0.37762899999999999</v>
      </c>
      <c r="AA328">
        <v>0.38853399999999999</v>
      </c>
      <c r="AB328">
        <v>0.36204700000000001</v>
      </c>
      <c r="AC328">
        <v>0.36685099999999998</v>
      </c>
      <c r="AD328">
        <v>0.36685099999999998</v>
      </c>
      <c r="AE328">
        <v>563104935</v>
      </c>
      <c r="AK328" s="1">
        <v>44848</v>
      </c>
      <c r="AL328">
        <f t="shared" si="5"/>
        <v>1288.048706</v>
      </c>
      <c r="AM328">
        <f>INDEX(A:AE,MATCH(AK328,worksheet!A:A,0),MATCH(worksheet!AM327,worksheet!A327:AE327,0))</f>
        <v>19382.533202999999</v>
      </c>
      <c r="AN328">
        <f>INDEX(A:AE,MATCH(AK328,worksheet!A:A,0),MATCH(worksheet!AN327,worksheet!A327:AE327,0))</f>
        <v>0.37762899999999999</v>
      </c>
      <c r="AO328">
        <f>INDEX(A:AE,MATCH(AK328,worksheet!A:A,0),MATCH(worksheet!AO327,worksheet!A327:AE327,0))</f>
        <v>1.0000830000000001</v>
      </c>
      <c r="AP328">
        <f>INDEX(A:AE,MATCH(AK328,worksheet!A:A,0),MATCH(worksheet!AP327,worksheet!A327:AE327,0))</f>
        <v>1.0001530000000001</v>
      </c>
    </row>
    <row r="329" spans="1:42" x14ac:dyDescent="0.25">
      <c r="A329" s="1">
        <v>44849</v>
      </c>
      <c r="B329">
        <v>1297.305908</v>
      </c>
      <c r="C329">
        <v>1300.7459719999999</v>
      </c>
      <c r="D329">
        <v>1268.4685059999999</v>
      </c>
      <c r="E329">
        <v>1274.8717039999999</v>
      </c>
      <c r="F329">
        <v>1274.8717039999999</v>
      </c>
      <c r="G329">
        <v>6798512624</v>
      </c>
      <c r="H329">
        <v>19185.4375</v>
      </c>
      <c r="I329">
        <v>19212.541015999999</v>
      </c>
      <c r="J329">
        <v>19019.25</v>
      </c>
      <c r="K329">
        <v>19067.634765999999</v>
      </c>
      <c r="L329">
        <v>19067.634765999999</v>
      </c>
      <c r="M329">
        <v>16192235532</v>
      </c>
      <c r="N329">
        <v>1.000073</v>
      </c>
      <c r="O329">
        <v>1.000159</v>
      </c>
      <c r="P329">
        <v>1.0000169999999999</v>
      </c>
      <c r="Q329">
        <v>1.0000869999999999</v>
      </c>
      <c r="R329">
        <v>1.0000869999999999</v>
      </c>
      <c r="S329">
        <v>25527432092</v>
      </c>
      <c r="T329">
        <v>0.999996</v>
      </c>
      <c r="U329">
        <v>1.000235</v>
      </c>
      <c r="V329">
        <v>0.999838</v>
      </c>
      <c r="W329">
        <v>0.99992999999999999</v>
      </c>
      <c r="X329">
        <v>0.99992999999999999</v>
      </c>
      <c r="Y329">
        <v>2551998130</v>
      </c>
      <c r="Z329">
        <v>0.36684899999999998</v>
      </c>
      <c r="AA329">
        <v>0.369367</v>
      </c>
      <c r="AB329">
        <v>0.36208299999999999</v>
      </c>
      <c r="AC329">
        <v>0.36374400000000001</v>
      </c>
      <c r="AD329">
        <v>0.36374400000000001</v>
      </c>
      <c r="AE329">
        <v>349542728</v>
      </c>
      <c r="AK329" s="1">
        <v>44849</v>
      </c>
      <c r="AL329">
        <f t="shared" si="5"/>
        <v>1297.305908</v>
      </c>
      <c r="AM329">
        <f>INDEX(A:AE,MATCH(AK329,worksheet!A:A,0),MATCH(worksheet!AM328,worksheet!A328:AE328,0))</f>
        <v>19185.4375</v>
      </c>
      <c r="AN329">
        <f>INDEX(A:AE,MATCH(AK329,worksheet!A:A,0),MATCH(worksheet!AN328,worksheet!A328:AE328,0))</f>
        <v>0.36684899999999998</v>
      </c>
      <c r="AO329">
        <f>INDEX(A:AE,MATCH(AK329,worksheet!A:A,0),MATCH(worksheet!AO328,worksheet!A328:AE328,0))</f>
        <v>1.000073</v>
      </c>
      <c r="AP329">
        <f>INDEX(A:AE,MATCH(AK329,worksheet!A:A,0),MATCH(worksheet!AP328,worksheet!A328:AE328,0))</f>
        <v>1.000159</v>
      </c>
    </row>
    <row r="330" spans="1:42" x14ac:dyDescent="0.25">
      <c r="A330" s="1">
        <v>44850</v>
      </c>
      <c r="B330">
        <v>1275.0054929999999</v>
      </c>
      <c r="C330">
        <v>1312.6345209999999</v>
      </c>
      <c r="D330">
        <v>1275.0054929999999</v>
      </c>
      <c r="E330">
        <v>1306.2966309999999</v>
      </c>
      <c r="F330">
        <v>1306.2966309999999</v>
      </c>
      <c r="G330">
        <v>7491625206</v>
      </c>
      <c r="H330">
        <v>19068.914063</v>
      </c>
      <c r="I330">
        <v>19389.603515999999</v>
      </c>
      <c r="J330">
        <v>19068.914063</v>
      </c>
      <c r="K330">
        <v>19268.09375</v>
      </c>
      <c r="L330">
        <v>19268.09375</v>
      </c>
      <c r="M330">
        <v>17988916650</v>
      </c>
      <c r="N330">
        <v>1.000084</v>
      </c>
      <c r="O330">
        <v>1.000149</v>
      </c>
      <c r="P330">
        <v>1.0000290000000001</v>
      </c>
      <c r="Q330">
        <v>1.000057</v>
      </c>
      <c r="R330">
        <v>1.000057</v>
      </c>
      <c r="S330">
        <v>27428821905</v>
      </c>
      <c r="T330">
        <v>0.99990599999999996</v>
      </c>
      <c r="U330">
        <v>1.000286</v>
      </c>
      <c r="V330">
        <v>0.99983200000000005</v>
      </c>
      <c r="W330">
        <v>0.99995299999999998</v>
      </c>
      <c r="X330">
        <v>0.99995299999999998</v>
      </c>
      <c r="Y330">
        <v>2511992440</v>
      </c>
      <c r="Z330">
        <v>0.363813</v>
      </c>
      <c r="AA330">
        <v>0.37441799999999997</v>
      </c>
      <c r="AB330">
        <v>0.363813</v>
      </c>
      <c r="AC330">
        <v>0.37028100000000003</v>
      </c>
      <c r="AD330">
        <v>0.37028100000000003</v>
      </c>
      <c r="AE330">
        <v>337167739</v>
      </c>
      <c r="AK330" s="1">
        <v>44850</v>
      </c>
      <c r="AL330">
        <f t="shared" si="5"/>
        <v>1275.0054929999999</v>
      </c>
      <c r="AM330">
        <f>INDEX(A:AE,MATCH(AK330,worksheet!A:A,0),MATCH(worksheet!AM329,worksheet!A329:AE329,0))</f>
        <v>19068.914063</v>
      </c>
      <c r="AN330">
        <f>INDEX(A:AE,MATCH(AK330,worksheet!A:A,0),MATCH(worksheet!AN329,worksheet!A329:AE329,0))</f>
        <v>0.363813</v>
      </c>
      <c r="AO330">
        <f>INDEX(A:AE,MATCH(AK330,worksheet!A:A,0),MATCH(worksheet!AO329,worksheet!A329:AE329,0))</f>
        <v>1.000084</v>
      </c>
      <c r="AP330">
        <f>INDEX(A:AE,MATCH(AK330,worksheet!A:A,0),MATCH(worksheet!AP329,worksheet!A329:AE329,0))</f>
        <v>1.000149</v>
      </c>
    </row>
    <row r="331" spans="1:42" x14ac:dyDescent="0.25">
      <c r="A331" s="1">
        <v>44851</v>
      </c>
      <c r="B331">
        <v>1306.3095699999999</v>
      </c>
      <c r="C331">
        <v>1335.647827</v>
      </c>
      <c r="D331">
        <v>1297.4472659999999</v>
      </c>
      <c r="E331">
        <v>1331.7136230000001</v>
      </c>
      <c r="F331">
        <v>1331.7136230000001</v>
      </c>
      <c r="G331">
        <v>9401189650</v>
      </c>
      <c r="H331">
        <v>19268.5625</v>
      </c>
      <c r="I331">
        <v>19635.802734000001</v>
      </c>
      <c r="J331">
        <v>19173.333984000001</v>
      </c>
      <c r="K331">
        <v>19550.757813</v>
      </c>
      <c r="L331">
        <v>19550.757813</v>
      </c>
      <c r="M331">
        <v>27472552998</v>
      </c>
      <c r="N331">
        <v>1.0000599999999999</v>
      </c>
      <c r="O331">
        <v>1.000148</v>
      </c>
      <c r="P331">
        <v>1.0000119999999999</v>
      </c>
      <c r="Q331">
        <v>1.0000690000000001</v>
      </c>
      <c r="R331">
        <v>1.0000690000000001</v>
      </c>
      <c r="S331">
        <v>36706571573</v>
      </c>
      <c r="T331">
        <v>0.99996099999999999</v>
      </c>
      <c r="U331">
        <v>1.0002180000000001</v>
      </c>
      <c r="V331">
        <v>0.99985400000000002</v>
      </c>
      <c r="W331">
        <v>0.99998500000000001</v>
      </c>
      <c r="X331">
        <v>0.99998500000000001</v>
      </c>
      <c r="Y331">
        <v>2980936199</v>
      </c>
      <c r="Z331">
        <v>0.37027100000000002</v>
      </c>
      <c r="AA331">
        <v>0.37532799999999999</v>
      </c>
      <c r="AB331">
        <v>0.36659900000000001</v>
      </c>
      <c r="AC331">
        <v>0.37234499999999998</v>
      </c>
      <c r="AD331">
        <v>0.37234499999999998</v>
      </c>
      <c r="AE331">
        <v>360241999</v>
      </c>
      <c r="AK331" s="1">
        <v>44851</v>
      </c>
      <c r="AL331">
        <f t="shared" si="5"/>
        <v>1306.3095699999999</v>
      </c>
      <c r="AM331">
        <f>INDEX(A:AE,MATCH(AK331,worksheet!A:A,0),MATCH(worksheet!AM330,worksheet!A330:AE330,0))</f>
        <v>19268.5625</v>
      </c>
      <c r="AN331">
        <f>INDEX(A:AE,MATCH(AK331,worksheet!A:A,0),MATCH(worksheet!AN330,worksheet!A330:AE330,0))</f>
        <v>0.37027100000000002</v>
      </c>
      <c r="AO331">
        <f>INDEX(A:AE,MATCH(AK331,worksheet!A:A,0),MATCH(worksheet!AO330,worksheet!A330:AE330,0))</f>
        <v>1.0000599999999999</v>
      </c>
      <c r="AP331">
        <f>INDEX(A:AE,MATCH(AK331,worksheet!A:A,0),MATCH(worksheet!AP330,worksheet!A330:AE330,0))</f>
        <v>1.000148</v>
      </c>
    </row>
    <row r="332" spans="1:42" x14ac:dyDescent="0.25">
      <c r="A332" s="1">
        <v>44852</v>
      </c>
      <c r="B332">
        <v>1331.669922</v>
      </c>
      <c r="C332">
        <v>1339.0859379999999</v>
      </c>
      <c r="D332">
        <v>1291.6606449999999</v>
      </c>
      <c r="E332">
        <v>1310.4470209999999</v>
      </c>
      <c r="F332">
        <v>1310.4470209999999</v>
      </c>
      <c r="G332">
        <v>10416747806</v>
      </c>
      <c r="H332">
        <v>19550.466797000001</v>
      </c>
      <c r="I332">
        <v>19666.994140999999</v>
      </c>
      <c r="J332">
        <v>19144.769531000002</v>
      </c>
      <c r="K332">
        <v>19334.416015999999</v>
      </c>
      <c r="L332">
        <v>19334.416015999999</v>
      </c>
      <c r="M332">
        <v>30580012344</v>
      </c>
      <c r="N332">
        <v>1.000068</v>
      </c>
      <c r="O332">
        <v>1.0001979999999999</v>
      </c>
      <c r="P332">
        <v>1.0000370000000001</v>
      </c>
      <c r="Q332">
        <v>1.0001059999999999</v>
      </c>
      <c r="R332">
        <v>1.0001059999999999</v>
      </c>
      <c r="S332">
        <v>39012357142</v>
      </c>
      <c r="T332">
        <v>0.99999099999999996</v>
      </c>
      <c r="U332">
        <v>1.000302</v>
      </c>
      <c r="V332">
        <v>0.99984799999999996</v>
      </c>
      <c r="W332">
        <v>0.99999800000000005</v>
      </c>
      <c r="X332">
        <v>0.99999800000000005</v>
      </c>
      <c r="Y332">
        <v>2885568216</v>
      </c>
      <c r="Z332">
        <v>0.37234299999999998</v>
      </c>
      <c r="AA332">
        <v>0.37390299999999999</v>
      </c>
      <c r="AB332">
        <v>0.35931800000000003</v>
      </c>
      <c r="AC332">
        <v>0.36181999999999997</v>
      </c>
      <c r="AD332">
        <v>0.36181999999999997</v>
      </c>
      <c r="AE332">
        <v>435708572</v>
      </c>
      <c r="AK332" s="1">
        <v>44852</v>
      </c>
      <c r="AL332">
        <f t="shared" si="5"/>
        <v>1331.669922</v>
      </c>
      <c r="AM332">
        <f>INDEX(A:AE,MATCH(AK332,worksheet!A:A,0),MATCH(worksheet!AM331,worksheet!A331:AE331,0))</f>
        <v>19550.466797000001</v>
      </c>
      <c r="AN332">
        <f>INDEX(A:AE,MATCH(AK332,worksheet!A:A,0),MATCH(worksheet!AN331,worksheet!A331:AE331,0))</f>
        <v>0.37234299999999998</v>
      </c>
      <c r="AO332">
        <f>INDEX(A:AE,MATCH(AK332,worksheet!A:A,0),MATCH(worksheet!AO331,worksheet!A331:AE331,0))</f>
        <v>1.000068</v>
      </c>
      <c r="AP332">
        <f>INDEX(A:AE,MATCH(AK332,worksheet!A:A,0),MATCH(worksheet!AP331,worksheet!A331:AE331,0))</f>
        <v>1.0001979999999999</v>
      </c>
    </row>
    <row r="333" spans="1:42" x14ac:dyDescent="0.25">
      <c r="A333" s="1">
        <v>44853</v>
      </c>
      <c r="B333">
        <v>1310.5631100000001</v>
      </c>
      <c r="C333">
        <v>1312.4423830000001</v>
      </c>
      <c r="D333">
        <v>1283.965332</v>
      </c>
      <c r="E333">
        <v>1285.744263</v>
      </c>
      <c r="F333">
        <v>1285.744263</v>
      </c>
      <c r="G333">
        <v>8350692785</v>
      </c>
      <c r="H333">
        <v>19335.027343999998</v>
      </c>
      <c r="I333">
        <v>19348.416015999999</v>
      </c>
      <c r="J333">
        <v>19127.6875</v>
      </c>
      <c r="K333">
        <v>19139.535156000002</v>
      </c>
      <c r="L333">
        <v>19139.535156000002</v>
      </c>
      <c r="M333">
        <v>22425387184</v>
      </c>
      <c r="N333">
        <v>1.000105</v>
      </c>
      <c r="O333">
        <v>1.00021</v>
      </c>
      <c r="P333">
        <v>1.0000359999999999</v>
      </c>
      <c r="Q333">
        <v>1.0000599999999999</v>
      </c>
      <c r="R333">
        <v>1.0000599999999999</v>
      </c>
      <c r="S333">
        <v>32767030077</v>
      </c>
      <c r="T333">
        <v>0.99998200000000004</v>
      </c>
      <c r="U333">
        <v>1.0004029999999999</v>
      </c>
      <c r="V333">
        <v>0.99976100000000001</v>
      </c>
      <c r="W333">
        <v>1.0000549999999999</v>
      </c>
      <c r="X333">
        <v>1.0000549999999999</v>
      </c>
      <c r="Y333">
        <v>2645576295</v>
      </c>
      <c r="Z333">
        <v>0.36189199999999999</v>
      </c>
      <c r="AA333">
        <v>0.36219899999999999</v>
      </c>
      <c r="AB333">
        <v>0.34957700000000003</v>
      </c>
      <c r="AC333">
        <v>0.35003200000000001</v>
      </c>
      <c r="AD333">
        <v>0.35003200000000001</v>
      </c>
      <c r="AE333">
        <v>430500856</v>
      </c>
      <c r="AK333" s="1">
        <v>44853</v>
      </c>
      <c r="AL333">
        <f t="shared" si="5"/>
        <v>1310.5631100000001</v>
      </c>
      <c r="AM333">
        <f>INDEX(A:AE,MATCH(AK333,worksheet!A:A,0),MATCH(worksheet!AM332,worksheet!A332:AE332,0))</f>
        <v>19335.027343999998</v>
      </c>
      <c r="AN333">
        <f>INDEX(A:AE,MATCH(AK333,worksheet!A:A,0),MATCH(worksheet!AN332,worksheet!A332:AE332,0))</f>
        <v>0.36189199999999999</v>
      </c>
      <c r="AO333">
        <f>INDEX(A:AE,MATCH(AK333,worksheet!A:A,0),MATCH(worksheet!AO332,worksheet!A332:AE332,0))</f>
        <v>1.000105</v>
      </c>
      <c r="AP333">
        <f>INDEX(A:AE,MATCH(AK333,worksheet!A:A,0),MATCH(worksheet!AP332,worksheet!A332:AE332,0))</f>
        <v>1.00021</v>
      </c>
    </row>
    <row r="334" spans="1:42" x14ac:dyDescent="0.25">
      <c r="A334" s="1">
        <v>44854</v>
      </c>
      <c r="B334">
        <v>1285.6602780000001</v>
      </c>
      <c r="C334">
        <v>1307.8551030000001</v>
      </c>
      <c r="D334">
        <v>1275.323975</v>
      </c>
      <c r="E334">
        <v>1283.200928</v>
      </c>
      <c r="F334">
        <v>1283.200928</v>
      </c>
      <c r="G334">
        <v>9009111996</v>
      </c>
      <c r="H334">
        <v>19138.085938</v>
      </c>
      <c r="I334">
        <v>19315.199218999998</v>
      </c>
      <c r="J334">
        <v>18971.458984000001</v>
      </c>
      <c r="K334">
        <v>19053.740234000001</v>
      </c>
      <c r="L334">
        <v>19053.740234000001</v>
      </c>
      <c r="M334">
        <v>24493974420</v>
      </c>
      <c r="N334">
        <v>1.000068</v>
      </c>
      <c r="O334">
        <v>1.000159</v>
      </c>
      <c r="P334">
        <v>0.99996399999999996</v>
      </c>
      <c r="Q334">
        <v>0.99999400000000005</v>
      </c>
      <c r="R334">
        <v>0.99999400000000005</v>
      </c>
      <c r="S334">
        <v>32981854458</v>
      </c>
      <c r="T334">
        <v>1.0000389999999999</v>
      </c>
      <c r="U334">
        <v>1.000402</v>
      </c>
      <c r="V334">
        <v>0.99975099999999995</v>
      </c>
      <c r="W334">
        <v>1</v>
      </c>
      <c r="X334">
        <v>1</v>
      </c>
      <c r="Y334">
        <v>2679829482</v>
      </c>
      <c r="Z334">
        <v>0.35004400000000002</v>
      </c>
      <c r="AA334">
        <v>0.35550399999999999</v>
      </c>
      <c r="AB334">
        <v>0.33772400000000002</v>
      </c>
      <c r="AC334">
        <v>0.340254</v>
      </c>
      <c r="AD334">
        <v>0.340254</v>
      </c>
      <c r="AE334">
        <v>497190070</v>
      </c>
      <c r="AK334" s="1">
        <v>44854</v>
      </c>
      <c r="AL334">
        <f t="shared" si="5"/>
        <v>1285.6602780000001</v>
      </c>
      <c r="AM334">
        <f>INDEX(A:AE,MATCH(AK334,worksheet!A:A,0),MATCH(worksheet!AM333,worksheet!A333:AE333,0))</f>
        <v>19138.085938</v>
      </c>
      <c r="AN334">
        <f>INDEX(A:AE,MATCH(AK334,worksheet!A:A,0),MATCH(worksheet!AN333,worksheet!A333:AE333,0))</f>
        <v>0.35004400000000002</v>
      </c>
      <c r="AO334">
        <f>INDEX(A:AE,MATCH(AK334,worksheet!A:A,0),MATCH(worksheet!AO333,worksheet!A333:AE333,0))</f>
        <v>1.000068</v>
      </c>
      <c r="AP334">
        <f>INDEX(A:AE,MATCH(AK334,worksheet!A:A,0),MATCH(worksheet!AP333,worksheet!A333:AE333,0))</f>
        <v>1.000159</v>
      </c>
    </row>
    <row r="335" spans="1:42" x14ac:dyDescent="0.25">
      <c r="A335" s="1">
        <v>44855</v>
      </c>
      <c r="B335">
        <v>1283.1881100000001</v>
      </c>
      <c r="C335">
        <v>1305.0812989999999</v>
      </c>
      <c r="D335">
        <v>1260.6667480000001</v>
      </c>
      <c r="E335">
        <v>1299.9464109999999</v>
      </c>
      <c r="F335">
        <v>1299.9464109999999</v>
      </c>
      <c r="G335">
        <v>10412565245</v>
      </c>
      <c r="H335">
        <v>19053.203125</v>
      </c>
      <c r="I335">
        <v>19237.384765999999</v>
      </c>
      <c r="J335">
        <v>18770.970702999999</v>
      </c>
      <c r="K335">
        <v>19172.46875</v>
      </c>
      <c r="L335">
        <v>19172.46875</v>
      </c>
      <c r="M335">
        <v>32459287866</v>
      </c>
      <c r="N335">
        <v>1</v>
      </c>
      <c r="O335">
        <v>1.0001409999999999</v>
      </c>
      <c r="P335">
        <v>0.99992800000000004</v>
      </c>
      <c r="Q335">
        <v>1.0001230000000001</v>
      </c>
      <c r="R335">
        <v>1.0001230000000001</v>
      </c>
      <c r="S335">
        <v>41430999058</v>
      </c>
      <c r="T335">
        <v>0.99998600000000004</v>
      </c>
      <c r="U335">
        <v>1.000402</v>
      </c>
      <c r="V335">
        <v>0.99983900000000003</v>
      </c>
      <c r="W335">
        <v>1.000014</v>
      </c>
      <c r="X335">
        <v>1.000014</v>
      </c>
      <c r="Y335">
        <v>3250082894</v>
      </c>
      <c r="Z335">
        <v>0.34025100000000003</v>
      </c>
      <c r="AA335">
        <v>0.34957700000000003</v>
      </c>
      <c r="AB335">
        <v>0.33099400000000001</v>
      </c>
      <c r="AC335">
        <v>0.34907700000000003</v>
      </c>
      <c r="AD335">
        <v>0.34907700000000003</v>
      </c>
      <c r="AE335">
        <v>513576018</v>
      </c>
      <c r="AK335" s="1">
        <v>44855</v>
      </c>
      <c r="AL335">
        <f t="shared" si="5"/>
        <v>1283.1881100000001</v>
      </c>
      <c r="AM335">
        <f>INDEX(A:AE,MATCH(AK335,worksheet!A:A,0),MATCH(worksheet!AM334,worksheet!A334:AE334,0))</f>
        <v>19053.203125</v>
      </c>
      <c r="AN335">
        <f>INDEX(A:AE,MATCH(AK335,worksheet!A:A,0),MATCH(worksheet!AN334,worksheet!A334:AE334,0))</f>
        <v>0.34025100000000003</v>
      </c>
      <c r="AO335">
        <f>INDEX(A:AE,MATCH(AK335,worksheet!A:A,0),MATCH(worksheet!AO334,worksheet!A334:AE334,0))</f>
        <v>1</v>
      </c>
      <c r="AP335">
        <f>INDEX(A:AE,MATCH(AK335,worksheet!A:A,0),MATCH(worksheet!AP334,worksheet!A334:AE334,0))</f>
        <v>1.0001409999999999</v>
      </c>
    </row>
    <row r="336" spans="1:42" x14ac:dyDescent="0.25">
      <c r="A336" s="1">
        <v>44856</v>
      </c>
      <c r="B336">
        <v>1299.9023440000001</v>
      </c>
      <c r="C336">
        <v>1317.1010739999999</v>
      </c>
      <c r="D336">
        <v>1295.946899</v>
      </c>
      <c r="E336">
        <v>1314.2991939999999</v>
      </c>
      <c r="F336">
        <v>1314.2991939999999</v>
      </c>
      <c r="G336">
        <v>7175324564</v>
      </c>
      <c r="H336">
        <v>19172.380859000001</v>
      </c>
      <c r="I336">
        <v>19248.068359000001</v>
      </c>
      <c r="J336">
        <v>19132.244140999999</v>
      </c>
      <c r="K336">
        <v>19208.189452999999</v>
      </c>
      <c r="L336">
        <v>19208.189452999999</v>
      </c>
      <c r="M336">
        <v>16104440957</v>
      </c>
      <c r="N336">
        <v>1.000124</v>
      </c>
      <c r="O336">
        <v>1.0001960000000001</v>
      </c>
      <c r="P336">
        <v>1.0000169999999999</v>
      </c>
      <c r="Q336">
        <v>1.0000849999999999</v>
      </c>
      <c r="R336">
        <v>1.0000849999999999</v>
      </c>
      <c r="S336">
        <v>24133042918</v>
      </c>
      <c r="T336">
        <v>1.000019</v>
      </c>
      <c r="U336">
        <v>1.0001910000000001</v>
      </c>
      <c r="V336">
        <v>0.99980999999999998</v>
      </c>
      <c r="W336">
        <v>1.0000290000000001</v>
      </c>
      <c r="X336">
        <v>1.0000290000000001</v>
      </c>
      <c r="Y336">
        <v>1929650726</v>
      </c>
      <c r="Z336">
        <v>0.34909800000000002</v>
      </c>
      <c r="AA336">
        <v>0.353987</v>
      </c>
      <c r="AB336">
        <v>0.34396100000000002</v>
      </c>
      <c r="AC336">
        <v>0.35140900000000003</v>
      </c>
      <c r="AD336">
        <v>0.35140900000000003</v>
      </c>
      <c r="AE336">
        <v>345854400</v>
      </c>
      <c r="AK336" s="1">
        <v>44856</v>
      </c>
      <c r="AL336">
        <f t="shared" si="5"/>
        <v>1299.9023440000001</v>
      </c>
      <c r="AM336">
        <f>INDEX(A:AE,MATCH(AK336,worksheet!A:A,0),MATCH(worksheet!AM335,worksheet!A335:AE335,0))</f>
        <v>19172.380859000001</v>
      </c>
      <c r="AN336">
        <f>INDEX(A:AE,MATCH(AK336,worksheet!A:A,0),MATCH(worksheet!AN335,worksheet!A335:AE335,0))</f>
        <v>0.34909800000000002</v>
      </c>
      <c r="AO336">
        <f>INDEX(A:AE,MATCH(AK336,worksheet!A:A,0),MATCH(worksheet!AO335,worksheet!A335:AE335,0))</f>
        <v>1.000124</v>
      </c>
      <c r="AP336">
        <f>INDEX(A:AE,MATCH(AK336,worksheet!A:A,0),MATCH(worksheet!AP335,worksheet!A335:AE335,0))</f>
        <v>1.0001960000000001</v>
      </c>
    </row>
    <row r="337" spans="1:42" x14ac:dyDescent="0.25">
      <c r="A337" s="1">
        <v>44857</v>
      </c>
      <c r="B337">
        <v>1314.2495120000001</v>
      </c>
      <c r="C337">
        <v>1367.7607419999999</v>
      </c>
      <c r="D337">
        <v>1302.908813</v>
      </c>
      <c r="E337">
        <v>1363.4470209999999</v>
      </c>
      <c r="F337">
        <v>1363.4470209999999</v>
      </c>
      <c r="G337">
        <v>9909510925</v>
      </c>
      <c r="H337">
        <v>19207.734375</v>
      </c>
      <c r="I337">
        <v>19646.652343999998</v>
      </c>
      <c r="J337">
        <v>19124.197265999999</v>
      </c>
      <c r="K337">
        <v>19567.007813</v>
      </c>
      <c r="L337">
        <v>19567.007813</v>
      </c>
      <c r="M337">
        <v>22128794335</v>
      </c>
      <c r="N337">
        <v>1.0000610000000001</v>
      </c>
      <c r="O337">
        <v>1.000203</v>
      </c>
      <c r="P337">
        <v>1.000024</v>
      </c>
      <c r="Q337">
        <v>1.0000770000000001</v>
      </c>
      <c r="R337">
        <v>1.0000770000000001</v>
      </c>
      <c r="S337">
        <v>31629519444</v>
      </c>
      <c r="T337">
        <v>1.0000230000000001</v>
      </c>
      <c r="U337">
        <v>1.000316</v>
      </c>
      <c r="V337">
        <v>0.99978199999999995</v>
      </c>
      <c r="W337">
        <v>1.00003</v>
      </c>
      <c r="X337">
        <v>1.00003</v>
      </c>
      <c r="Y337">
        <v>2276952462</v>
      </c>
      <c r="Z337">
        <v>0.35139799999999999</v>
      </c>
      <c r="AA337">
        <v>0.36330000000000001</v>
      </c>
      <c r="AB337">
        <v>0.34660200000000002</v>
      </c>
      <c r="AC337">
        <v>0.362099</v>
      </c>
      <c r="AD337">
        <v>0.362099</v>
      </c>
      <c r="AE337">
        <v>394201921</v>
      </c>
      <c r="AK337" s="1">
        <v>44857</v>
      </c>
      <c r="AL337">
        <f t="shared" si="5"/>
        <v>1314.2495120000001</v>
      </c>
      <c r="AM337">
        <f>INDEX(A:AE,MATCH(AK337,worksheet!A:A,0),MATCH(worksheet!AM336,worksheet!A336:AE336,0))</f>
        <v>19207.734375</v>
      </c>
      <c r="AN337">
        <f>INDEX(A:AE,MATCH(AK337,worksheet!A:A,0),MATCH(worksheet!AN336,worksheet!A336:AE336,0))</f>
        <v>0.35139799999999999</v>
      </c>
      <c r="AO337">
        <f>INDEX(A:AE,MATCH(AK337,worksheet!A:A,0),MATCH(worksheet!AO336,worksheet!A336:AE336,0))</f>
        <v>1.0000610000000001</v>
      </c>
      <c r="AP337">
        <f>INDEX(A:AE,MATCH(AK337,worksheet!A:A,0),MATCH(worksheet!AP336,worksheet!A336:AE336,0))</f>
        <v>1.000203</v>
      </c>
    </row>
    <row r="338" spans="1:42" x14ac:dyDescent="0.25">
      <c r="A338" s="1">
        <v>44858</v>
      </c>
      <c r="B338">
        <v>1363.4918210000001</v>
      </c>
      <c r="C338">
        <v>1368.4255370000001</v>
      </c>
      <c r="D338">
        <v>1327.854004</v>
      </c>
      <c r="E338">
        <v>1344.9985349999999</v>
      </c>
      <c r="F338">
        <v>1344.9985349999999</v>
      </c>
      <c r="G338">
        <v>13092820173</v>
      </c>
      <c r="H338">
        <v>19567.769531000002</v>
      </c>
      <c r="I338">
        <v>19589.125</v>
      </c>
      <c r="J338">
        <v>19206.324218999998</v>
      </c>
      <c r="K338">
        <v>19345.572265999999</v>
      </c>
      <c r="L338">
        <v>19345.572265999999</v>
      </c>
      <c r="M338">
        <v>30202235805</v>
      </c>
      <c r="N338">
        <v>1.00007</v>
      </c>
      <c r="O338">
        <v>1.000175</v>
      </c>
      <c r="P338">
        <v>1.000041</v>
      </c>
      <c r="Q338">
        <v>1.000057</v>
      </c>
      <c r="R338">
        <v>1.000057</v>
      </c>
      <c r="S338">
        <v>40494105063</v>
      </c>
      <c r="T338">
        <v>1.0000800000000001</v>
      </c>
      <c r="U338">
        <v>1.0002599999999999</v>
      </c>
      <c r="V338">
        <v>0.99976699999999996</v>
      </c>
      <c r="W338">
        <v>0.99997999999999998</v>
      </c>
      <c r="X338">
        <v>0.99997999999999998</v>
      </c>
      <c r="Y338">
        <v>3031244247</v>
      </c>
      <c r="Z338">
        <v>0.36209599999999997</v>
      </c>
      <c r="AA338">
        <v>0.36459000000000003</v>
      </c>
      <c r="AB338">
        <v>0.35438399999999998</v>
      </c>
      <c r="AC338">
        <v>0.35785699999999998</v>
      </c>
      <c r="AD338">
        <v>0.35785699999999998</v>
      </c>
      <c r="AE338">
        <v>389895509</v>
      </c>
      <c r="AK338" s="1">
        <v>44858</v>
      </c>
      <c r="AL338">
        <f t="shared" si="5"/>
        <v>1363.4918210000001</v>
      </c>
      <c r="AM338">
        <f>INDEX(A:AE,MATCH(AK338,worksheet!A:A,0),MATCH(worksheet!AM337,worksheet!A337:AE337,0))</f>
        <v>19567.769531000002</v>
      </c>
      <c r="AN338">
        <f>INDEX(A:AE,MATCH(AK338,worksheet!A:A,0),MATCH(worksheet!AN337,worksheet!A337:AE337,0))</f>
        <v>0.36209599999999997</v>
      </c>
      <c r="AO338">
        <f>INDEX(A:AE,MATCH(AK338,worksheet!A:A,0),MATCH(worksheet!AO337,worksheet!A337:AE337,0))</f>
        <v>1.00007</v>
      </c>
      <c r="AP338">
        <f>INDEX(A:AE,MATCH(AK338,worksheet!A:A,0),MATCH(worksheet!AP337,worksheet!A337:AE337,0))</f>
        <v>1.000175</v>
      </c>
    </row>
    <row r="339" spans="1:42" x14ac:dyDescent="0.25">
      <c r="A339" s="1">
        <v>44859</v>
      </c>
      <c r="B339">
        <v>1344.7113039999999</v>
      </c>
      <c r="C339">
        <v>1509.9854740000001</v>
      </c>
      <c r="D339">
        <v>1336.9788820000001</v>
      </c>
      <c r="E339">
        <v>1461.665405</v>
      </c>
      <c r="F339">
        <v>1461.665405</v>
      </c>
      <c r="G339">
        <v>25367291294</v>
      </c>
      <c r="H339">
        <v>19344.964843999998</v>
      </c>
      <c r="I339">
        <v>20348.412109000001</v>
      </c>
      <c r="J339">
        <v>19261.447265999999</v>
      </c>
      <c r="K339">
        <v>20095.857422000001</v>
      </c>
      <c r="L339">
        <v>20095.857422000001</v>
      </c>
      <c r="M339">
        <v>47761524910</v>
      </c>
      <c r="N339">
        <v>1.000046</v>
      </c>
      <c r="O339">
        <v>1.0002549999999999</v>
      </c>
      <c r="P339">
        <v>1.0000150000000001</v>
      </c>
      <c r="Q339">
        <v>1.000208</v>
      </c>
      <c r="R339">
        <v>1.000208</v>
      </c>
      <c r="S339">
        <v>64740988487</v>
      </c>
      <c r="T339">
        <v>0.999942</v>
      </c>
      <c r="U339">
        <v>1.000732</v>
      </c>
      <c r="V339">
        <v>0.99970599999999998</v>
      </c>
      <c r="W339">
        <v>0.99996600000000002</v>
      </c>
      <c r="X339">
        <v>0.99996600000000002</v>
      </c>
      <c r="Y339">
        <v>4523233356</v>
      </c>
      <c r="Z339">
        <v>0.35783799999999999</v>
      </c>
      <c r="AA339">
        <v>0.41418899999999997</v>
      </c>
      <c r="AB339">
        <v>0.35770999999999997</v>
      </c>
      <c r="AC339">
        <v>0.40198800000000001</v>
      </c>
      <c r="AD339">
        <v>0.40198800000000001</v>
      </c>
      <c r="AE339">
        <v>1215554912</v>
      </c>
      <c r="AK339" s="1">
        <v>44859</v>
      </c>
      <c r="AL339">
        <f t="shared" si="5"/>
        <v>1344.7113039999999</v>
      </c>
      <c r="AM339">
        <f>INDEX(A:AE,MATCH(AK339,worksheet!A:A,0),MATCH(worksheet!AM338,worksheet!A338:AE338,0))</f>
        <v>19344.964843999998</v>
      </c>
      <c r="AN339">
        <f>INDEX(A:AE,MATCH(AK339,worksheet!A:A,0),MATCH(worksheet!AN338,worksheet!A338:AE338,0))</f>
        <v>0.35783799999999999</v>
      </c>
      <c r="AO339">
        <f>INDEX(A:AE,MATCH(AK339,worksheet!A:A,0),MATCH(worksheet!AO338,worksheet!A338:AE338,0))</f>
        <v>1.000046</v>
      </c>
      <c r="AP339">
        <f>INDEX(A:AE,MATCH(AK339,worksheet!A:A,0),MATCH(worksheet!AP338,worksheet!A338:AE338,0))</f>
        <v>1.0002549999999999</v>
      </c>
    </row>
    <row r="340" spans="1:42" x14ac:dyDescent="0.25">
      <c r="A340" s="1">
        <v>44860</v>
      </c>
      <c r="B340">
        <v>1461.1331789999999</v>
      </c>
      <c r="C340">
        <v>1584.6367190000001</v>
      </c>
      <c r="D340">
        <v>1460.428711</v>
      </c>
      <c r="E340">
        <v>1566.56665</v>
      </c>
      <c r="F340">
        <v>1566.56665</v>
      </c>
      <c r="G340">
        <v>32705548427</v>
      </c>
      <c r="H340">
        <v>20092.236327999999</v>
      </c>
      <c r="I340">
        <v>20938.134765999999</v>
      </c>
      <c r="J340">
        <v>20076.117188</v>
      </c>
      <c r="K340">
        <v>20770.441406000002</v>
      </c>
      <c r="L340">
        <v>20770.441406000002</v>
      </c>
      <c r="M340">
        <v>58895950537</v>
      </c>
      <c r="N340">
        <v>1.0002</v>
      </c>
      <c r="O340">
        <v>1.0002770000000001</v>
      </c>
      <c r="P340">
        <v>1.000119</v>
      </c>
      <c r="Q340">
        <v>1.0001990000000001</v>
      </c>
      <c r="R340">
        <v>1.0001990000000001</v>
      </c>
      <c r="S340">
        <v>78294376043</v>
      </c>
      <c r="T340">
        <v>0.99992599999999998</v>
      </c>
      <c r="U340">
        <v>1.0004249999999999</v>
      </c>
      <c r="V340">
        <v>0.99971200000000005</v>
      </c>
      <c r="W340">
        <v>1.000027</v>
      </c>
      <c r="X340">
        <v>1.000027</v>
      </c>
      <c r="Y340">
        <v>4575654708</v>
      </c>
      <c r="Z340">
        <v>0.40167199999999997</v>
      </c>
      <c r="AA340">
        <v>0.41021200000000002</v>
      </c>
      <c r="AB340">
        <v>0.39635700000000001</v>
      </c>
      <c r="AC340">
        <v>0.40349200000000002</v>
      </c>
      <c r="AD340">
        <v>0.40349200000000002</v>
      </c>
      <c r="AE340">
        <v>761857225</v>
      </c>
      <c r="AK340" s="1">
        <v>44860</v>
      </c>
      <c r="AL340">
        <f t="shared" si="5"/>
        <v>1461.1331789999999</v>
      </c>
      <c r="AM340">
        <f>INDEX(A:AE,MATCH(AK340,worksheet!A:A,0),MATCH(worksheet!AM339,worksheet!A339:AE339,0))</f>
        <v>20092.236327999999</v>
      </c>
      <c r="AN340">
        <f>INDEX(A:AE,MATCH(AK340,worksheet!A:A,0),MATCH(worksheet!AN339,worksheet!A339:AE339,0))</f>
        <v>0.40167199999999997</v>
      </c>
      <c r="AO340">
        <f>INDEX(A:AE,MATCH(AK340,worksheet!A:A,0),MATCH(worksheet!AO339,worksheet!A339:AE339,0))</f>
        <v>1.0002</v>
      </c>
      <c r="AP340">
        <f>INDEX(A:AE,MATCH(AK340,worksheet!A:A,0),MATCH(worksheet!AP339,worksheet!A339:AE339,0))</f>
        <v>1.0002770000000001</v>
      </c>
    </row>
    <row r="341" spans="1:42" x14ac:dyDescent="0.25">
      <c r="A341" s="1">
        <v>44861</v>
      </c>
      <c r="B341">
        <v>1566.8414310000001</v>
      </c>
      <c r="C341">
        <v>1574.403442</v>
      </c>
      <c r="D341">
        <v>1510.8167719999999</v>
      </c>
      <c r="E341">
        <v>1514.3748780000001</v>
      </c>
      <c r="F341">
        <v>1514.3748780000001</v>
      </c>
      <c r="G341">
        <v>22813499245</v>
      </c>
      <c r="H341">
        <v>20772.802734000001</v>
      </c>
      <c r="I341">
        <v>20854.044922000001</v>
      </c>
      <c r="J341">
        <v>20255.373047000001</v>
      </c>
      <c r="K341">
        <v>20285.835938</v>
      </c>
      <c r="L341">
        <v>20285.835938</v>
      </c>
      <c r="M341">
        <v>49625110402</v>
      </c>
      <c r="N341">
        <v>1.0002040000000001</v>
      </c>
      <c r="O341">
        <v>1.0002629999999999</v>
      </c>
      <c r="P341">
        <v>1.0000560000000001</v>
      </c>
      <c r="Q341">
        <v>1.000092</v>
      </c>
      <c r="R341">
        <v>1.000092</v>
      </c>
      <c r="S341">
        <v>68447928073</v>
      </c>
      <c r="T341">
        <v>1.000022</v>
      </c>
      <c r="U341">
        <v>1.0002610000000001</v>
      </c>
      <c r="V341">
        <v>0.99973100000000004</v>
      </c>
      <c r="W341">
        <v>0.999969</v>
      </c>
      <c r="X341">
        <v>0.999969</v>
      </c>
      <c r="Y341">
        <v>4234666654</v>
      </c>
      <c r="Z341">
        <v>0.40351100000000001</v>
      </c>
      <c r="AA341">
        <v>0.41426800000000003</v>
      </c>
      <c r="AB341">
        <v>0.38850400000000002</v>
      </c>
      <c r="AC341">
        <v>0.38869700000000001</v>
      </c>
      <c r="AD341">
        <v>0.38869700000000001</v>
      </c>
      <c r="AE341">
        <v>719088729</v>
      </c>
      <c r="AK341" s="1">
        <v>44861</v>
      </c>
      <c r="AL341">
        <f t="shared" si="5"/>
        <v>1566.8414310000001</v>
      </c>
      <c r="AM341">
        <f>INDEX(A:AE,MATCH(AK341,worksheet!A:A,0),MATCH(worksheet!AM340,worksheet!A340:AE340,0))</f>
        <v>20772.802734000001</v>
      </c>
      <c r="AN341">
        <f>INDEX(A:AE,MATCH(AK341,worksheet!A:A,0),MATCH(worksheet!AN340,worksheet!A340:AE340,0))</f>
        <v>0.40351100000000001</v>
      </c>
      <c r="AO341">
        <f>INDEX(A:AE,MATCH(AK341,worksheet!A:A,0),MATCH(worksheet!AO340,worksheet!A340:AE340,0))</f>
        <v>1.0002040000000001</v>
      </c>
      <c r="AP341">
        <f>INDEX(A:AE,MATCH(AK341,worksheet!A:A,0),MATCH(worksheet!AP340,worksheet!A340:AE340,0))</f>
        <v>1.0002629999999999</v>
      </c>
    </row>
    <row r="342" spans="1:42" x14ac:dyDescent="0.25">
      <c r="A342" s="1">
        <v>44862</v>
      </c>
      <c r="B342">
        <v>1514.32312</v>
      </c>
      <c r="C342">
        <v>1568.6339109999999</v>
      </c>
      <c r="D342">
        <v>1493.8710940000001</v>
      </c>
      <c r="E342">
        <v>1555.477905</v>
      </c>
      <c r="F342">
        <v>1555.477905</v>
      </c>
      <c r="G342">
        <v>19974623205</v>
      </c>
      <c r="H342">
        <v>20287.957031000002</v>
      </c>
      <c r="I342">
        <v>20724.980468999998</v>
      </c>
      <c r="J342">
        <v>20086.068359000001</v>
      </c>
      <c r="K342">
        <v>20595.351563</v>
      </c>
      <c r="L342">
        <v>20595.351563</v>
      </c>
      <c r="M342">
        <v>43994715910</v>
      </c>
      <c r="N342">
        <v>1.000097</v>
      </c>
      <c r="O342">
        <v>1.0002249999999999</v>
      </c>
      <c r="P342">
        <v>1.0000530000000001</v>
      </c>
      <c r="Q342">
        <v>1.000146</v>
      </c>
      <c r="R342">
        <v>1.000146</v>
      </c>
      <c r="S342">
        <v>61718295435</v>
      </c>
      <c r="T342">
        <v>0.99995299999999998</v>
      </c>
      <c r="U342">
        <v>1.0002880000000001</v>
      </c>
      <c r="V342">
        <v>0.99968599999999996</v>
      </c>
      <c r="W342">
        <v>0.99992300000000001</v>
      </c>
      <c r="X342">
        <v>0.99992300000000001</v>
      </c>
      <c r="Y342">
        <v>4000469292</v>
      </c>
      <c r="Z342">
        <v>0.38867099999999999</v>
      </c>
      <c r="AA342">
        <v>0.41074500000000003</v>
      </c>
      <c r="AB342">
        <v>0.38010699999999997</v>
      </c>
      <c r="AC342">
        <v>0.40450700000000001</v>
      </c>
      <c r="AD342">
        <v>0.40450700000000001</v>
      </c>
      <c r="AE342">
        <v>618236710</v>
      </c>
      <c r="AK342" s="1">
        <v>44862</v>
      </c>
      <c r="AL342">
        <f t="shared" si="5"/>
        <v>1514.32312</v>
      </c>
      <c r="AM342">
        <f>INDEX(A:AE,MATCH(AK342,worksheet!A:A,0),MATCH(worksheet!AM341,worksheet!A341:AE341,0))</f>
        <v>20287.957031000002</v>
      </c>
      <c r="AN342">
        <f>INDEX(A:AE,MATCH(AK342,worksheet!A:A,0),MATCH(worksheet!AN341,worksheet!A341:AE341,0))</f>
        <v>0.38867099999999999</v>
      </c>
      <c r="AO342">
        <f>INDEX(A:AE,MATCH(AK342,worksheet!A:A,0),MATCH(worksheet!AO341,worksheet!A341:AE341,0))</f>
        <v>1.000097</v>
      </c>
      <c r="AP342">
        <f>INDEX(A:AE,MATCH(AK342,worksheet!A:A,0),MATCH(worksheet!AP341,worksheet!A341:AE341,0))</f>
        <v>1.0002249999999999</v>
      </c>
    </row>
    <row r="343" spans="1:42" x14ac:dyDescent="0.25">
      <c r="A343" s="1">
        <v>44863</v>
      </c>
      <c r="B343">
        <v>1555.274658</v>
      </c>
      <c r="C343">
        <v>1652.382202</v>
      </c>
      <c r="D343">
        <v>1549.983643</v>
      </c>
      <c r="E343">
        <v>1619.698486</v>
      </c>
      <c r="F343">
        <v>1619.698486</v>
      </c>
      <c r="G343">
        <v>21618154775</v>
      </c>
      <c r="H343">
        <v>20595.103515999999</v>
      </c>
      <c r="I343">
        <v>20988.394531000002</v>
      </c>
      <c r="J343">
        <v>20566.484375</v>
      </c>
      <c r="K343">
        <v>20818.476563</v>
      </c>
      <c r="L343">
        <v>20818.476563</v>
      </c>
      <c r="M343">
        <v>40369840645</v>
      </c>
      <c r="N343">
        <v>1.0001409999999999</v>
      </c>
      <c r="O343">
        <v>1.000346</v>
      </c>
      <c r="P343">
        <v>1.000122</v>
      </c>
      <c r="Q343">
        <v>1.0002260000000001</v>
      </c>
      <c r="R343">
        <v>1.0002260000000001</v>
      </c>
      <c r="S343">
        <v>67603092351</v>
      </c>
      <c r="T343">
        <v>0.99991799999999997</v>
      </c>
      <c r="U343">
        <v>1.000426</v>
      </c>
      <c r="V343">
        <v>0.999699</v>
      </c>
      <c r="W343">
        <v>1.0000789999999999</v>
      </c>
      <c r="X343">
        <v>1.0000789999999999</v>
      </c>
      <c r="Y343">
        <v>4594883158</v>
      </c>
      <c r="Z343">
        <v>0.40450799999999998</v>
      </c>
      <c r="AA343">
        <v>0.43572899999999998</v>
      </c>
      <c r="AB343">
        <v>0.40226099999999998</v>
      </c>
      <c r="AC343">
        <v>0.41977799999999998</v>
      </c>
      <c r="AD343">
        <v>0.41977799999999998</v>
      </c>
      <c r="AE343">
        <v>855151911</v>
      </c>
      <c r="AK343" s="1">
        <v>44863</v>
      </c>
      <c r="AL343">
        <f t="shared" si="5"/>
        <v>1555.274658</v>
      </c>
      <c r="AM343">
        <f>INDEX(A:AE,MATCH(AK343,worksheet!A:A,0),MATCH(worksheet!AM342,worksheet!A342:AE342,0))</f>
        <v>20595.103515999999</v>
      </c>
      <c r="AN343">
        <f>INDEX(A:AE,MATCH(AK343,worksheet!A:A,0),MATCH(worksheet!AN342,worksheet!A342:AE342,0))</f>
        <v>0.40450799999999998</v>
      </c>
      <c r="AO343">
        <f>INDEX(A:AE,MATCH(AK343,worksheet!A:A,0),MATCH(worksheet!AO342,worksheet!A342:AE342,0))</f>
        <v>1.0001409999999999</v>
      </c>
      <c r="AP343">
        <f>INDEX(A:AE,MATCH(AK343,worksheet!A:A,0),MATCH(worksheet!AP342,worksheet!A342:AE342,0))</f>
        <v>1.000346</v>
      </c>
    </row>
    <row r="344" spans="1:42" x14ac:dyDescent="0.25">
      <c r="A344" s="1">
        <v>44864</v>
      </c>
      <c r="B344">
        <v>1619.697876</v>
      </c>
      <c r="C344">
        <v>1637.037842</v>
      </c>
      <c r="D344">
        <v>1579.4852289999999</v>
      </c>
      <c r="E344">
        <v>1590.7833250000001</v>
      </c>
      <c r="F344">
        <v>1590.7833250000001</v>
      </c>
      <c r="G344">
        <v>13930073427</v>
      </c>
      <c r="H344">
        <v>20817.982422000001</v>
      </c>
      <c r="I344">
        <v>20917.005859000001</v>
      </c>
      <c r="J344">
        <v>20547.462890999999</v>
      </c>
      <c r="K344">
        <v>20635.603515999999</v>
      </c>
      <c r="L344">
        <v>20635.603515999999</v>
      </c>
      <c r="M344">
        <v>31486345556</v>
      </c>
      <c r="N344">
        <v>1.0002260000000001</v>
      </c>
      <c r="O344">
        <v>1.000346</v>
      </c>
      <c r="P344">
        <v>1.00017</v>
      </c>
      <c r="Q344">
        <v>1.0001789999999999</v>
      </c>
      <c r="R344">
        <v>1.0001789999999999</v>
      </c>
      <c r="S344">
        <v>52873524542</v>
      </c>
      <c r="T344">
        <v>1.0000519999999999</v>
      </c>
      <c r="U344">
        <v>1.0002610000000001</v>
      </c>
      <c r="V344">
        <v>0.999776</v>
      </c>
      <c r="W344">
        <v>1.0001150000000001</v>
      </c>
      <c r="X344">
        <v>1.0001150000000001</v>
      </c>
      <c r="Y344">
        <v>3672657264</v>
      </c>
      <c r="Z344">
        <v>0.41986400000000001</v>
      </c>
      <c r="AA344">
        <v>0.42115900000000001</v>
      </c>
      <c r="AB344">
        <v>0.40037499999999998</v>
      </c>
      <c r="AC344">
        <v>0.40604699999999999</v>
      </c>
      <c r="AD344">
        <v>0.40604699999999999</v>
      </c>
      <c r="AE344">
        <v>577564479</v>
      </c>
      <c r="AK344" s="1">
        <v>44864</v>
      </c>
      <c r="AL344">
        <f t="shared" si="5"/>
        <v>1619.697876</v>
      </c>
      <c r="AM344">
        <f>INDEX(A:AE,MATCH(AK344,worksheet!A:A,0),MATCH(worksheet!AM343,worksheet!A343:AE343,0))</f>
        <v>20817.982422000001</v>
      </c>
      <c r="AN344">
        <f>INDEX(A:AE,MATCH(AK344,worksheet!A:A,0),MATCH(worksheet!AN343,worksheet!A343:AE343,0))</f>
        <v>0.41986400000000001</v>
      </c>
      <c r="AO344">
        <f>INDEX(A:AE,MATCH(AK344,worksheet!A:A,0),MATCH(worksheet!AO343,worksheet!A343:AE343,0))</f>
        <v>1.0002260000000001</v>
      </c>
      <c r="AP344">
        <f>INDEX(A:AE,MATCH(AK344,worksheet!A:A,0),MATCH(worksheet!AP343,worksheet!A343:AE343,0))</f>
        <v>1.000346</v>
      </c>
    </row>
    <row r="345" spans="1:42" x14ac:dyDescent="0.25">
      <c r="A345" s="1">
        <v>44865</v>
      </c>
      <c r="B345">
        <v>1590.481323</v>
      </c>
      <c r="C345">
        <v>1630.4528809999999</v>
      </c>
      <c r="D345">
        <v>1555.9189449999999</v>
      </c>
      <c r="E345">
        <v>1572.7144780000001</v>
      </c>
      <c r="F345">
        <v>1572.7144780000001</v>
      </c>
      <c r="G345">
        <v>19306919714</v>
      </c>
      <c r="H345">
        <v>20633.695313</v>
      </c>
      <c r="I345">
        <v>20795.320313</v>
      </c>
      <c r="J345">
        <v>20287.458984000001</v>
      </c>
      <c r="K345">
        <v>20495.773438</v>
      </c>
      <c r="L345">
        <v>20495.773438</v>
      </c>
      <c r="M345">
        <v>45668466815</v>
      </c>
      <c r="N345">
        <v>1.0001850000000001</v>
      </c>
      <c r="O345">
        <v>1.0002519999999999</v>
      </c>
      <c r="P345">
        <v>0.999919</v>
      </c>
      <c r="Q345">
        <v>0.99994700000000003</v>
      </c>
      <c r="R345">
        <v>0.99994700000000003</v>
      </c>
      <c r="S345">
        <v>67168423338</v>
      </c>
      <c r="T345">
        <v>1.000086</v>
      </c>
      <c r="U345">
        <v>1.0003789999999999</v>
      </c>
      <c r="V345">
        <v>0.99945200000000001</v>
      </c>
      <c r="W345">
        <v>0.999996</v>
      </c>
      <c r="X345">
        <v>0.999996</v>
      </c>
      <c r="Y345">
        <v>5307443271</v>
      </c>
      <c r="Z345">
        <v>0.40603</v>
      </c>
      <c r="AA345">
        <v>0.41517399999999999</v>
      </c>
      <c r="AB345">
        <v>0.39871299999999998</v>
      </c>
      <c r="AC345">
        <v>0.40633599999999997</v>
      </c>
      <c r="AD345">
        <v>0.40633599999999997</v>
      </c>
      <c r="AE345">
        <v>569992895</v>
      </c>
      <c r="AK345" s="1">
        <v>44865</v>
      </c>
      <c r="AL345">
        <f t="shared" si="5"/>
        <v>1590.481323</v>
      </c>
      <c r="AM345">
        <f>INDEX(A:AE,MATCH(AK345,worksheet!A:A,0),MATCH(worksheet!AM344,worksheet!A344:AE344,0))</f>
        <v>20633.695313</v>
      </c>
      <c r="AN345">
        <f>INDEX(A:AE,MATCH(AK345,worksheet!A:A,0),MATCH(worksheet!AN344,worksheet!A344:AE344,0))</f>
        <v>0.40603</v>
      </c>
      <c r="AO345">
        <f>INDEX(A:AE,MATCH(AK345,worksheet!A:A,0),MATCH(worksheet!AO344,worksheet!A344:AE344,0))</f>
        <v>1.0001850000000001</v>
      </c>
      <c r="AP345">
        <f>INDEX(A:AE,MATCH(AK345,worksheet!A:A,0),MATCH(worksheet!AP344,worksheet!A344:AE344,0))</f>
        <v>1.0002519999999999</v>
      </c>
    </row>
    <row r="346" spans="1:42" x14ac:dyDescent="0.25">
      <c r="A346" s="1">
        <v>44866</v>
      </c>
      <c r="B346">
        <v>1572.6453859999999</v>
      </c>
      <c r="C346">
        <v>1606.6057129999999</v>
      </c>
      <c r="D346">
        <v>1568.0985109999999</v>
      </c>
      <c r="E346">
        <v>1579.7045900000001</v>
      </c>
      <c r="F346">
        <v>1579.7045900000001</v>
      </c>
      <c r="G346">
        <v>14507311208</v>
      </c>
      <c r="H346">
        <v>20494.898438</v>
      </c>
      <c r="I346">
        <v>20647.289063</v>
      </c>
      <c r="J346">
        <v>20359.845702999999</v>
      </c>
      <c r="K346">
        <v>20485.273438</v>
      </c>
      <c r="L346">
        <v>20485.273438</v>
      </c>
      <c r="M346">
        <v>39819303159</v>
      </c>
      <c r="N346">
        <v>0.99995599999999996</v>
      </c>
      <c r="O346">
        <v>0.99998500000000001</v>
      </c>
      <c r="P346">
        <v>0.99977400000000005</v>
      </c>
      <c r="Q346">
        <v>0.99992400000000004</v>
      </c>
      <c r="R346">
        <v>0.99992400000000004</v>
      </c>
      <c r="S346">
        <v>56795449219</v>
      </c>
      <c r="T346">
        <v>1.0000119999999999</v>
      </c>
      <c r="U346">
        <v>1.000254</v>
      </c>
      <c r="V346">
        <v>0.99972899999999998</v>
      </c>
      <c r="W346">
        <v>1.0000439999999999</v>
      </c>
      <c r="X346">
        <v>1.0000439999999999</v>
      </c>
      <c r="Y346">
        <v>3559235451</v>
      </c>
      <c r="Z346">
        <v>0.40628900000000001</v>
      </c>
      <c r="AA346">
        <v>0.414435</v>
      </c>
      <c r="AB346">
        <v>0.39992499999999997</v>
      </c>
      <c r="AC346">
        <v>0.40140199999999998</v>
      </c>
      <c r="AD346">
        <v>0.40140199999999998</v>
      </c>
      <c r="AE346">
        <v>452398724</v>
      </c>
      <c r="AK346" s="1">
        <v>44866</v>
      </c>
      <c r="AL346">
        <f t="shared" si="5"/>
        <v>1572.6453859999999</v>
      </c>
      <c r="AM346">
        <f>INDEX(A:AE,MATCH(AK346,worksheet!A:A,0),MATCH(worksheet!AM345,worksheet!A345:AE345,0))</f>
        <v>20494.898438</v>
      </c>
      <c r="AN346">
        <f>INDEX(A:AE,MATCH(AK346,worksheet!A:A,0),MATCH(worksheet!AN345,worksheet!A345:AE345,0))</f>
        <v>0.40628900000000001</v>
      </c>
      <c r="AO346">
        <f>INDEX(A:AE,MATCH(AK346,worksheet!A:A,0),MATCH(worksheet!AO345,worksheet!A345:AE345,0))</f>
        <v>0.99995599999999996</v>
      </c>
      <c r="AP346">
        <f>INDEX(A:AE,MATCH(AK346,worksheet!A:A,0),MATCH(worksheet!AP345,worksheet!A345:AE345,0))</f>
        <v>0.99998500000000001</v>
      </c>
    </row>
    <row r="347" spans="1:42" x14ac:dyDescent="0.25">
      <c r="A347" s="1">
        <v>44867</v>
      </c>
      <c r="B347">
        <v>1579.4979249999999</v>
      </c>
      <c r="C347">
        <v>1613.4106449999999</v>
      </c>
      <c r="D347">
        <v>1507.244751</v>
      </c>
      <c r="E347">
        <v>1519.7117920000001</v>
      </c>
      <c r="F347">
        <v>1519.7117920000001</v>
      </c>
      <c r="G347">
        <v>23254218281</v>
      </c>
      <c r="H347">
        <v>20482.958984000001</v>
      </c>
      <c r="I347">
        <v>20742.810547000001</v>
      </c>
      <c r="J347">
        <v>20087.134765999999</v>
      </c>
      <c r="K347">
        <v>20159.503906000002</v>
      </c>
      <c r="L347">
        <v>20159.503906000002</v>
      </c>
      <c r="M347">
        <v>55552169483</v>
      </c>
      <c r="N347">
        <v>0.99991799999999997</v>
      </c>
      <c r="O347">
        <v>1.0000789999999999</v>
      </c>
      <c r="P347">
        <v>0.999865</v>
      </c>
      <c r="Q347">
        <v>0.999996</v>
      </c>
      <c r="R347">
        <v>0.999996</v>
      </c>
      <c r="S347">
        <v>76399032768</v>
      </c>
      <c r="T347">
        <v>1.000035</v>
      </c>
      <c r="U347">
        <v>1.000381</v>
      </c>
      <c r="V347">
        <v>0.99957200000000002</v>
      </c>
      <c r="W347">
        <v>1.000097</v>
      </c>
      <c r="X347">
        <v>1.000097</v>
      </c>
      <c r="Y347">
        <v>6343248164</v>
      </c>
      <c r="Z347">
        <v>0.40138499999999999</v>
      </c>
      <c r="AA347">
        <v>0.407748</v>
      </c>
      <c r="AB347">
        <v>0.38229600000000002</v>
      </c>
      <c r="AC347">
        <v>0.38607599999999997</v>
      </c>
      <c r="AD347">
        <v>0.38607599999999997</v>
      </c>
      <c r="AE347">
        <v>741360035</v>
      </c>
      <c r="AK347" s="1">
        <v>44867</v>
      </c>
      <c r="AL347">
        <f t="shared" si="5"/>
        <v>1579.4979249999999</v>
      </c>
      <c r="AM347">
        <f>INDEX(A:AE,MATCH(AK347,worksheet!A:A,0),MATCH(worksheet!AM346,worksheet!A346:AE346,0))</f>
        <v>20482.958984000001</v>
      </c>
      <c r="AN347">
        <f>INDEX(A:AE,MATCH(AK347,worksheet!A:A,0),MATCH(worksheet!AN346,worksheet!A346:AE346,0))</f>
        <v>0.40138499999999999</v>
      </c>
      <c r="AO347">
        <f>INDEX(A:AE,MATCH(AK347,worksheet!A:A,0),MATCH(worksheet!AO346,worksheet!A346:AE346,0))</f>
        <v>0.99991799999999997</v>
      </c>
      <c r="AP347">
        <f>INDEX(A:AE,MATCH(AK347,worksheet!A:A,0),MATCH(worksheet!AP346,worksheet!A346:AE346,0))</f>
        <v>1.0000789999999999</v>
      </c>
    </row>
    <row r="348" spans="1:42" x14ac:dyDescent="0.25">
      <c r="A348" s="1">
        <v>44868</v>
      </c>
      <c r="B348">
        <v>1519.7248540000001</v>
      </c>
      <c r="C348">
        <v>1556.759644</v>
      </c>
      <c r="D348">
        <v>1517.1016850000001</v>
      </c>
      <c r="E348">
        <v>1531.5417480000001</v>
      </c>
      <c r="F348">
        <v>1531.5417480000001</v>
      </c>
      <c r="G348">
        <v>14248351007</v>
      </c>
      <c r="H348">
        <v>20162.689452999999</v>
      </c>
      <c r="I348">
        <v>20382.095702999999</v>
      </c>
      <c r="J348">
        <v>20086.240234000001</v>
      </c>
      <c r="K348">
        <v>20209.988281000002</v>
      </c>
      <c r="L348">
        <v>20209.988281000002</v>
      </c>
      <c r="M348">
        <v>43228750179</v>
      </c>
      <c r="N348">
        <v>0.99997899999999995</v>
      </c>
      <c r="O348">
        <v>1.000048</v>
      </c>
      <c r="P348">
        <v>0.99994400000000006</v>
      </c>
      <c r="Q348">
        <v>1.0000070000000001</v>
      </c>
      <c r="R348">
        <v>1.0000070000000001</v>
      </c>
      <c r="S348">
        <v>61590549857</v>
      </c>
      <c r="T348">
        <v>1.0001340000000001</v>
      </c>
      <c r="U348">
        <v>1.0006539999999999</v>
      </c>
      <c r="V348">
        <v>0.99979399999999996</v>
      </c>
      <c r="W348">
        <v>1.000065</v>
      </c>
      <c r="X348">
        <v>1.000065</v>
      </c>
      <c r="Y348">
        <v>3480226568</v>
      </c>
      <c r="Z348">
        <v>0.38606000000000001</v>
      </c>
      <c r="AA348">
        <v>0.398447</v>
      </c>
      <c r="AB348">
        <v>0.38513599999999998</v>
      </c>
      <c r="AC348">
        <v>0.38941999999999999</v>
      </c>
      <c r="AD348">
        <v>0.38941999999999999</v>
      </c>
      <c r="AE348">
        <v>445099982</v>
      </c>
      <c r="AK348" s="1">
        <v>44868</v>
      </c>
      <c r="AL348">
        <f t="shared" si="5"/>
        <v>1519.7248540000001</v>
      </c>
      <c r="AM348">
        <f>INDEX(A:AE,MATCH(AK348,worksheet!A:A,0),MATCH(worksheet!AM347,worksheet!A347:AE347,0))</f>
        <v>20162.689452999999</v>
      </c>
      <c r="AN348">
        <f>INDEX(A:AE,MATCH(AK348,worksheet!A:A,0),MATCH(worksheet!AN347,worksheet!A347:AE347,0))</f>
        <v>0.38606000000000001</v>
      </c>
      <c r="AO348">
        <f>INDEX(A:AE,MATCH(AK348,worksheet!A:A,0),MATCH(worksheet!AO347,worksheet!A347:AE347,0))</f>
        <v>0.99997899999999995</v>
      </c>
      <c r="AP348">
        <f>INDEX(A:AE,MATCH(AK348,worksheet!A:A,0),MATCH(worksheet!AP347,worksheet!A347:AE347,0))</f>
        <v>1.000048</v>
      </c>
    </row>
    <row r="349" spans="1:42" x14ac:dyDescent="0.25">
      <c r="A349" s="1">
        <v>44869</v>
      </c>
      <c r="B349">
        <v>1531.3975829999999</v>
      </c>
      <c r="C349">
        <v>1661.334717</v>
      </c>
      <c r="D349">
        <v>1529.268433</v>
      </c>
      <c r="E349">
        <v>1645.093384</v>
      </c>
      <c r="F349">
        <v>1645.093384</v>
      </c>
      <c r="G349">
        <v>20806964347</v>
      </c>
      <c r="H349">
        <v>20208.769531000002</v>
      </c>
      <c r="I349">
        <v>21209.560547000001</v>
      </c>
      <c r="J349">
        <v>20188.019531000002</v>
      </c>
      <c r="K349">
        <v>21147.230468999998</v>
      </c>
      <c r="L349">
        <v>21147.230468999998</v>
      </c>
      <c r="M349">
        <v>64072727950</v>
      </c>
      <c r="N349">
        <v>1.0000070000000001</v>
      </c>
      <c r="O349">
        <v>1.000119</v>
      </c>
      <c r="P349">
        <v>0.99995900000000004</v>
      </c>
      <c r="Q349">
        <v>1.000076</v>
      </c>
      <c r="R349">
        <v>1.000076</v>
      </c>
      <c r="S349">
        <v>88078834184</v>
      </c>
      <c r="T349">
        <v>1.000041</v>
      </c>
      <c r="U349">
        <v>1.0004960000000001</v>
      </c>
      <c r="V349">
        <v>0.99966900000000003</v>
      </c>
      <c r="W349">
        <v>1.0000359999999999</v>
      </c>
      <c r="X349">
        <v>1.0000359999999999</v>
      </c>
      <c r="Y349">
        <v>4189794922</v>
      </c>
      <c r="Z349">
        <v>0.38939699999999999</v>
      </c>
      <c r="AA349">
        <v>0.42530699999999999</v>
      </c>
      <c r="AB349">
        <v>0.38881199999999999</v>
      </c>
      <c r="AC349">
        <v>0.42152499999999998</v>
      </c>
      <c r="AD349">
        <v>0.42152499999999998</v>
      </c>
      <c r="AE349">
        <v>909794346</v>
      </c>
      <c r="AK349" s="1">
        <v>44869</v>
      </c>
      <c r="AL349">
        <f t="shared" si="5"/>
        <v>1531.3975829999999</v>
      </c>
      <c r="AM349">
        <f>INDEX(A:AE,MATCH(AK349,worksheet!A:A,0),MATCH(worksheet!AM348,worksheet!A348:AE348,0))</f>
        <v>20208.769531000002</v>
      </c>
      <c r="AN349">
        <f>INDEX(A:AE,MATCH(AK349,worksheet!A:A,0),MATCH(worksheet!AN348,worksheet!A348:AE348,0))</f>
        <v>0.38939699999999999</v>
      </c>
      <c r="AO349">
        <f>INDEX(A:AE,MATCH(AK349,worksheet!A:A,0),MATCH(worksheet!AO348,worksheet!A348:AE348,0))</f>
        <v>1.0000070000000001</v>
      </c>
      <c r="AP349">
        <f>INDEX(A:AE,MATCH(AK349,worksheet!A:A,0),MATCH(worksheet!AP348,worksheet!A348:AE348,0))</f>
        <v>1.000119</v>
      </c>
    </row>
    <row r="350" spans="1:42" x14ac:dyDescent="0.25">
      <c r="A350" s="1">
        <v>44870</v>
      </c>
      <c r="B350">
        <v>1645.1564940000001</v>
      </c>
      <c r="C350">
        <v>1660.4864500000001</v>
      </c>
      <c r="D350">
        <v>1625.9642329999999</v>
      </c>
      <c r="E350">
        <v>1627.968018</v>
      </c>
      <c r="F350">
        <v>1627.968018</v>
      </c>
      <c r="G350">
        <v>11006973190</v>
      </c>
      <c r="H350">
        <v>21144.832031000002</v>
      </c>
      <c r="I350">
        <v>21446.886718999998</v>
      </c>
      <c r="J350">
        <v>21097.634765999999</v>
      </c>
      <c r="K350">
        <v>21282.691406000002</v>
      </c>
      <c r="L350">
        <v>21282.691406000002</v>
      </c>
      <c r="M350">
        <v>37846047609</v>
      </c>
      <c r="N350">
        <v>1.000075</v>
      </c>
      <c r="O350">
        <v>1.0001800000000001</v>
      </c>
      <c r="P350">
        <v>1.00004</v>
      </c>
      <c r="Q350">
        <v>1.000119</v>
      </c>
      <c r="R350">
        <v>1.000119</v>
      </c>
      <c r="S350">
        <v>57121137337</v>
      </c>
      <c r="T350">
        <v>1.0000180000000001</v>
      </c>
      <c r="U350">
        <v>1.0003150000000001</v>
      </c>
      <c r="V350">
        <v>0.99976200000000004</v>
      </c>
      <c r="W350">
        <v>0.99990400000000002</v>
      </c>
      <c r="X350">
        <v>0.99990400000000002</v>
      </c>
      <c r="Y350">
        <v>2820629269</v>
      </c>
      <c r="Z350">
        <v>0.42152499999999998</v>
      </c>
      <c r="AA350">
        <v>0.43621399999999999</v>
      </c>
      <c r="AB350">
        <v>0.42077500000000001</v>
      </c>
      <c r="AC350">
        <v>0.42673499999999998</v>
      </c>
      <c r="AD350">
        <v>0.42673499999999998</v>
      </c>
      <c r="AE350">
        <v>701622249</v>
      </c>
      <c r="AK350" s="1">
        <v>44870</v>
      </c>
      <c r="AL350">
        <f t="shared" si="5"/>
        <v>1645.1564940000001</v>
      </c>
      <c r="AM350">
        <f>INDEX(A:AE,MATCH(AK350,worksheet!A:A,0),MATCH(worksheet!AM349,worksheet!A349:AE349,0))</f>
        <v>21144.832031000002</v>
      </c>
      <c r="AN350">
        <f>INDEX(A:AE,MATCH(AK350,worksheet!A:A,0),MATCH(worksheet!AN349,worksheet!A349:AE349,0))</f>
        <v>0.42152499999999998</v>
      </c>
      <c r="AO350">
        <f>INDEX(A:AE,MATCH(AK350,worksheet!A:A,0),MATCH(worksheet!AO349,worksheet!A349:AE349,0))</f>
        <v>1.000075</v>
      </c>
      <c r="AP350">
        <f>INDEX(A:AE,MATCH(AK350,worksheet!A:A,0),MATCH(worksheet!AP349,worksheet!A349:AE349,0))</f>
        <v>1.0001800000000001</v>
      </c>
    </row>
    <row r="351" spans="1:42" x14ac:dyDescent="0.25">
      <c r="A351" s="1">
        <v>44871</v>
      </c>
      <c r="B351">
        <v>1627.9011230000001</v>
      </c>
      <c r="C351">
        <v>1634.1324460000001</v>
      </c>
      <c r="D351">
        <v>1572.234741</v>
      </c>
      <c r="E351">
        <v>1572.234741</v>
      </c>
      <c r="F351">
        <v>1572.234741</v>
      </c>
      <c r="G351">
        <v>11632744705</v>
      </c>
      <c r="H351">
        <v>21285.056640999999</v>
      </c>
      <c r="I351">
        <v>21345.376952999999</v>
      </c>
      <c r="J351">
        <v>20920.191406000002</v>
      </c>
      <c r="K351">
        <v>20926.486327999999</v>
      </c>
      <c r="L351">
        <v>20926.486327999999</v>
      </c>
      <c r="M351">
        <v>35082693210</v>
      </c>
      <c r="N351">
        <v>1.000121</v>
      </c>
      <c r="O351">
        <v>1.0001640000000001</v>
      </c>
      <c r="P351">
        <v>0.99999400000000005</v>
      </c>
      <c r="Q351">
        <v>1.0000899999999999</v>
      </c>
      <c r="R351">
        <v>1.0000899999999999</v>
      </c>
      <c r="S351">
        <v>51095877870</v>
      </c>
      <c r="T351">
        <v>0.99990800000000002</v>
      </c>
      <c r="U351">
        <v>1.000311</v>
      </c>
      <c r="V351">
        <v>0.99959399999999998</v>
      </c>
      <c r="W351">
        <v>0.99986900000000001</v>
      </c>
      <c r="X351">
        <v>0.99986900000000001</v>
      </c>
      <c r="Y351">
        <v>2414704424</v>
      </c>
      <c r="Z351">
        <v>0.42674899999999999</v>
      </c>
      <c r="AA351">
        <v>0.43027599999999999</v>
      </c>
      <c r="AB351">
        <v>0.403005</v>
      </c>
      <c r="AC351">
        <v>0.403005</v>
      </c>
      <c r="AD351">
        <v>0.403005</v>
      </c>
      <c r="AE351">
        <v>495843423</v>
      </c>
      <c r="AK351" s="1">
        <v>44871</v>
      </c>
      <c r="AL351">
        <f t="shared" si="5"/>
        <v>1627.9011230000001</v>
      </c>
      <c r="AM351">
        <f>INDEX(A:AE,MATCH(AK351,worksheet!A:A,0),MATCH(worksheet!AM350,worksheet!A350:AE350,0))</f>
        <v>21285.056640999999</v>
      </c>
      <c r="AN351">
        <f>INDEX(A:AE,MATCH(AK351,worksheet!A:A,0),MATCH(worksheet!AN350,worksheet!A350:AE350,0))</f>
        <v>0.42674899999999999</v>
      </c>
      <c r="AO351">
        <f>INDEX(A:AE,MATCH(AK351,worksheet!A:A,0),MATCH(worksheet!AO350,worksheet!A350:AE350,0))</f>
        <v>1.000121</v>
      </c>
      <c r="AP351">
        <f>INDEX(A:AE,MATCH(AK351,worksheet!A:A,0),MATCH(worksheet!AP350,worksheet!A350:AE350,0))</f>
        <v>1.0001640000000001</v>
      </c>
    </row>
    <row r="352" spans="1:42" x14ac:dyDescent="0.25">
      <c r="A352" s="1">
        <v>44872</v>
      </c>
      <c r="B352">
        <v>1572.0169679999999</v>
      </c>
      <c r="C352">
        <v>1604.475342</v>
      </c>
      <c r="D352">
        <v>1550.4155270000001</v>
      </c>
      <c r="E352">
        <v>1568.5913089999999</v>
      </c>
      <c r="F352">
        <v>1568.5913089999999</v>
      </c>
      <c r="G352">
        <v>15279963349</v>
      </c>
      <c r="H352">
        <v>20924.621093999998</v>
      </c>
      <c r="I352">
        <v>21053.246093999998</v>
      </c>
      <c r="J352">
        <v>20489.972656000002</v>
      </c>
      <c r="K352">
        <v>20602.816406000002</v>
      </c>
      <c r="L352">
        <v>20602.816406000002</v>
      </c>
      <c r="M352">
        <v>53510852236</v>
      </c>
      <c r="N352">
        <v>1.0001009999999999</v>
      </c>
      <c r="O352">
        <v>1.000165</v>
      </c>
      <c r="P352">
        <v>1.0000389999999999</v>
      </c>
      <c r="Q352">
        <v>1.000094</v>
      </c>
      <c r="R352">
        <v>1.000094</v>
      </c>
      <c r="S352">
        <v>72598608064</v>
      </c>
      <c r="T352">
        <v>0.99985100000000005</v>
      </c>
      <c r="U352">
        <v>1.0003880000000001</v>
      </c>
      <c r="V352">
        <v>0.99965800000000005</v>
      </c>
      <c r="W352">
        <v>1.0003230000000001</v>
      </c>
      <c r="X352">
        <v>1.0003230000000001</v>
      </c>
      <c r="Y352">
        <v>3478168774</v>
      </c>
      <c r="Z352">
        <v>0.40296599999999999</v>
      </c>
      <c r="AA352">
        <v>0.41574299999999997</v>
      </c>
      <c r="AB352">
        <v>0.39902900000000002</v>
      </c>
      <c r="AC352">
        <v>0.40425899999999998</v>
      </c>
      <c r="AD352">
        <v>0.40425899999999998</v>
      </c>
      <c r="AE352">
        <v>554735710</v>
      </c>
      <c r="AK352" s="1">
        <v>44872</v>
      </c>
      <c r="AL352">
        <f t="shared" si="5"/>
        <v>1572.0169679999999</v>
      </c>
      <c r="AM352">
        <f>INDEX(A:AE,MATCH(AK352,worksheet!A:A,0),MATCH(worksheet!AM351,worksheet!A351:AE351,0))</f>
        <v>20924.621093999998</v>
      </c>
      <c r="AN352">
        <f>INDEX(A:AE,MATCH(AK352,worksheet!A:A,0),MATCH(worksheet!AN351,worksheet!A351:AE351,0))</f>
        <v>0.40296599999999999</v>
      </c>
      <c r="AO352">
        <f>INDEX(A:AE,MATCH(AK352,worksheet!A:A,0),MATCH(worksheet!AO351,worksheet!A351:AE351,0))</f>
        <v>1.0001009999999999</v>
      </c>
      <c r="AP352">
        <f>INDEX(A:AE,MATCH(AK352,worksheet!A:A,0),MATCH(worksheet!AP351,worksheet!A351:AE351,0))</f>
        <v>1.000165</v>
      </c>
    </row>
    <row r="353" spans="1:42" x14ac:dyDescent="0.25">
      <c r="A353" s="1">
        <v>44873</v>
      </c>
      <c r="B353">
        <v>1568.3295900000001</v>
      </c>
      <c r="C353">
        <v>1574.7998050000001</v>
      </c>
      <c r="D353">
        <v>1259.443115</v>
      </c>
      <c r="E353">
        <v>1332.8355710000001</v>
      </c>
      <c r="F353">
        <v>1332.8355710000001</v>
      </c>
      <c r="G353">
        <v>42048003440</v>
      </c>
      <c r="H353">
        <v>20600.671875</v>
      </c>
      <c r="I353">
        <v>20664.607422000001</v>
      </c>
      <c r="J353">
        <v>17603.544922000001</v>
      </c>
      <c r="K353">
        <v>18541.271484000001</v>
      </c>
      <c r="L353">
        <v>18541.271484000001</v>
      </c>
      <c r="M353">
        <v>118992465607</v>
      </c>
      <c r="N353">
        <v>1.000094</v>
      </c>
      <c r="O353">
        <v>1.000515</v>
      </c>
      <c r="P353">
        <v>1.000014</v>
      </c>
      <c r="Q353">
        <v>1.000032</v>
      </c>
      <c r="R353">
        <v>1.000032</v>
      </c>
      <c r="S353">
        <v>162734866334</v>
      </c>
      <c r="T353">
        <v>1.000297</v>
      </c>
      <c r="U353">
        <v>1.001323</v>
      </c>
      <c r="V353">
        <v>0.99870999999999999</v>
      </c>
      <c r="W353">
        <v>0.99998200000000004</v>
      </c>
      <c r="X353">
        <v>0.99998200000000004</v>
      </c>
      <c r="Y353">
        <v>9481272661</v>
      </c>
      <c r="Z353">
        <v>0.40423399999999998</v>
      </c>
      <c r="AA353">
        <v>0.41348600000000002</v>
      </c>
      <c r="AB353">
        <v>0.35325800000000002</v>
      </c>
      <c r="AC353">
        <v>0.371834</v>
      </c>
      <c r="AD353">
        <v>0.371834</v>
      </c>
      <c r="AE353">
        <v>1420168187</v>
      </c>
      <c r="AK353" s="1">
        <v>44873</v>
      </c>
      <c r="AL353">
        <f t="shared" si="5"/>
        <v>1568.3295900000001</v>
      </c>
      <c r="AM353">
        <f>INDEX(A:AE,MATCH(AK353,worksheet!A:A,0),MATCH(worksheet!AM352,worksheet!A352:AE352,0))</f>
        <v>20600.671875</v>
      </c>
      <c r="AN353">
        <f>INDEX(A:AE,MATCH(AK353,worksheet!A:A,0),MATCH(worksheet!AN352,worksheet!A352:AE352,0))</f>
        <v>0.40423399999999998</v>
      </c>
      <c r="AO353">
        <f>INDEX(A:AE,MATCH(AK353,worksheet!A:A,0),MATCH(worksheet!AO352,worksheet!A352:AE352,0))</f>
        <v>1.000094</v>
      </c>
      <c r="AP353">
        <f>INDEX(A:AE,MATCH(AK353,worksheet!A:A,0),MATCH(worksheet!AP352,worksheet!A352:AE352,0))</f>
        <v>1.000515</v>
      </c>
    </row>
    <row r="354" spans="1:42" x14ac:dyDescent="0.25">
      <c r="A354" s="1">
        <v>44874</v>
      </c>
      <c r="B354">
        <v>1333.122437</v>
      </c>
      <c r="C354">
        <v>1335.74353</v>
      </c>
      <c r="D354">
        <v>1083.2856449999999</v>
      </c>
      <c r="E354">
        <v>1100.1697999999999</v>
      </c>
      <c r="F354">
        <v>1100.1697999999999</v>
      </c>
      <c r="G354">
        <v>38864492427</v>
      </c>
      <c r="H354">
        <v>18543.761718999998</v>
      </c>
      <c r="I354">
        <v>18590.458984000001</v>
      </c>
      <c r="J354">
        <v>15682.692383</v>
      </c>
      <c r="K354">
        <v>15880.780273</v>
      </c>
      <c r="L354">
        <v>15880.780273</v>
      </c>
      <c r="M354">
        <v>102905151606</v>
      </c>
      <c r="N354">
        <v>1.000043</v>
      </c>
      <c r="O354">
        <v>1.000043</v>
      </c>
      <c r="P354">
        <v>0.99852600000000002</v>
      </c>
      <c r="Q354">
        <v>0.99860000000000004</v>
      </c>
      <c r="R354">
        <v>0.99860000000000004</v>
      </c>
      <c r="S354">
        <v>143975136007</v>
      </c>
      <c r="T354">
        <v>1.000132</v>
      </c>
      <c r="U354">
        <v>1.001207</v>
      </c>
      <c r="V354">
        <v>0.99915600000000004</v>
      </c>
      <c r="W354">
        <v>1.0003420000000001</v>
      </c>
      <c r="X354">
        <v>1.0003420000000001</v>
      </c>
      <c r="Y354">
        <v>10733960295</v>
      </c>
      <c r="Z354">
        <v>0.37196099999999999</v>
      </c>
      <c r="AA354">
        <v>0.37524999999999997</v>
      </c>
      <c r="AB354">
        <v>0.31237799999999999</v>
      </c>
      <c r="AC354">
        <v>0.31783699999999998</v>
      </c>
      <c r="AD354">
        <v>0.31783699999999998</v>
      </c>
      <c r="AE354">
        <v>1446651845</v>
      </c>
      <c r="AK354" s="1">
        <v>44874</v>
      </c>
      <c r="AL354">
        <f t="shared" si="5"/>
        <v>1333.122437</v>
      </c>
      <c r="AM354">
        <f>INDEX(A:AE,MATCH(AK354,worksheet!A:A,0),MATCH(worksheet!AM353,worksheet!A353:AE353,0))</f>
        <v>18543.761718999998</v>
      </c>
      <c r="AN354">
        <f>INDEX(A:AE,MATCH(AK354,worksheet!A:A,0),MATCH(worksheet!AN353,worksheet!A353:AE353,0))</f>
        <v>0.37196099999999999</v>
      </c>
      <c r="AO354">
        <f>INDEX(A:AE,MATCH(AK354,worksheet!A:A,0),MATCH(worksheet!AO353,worksheet!A353:AE353,0))</f>
        <v>1.000043</v>
      </c>
      <c r="AP354">
        <f>INDEX(A:AE,MATCH(AK354,worksheet!A:A,0),MATCH(worksheet!AP353,worksheet!A353:AE353,0))</f>
        <v>1.000043</v>
      </c>
    </row>
    <row r="355" spans="1:42" x14ac:dyDescent="0.25">
      <c r="A355" s="1">
        <v>44875</v>
      </c>
      <c r="B355">
        <v>1100.107178</v>
      </c>
      <c r="C355">
        <v>1341.791138</v>
      </c>
      <c r="D355">
        <v>1093.1225589999999</v>
      </c>
      <c r="E355">
        <v>1299.4646</v>
      </c>
      <c r="F355">
        <v>1299.4646</v>
      </c>
      <c r="G355">
        <v>28581002122</v>
      </c>
      <c r="H355">
        <v>15883.158203000001</v>
      </c>
      <c r="I355">
        <v>18054.3125</v>
      </c>
      <c r="J355">
        <v>15834.018555000001</v>
      </c>
      <c r="K355">
        <v>17586.771484000001</v>
      </c>
      <c r="L355">
        <v>17586.771484000001</v>
      </c>
      <c r="M355">
        <v>83202283721</v>
      </c>
      <c r="N355">
        <v>0.99863400000000002</v>
      </c>
      <c r="O355">
        <v>0.99897499999999995</v>
      </c>
      <c r="P355">
        <v>0.98152499999999998</v>
      </c>
      <c r="Q355">
        <v>0.99783500000000003</v>
      </c>
      <c r="R355">
        <v>0.99783500000000003</v>
      </c>
      <c r="S355">
        <v>114807119109</v>
      </c>
      <c r="T355">
        <v>1.000359</v>
      </c>
      <c r="U355">
        <v>1.0073300000000001</v>
      </c>
      <c r="V355">
        <v>0.999857</v>
      </c>
      <c r="W355">
        <v>1.0006919999999999</v>
      </c>
      <c r="X355">
        <v>1.0006919999999999</v>
      </c>
      <c r="Y355">
        <v>9392844548</v>
      </c>
      <c r="Z355">
        <v>0.31789200000000001</v>
      </c>
      <c r="AA355">
        <v>0.37656299999999998</v>
      </c>
      <c r="AB355">
        <v>0.314274</v>
      </c>
      <c r="AC355">
        <v>0.368977</v>
      </c>
      <c r="AD355">
        <v>0.368977</v>
      </c>
      <c r="AE355">
        <v>1353707790</v>
      </c>
      <c r="AK355" s="1">
        <v>44875</v>
      </c>
      <c r="AL355">
        <f t="shared" si="5"/>
        <v>1100.107178</v>
      </c>
      <c r="AM355">
        <f>INDEX(A:AE,MATCH(AK355,worksheet!A:A,0),MATCH(worksheet!AM354,worksheet!A354:AE354,0))</f>
        <v>15883.158203000001</v>
      </c>
      <c r="AN355">
        <f>INDEX(A:AE,MATCH(AK355,worksheet!A:A,0),MATCH(worksheet!AN354,worksheet!A354:AE354,0))</f>
        <v>0.31789200000000001</v>
      </c>
      <c r="AO355">
        <f>INDEX(A:AE,MATCH(AK355,worksheet!A:A,0),MATCH(worksheet!AO354,worksheet!A354:AE354,0))</f>
        <v>0.99863400000000002</v>
      </c>
      <c r="AP355">
        <f>INDEX(A:AE,MATCH(AK355,worksheet!A:A,0),MATCH(worksheet!AP354,worksheet!A354:AE354,0))</f>
        <v>0.99863400000000002</v>
      </c>
    </row>
    <row r="356" spans="1:42" x14ac:dyDescent="0.25">
      <c r="A356" s="1">
        <v>44876</v>
      </c>
      <c r="B356">
        <v>1298.8824460000001</v>
      </c>
      <c r="C356">
        <v>1302.295288</v>
      </c>
      <c r="D356">
        <v>1211.3295900000001</v>
      </c>
      <c r="E356">
        <v>1287.2210689999999</v>
      </c>
      <c r="F356">
        <v>1287.2210689999999</v>
      </c>
      <c r="G356">
        <v>20920539099</v>
      </c>
      <c r="H356">
        <v>17583.251952999999</v>
      </c>
      <c r="I356">
        <v>17650.943359000001</v>
      </c>
      <c r="J356">
        <v>16543.482422000001</v>
      </c>
      <c r="K356">
        <v>17034.292968999998</v>
      </c>
      <c r="L356">
        <v>17034.292968999998</v>
      </c>
      <c r="M356">
        <v>55871616488</v>
      </c>
      <c r="N356">
        <v>0.99781399999999998</v>
      </c>
      <c r="O356">
        <v>0.99856900000000004</v>
      </c>
      <c r="P356">
        <v>0.99688500000000002</v>
      </c>
      <c r="Q356">
        <v>0.99821800000000005</v>
      </c>
      <c r="R356">
        <v>0.99821800000000005</v>
      </c>
      <c r="S356">
        <v>74933538836</v>
      </c>
      <c r="T356">
        <v>1.0006600000000001</v>
      </c>
      <c r="U356">
        <v>1.001328</v>
      </c>
      <c r="V356">
        <v>0.99964600000000003</v>
      </c>
      <c r="W356">
        <v>1.000734</v>
      </c>
      <c r="X356">
        <v>1.000734</v>
      </c>
      <c r="Y356">
        <v>4591678573</v>
      </c>
      <c r="Z356">
        <v>0.36896699999999999</v>
      </c>
      <c r="AA356">
        <v>0.37303199999999997</v>
      </c>
      <c r="AB356">
        <v>0.343391</v>
      </c>
      <c r="AC356">
        <v>0.35466700000000001</v>
      </c>
      <c r="AD356">
        <v>0.35466700000000001</v>
      </c>
      <c r="AE356">
        <v>595121832</v>
      </c>
      <c r="AK356" s="1">
        <v>44876</v>
      </c>
      <c r="AL356">
        <f t="shared" si="5"/>
        <v>1298.8824460000001</v>
      </c>
      <c r="AM356">
        <f>INDEX(A:AE,MATCH(AK356,worksheet!A:A,0),MATCH(worksheet!AM355,worksheet!A355:AE355,0))</f>
        <v>17583.251952999999</v>
      </c>
      <c r="AN356">
        <f>INDEX(A:AE,MATCH(AK356,worksheet!A:A,0),MATCH(worksheet!AN355,worksheet!A355:AE355,0))</f>
        <v>0.36896699999999999</v>
      </c>
      <c r="AO356">
        <f>INDEX(A:AE,MATCH(AK356,worksheet!A:A,0),MATCH(worksheet!AO355,worksheet!A355:AE355,0))</f>
        <v>0.99781399999999998</v>
      </c>
      <c r="AP356">
        <f>INDEX(A:AE,MATCH(AK356,worksheet!A:A,0),MATCH(worksheet!AP355,worksheet!A355:AE355,0))</f>
        <v>0.99781399999999998</v>
      </c>
    </row>
    <row r="357" spans="1:42" x14ac:dyDescent="0.25">
      <c r="A357" s="1">
        <v>44877</v>
      </c>
      <c r="B357">
        <v>1287.4383539999999</v>
      </c>
      <c r="C357">
        <v>1288.150879</v>
      </c>
      <c r="D357">
        <v>1242.1522219999999</v>
      </c>
      <c r="E357">
        <v>1255.268311</v>
      </c>
      <c r="F357">
        <v>1255.268311</v>
      </c>
      <c r="G357">
        <v>10964962767</v>
      </c>
      <c r="H357">
        <v>17036.875</v>
      </c>
      <c r="I357">
        <v>17066.675781000002</v>
      </c>
      <c r="J357">
        <v>16651.775390999999</v>
      </c>
      <c r="K357">
        <v>16799.185547000001</v>
      </c>
      <c r="L357">
        <v>16799.185547000001</v>
      </c>
      <c r="M357">
        <v>29717699419</v>
      </c>
      <c r="N357">
        <v>0.99819800000000003</v>
      </c>
      <c r="O357">
        <v>0.99882300000000002</v>
      </c>
      <c r="P357">
        <v>0.99777300000000002</v>
      </c>
      <c r="Q357">
        <v>0.99861599999999995</v>
      </c>
      <c r="R357">
        <v>0.99861599999999995</v>
      </c>
      <c r="S357">
        <v>40298138489</v>
      </c>
      <c r="T357">
        <v>1.000758</v>
      </c>
      <c r="U357">
        <v>1.0009349999999999</v>
      </c>
      <c r="V357">
        <v>0.99999899999999997</v>
      </c>
      <c r="W357">
        <v>1.000224</v>
      </c>
      <c r="X357">
        <v>1.000224</v>
      </c>
      <c r="Y357">
        <v>2456430569</v>
      </c>
      <c r="Z357">
        <v>0.35489900000000002</v>
      </c>
      <c r="AA357">
        <v>0.35583399999999998</v>
      </c>
      <c r="AB357">
        <v>0.33852900000000002</v>
      </c>
      <c r="AC357">
        <v>0.339144</v>
      </c>
      <c r="AD357">
        <v>0.339144</v>
      </c>
      <c r="AE357">
        <v>389700815</v>
      </c>
      <c r="AK357" s="1">
        <v>44877</v>
      </c>
      <c r="AL357">
        <f t="shared" si="5"/>
        <v>1287.4383539999999</v>
      </c>
      <c r="AM357">
        <f>INDEX(A:AE,MATCH(AK357,worksheet!A:A,0),MATCH(worksheet!AM356,worksheet!A356:AE356,0))</f>
        <v>17036.875</v>
      </c>
      <c r="AN357">
        <f>INDEX(A:AE,MATCH(AK357,worksheet!A:A,0),MATCH(worksheet!AN356,worksheet!A356:AE356,0))</f>
        <v>0.35489900000000002</v>
      </c>
      <c r="AO357">
        <f>INDEX(A:AE,MATCH(AK357,worksheet!A:A,0),MATCH(worksheet!AO356,worksheet!A356:AE356,0))</f>
        <v>0.99819800000000003</v>
      </c>
      <c r="AP357">
        <f>INDEX(A:AE,MATCH(AK357,worksheet!A:A,0),MATCH(worksheet!AP356,worksheet!A356:AE356,0))</f>
        <v>0.99819800000000003</v>
      </c>
    </row>
    <row r="358" spans="1:42" x14ac:dyDescent="0.25">
      <c r="A358" s="1">
        <v>44878</v>
      </c>
      <c r="B358">
        <v>1255.441284</v>
      </c>
      <c r="C358">
        <v>1271.712524</v>
      </c>
      <c r="D358">
        <v>1208.520996</v>
      </c>
      <c r="E358">
        <v>1221.8192140000001</v>
      </c>
      <c r="F358">
        <v>1221.8192140000001</v>
      </c>
      <c r="G358">
        <v>10717455214</v>
      </c>
      <c r="H358">
        <v>16799.722656000002</v>
      </c>
      <c r="I358">
        <v>16920.765625</v>
      </c>
      <c r="J358">
        <v>16320.634765999999</v>
      </c>
      <c r="K358">
        <v>16353.365234000001</v>
      </c>
      <c r="L358">
        <v>16353.365234000001</v>
      </c>
      <c r="M358">
        <v>27209183682</v>
      </c>
      <c r="N358">
        <v>0.99861699999999998</v>
      </c>
      <c r="O358">
        <v>0.99906600000000001</v>
      </c>
      <c r="P358">
        <v>0.99846299999999999</v>
      </c>
      <c r="Q358">
        <v>0.99875499999999995</v>
      </c>
      <c r="R358">
        <v>0.99875499999999995</v>
      </c>
      <c r="S358">
        <v>40189889540</v>
      </c>
      <c r="T358">
        <v>1.000178</v>
      </c>
      <c r="U358">
        <v>1.0006200000000001</v>
      </c>
      <c r="V358">
        <v>0.99994799999999995</v>
      </c>
      <c r="W358">
        <v>1.0001359999999999</v>
      </c>
      <c r="X358">
        <v>1.0001359999999999</v>
      </c>
      <c r="Y358">
        <v>2374782585</v>
      </c>
      <c r="Z358">
        <v>0.33918199999999998</v>
      </c>
      <c r="AA358">
        <v>0.34486899999999998</v>
      </c>
      <c r="AB358">
        <v>0.32735700000000001</v>
      </c>
      <c r="AC358">
        <v>0.330127</v>
      </c>
      <c r="AD358">
        <v>0.330127</v>
      </c>
      <c r="AE358">
        <v>405636157</v>
      </c>
      <c r="AK358" s="1">
        <v>44878</v>
      </c>
      <c r="AL358">
        <f t="shared" si="5"/>
        <v>1255.441284</v>
      </c>
      <c r="AM358">
        <f>INDEX(A:AE,MATCH(AK358,worksheet!A:A,0),MATCH(worksheet!AM357,worksheet!A357:AE357,0))</f>
        <v>16799.722656000002</v>
      </c>
      <c r="AN358">
        <f>INDEX(A:AE,MATCH(AK358,worksheet!A:A,0),MATCH(worksheet!AN357,worksheet!A357:AE357,0))</f>
        <v>0.33918199999999998</v>
      </c>
      <c r="AO358">
        <f>INDEX(A:AE,MATCH(AK358,worksheet!A:A,0),MATCH(worksheet!AO357,worksheet!A357:AE357,0))</f>
        <v>0.99861699999999998</v>
      </c>
      <c r="AP358">
        <f>INDEX(A:AE,MATCH(AK358,worksheet!A:A,0),MATCH(worksheet!AP357,worksheet!A357:AE357,0))</f>
        <v>0.99861699999999998</v>
      </c>
    </row>
    <row r="359" spans="1:42" x14ac:dyDescent="0.25">
      <c r="A359" s="1">
        <v>44879</v>
      </c>
      <c r="B359">
        <v>1221.8955080000001</v>
      </c>
      <c r="C359">
        <v>1284.2176509999999</v>
      </c>
      <c r="D359">
        <v>1178.429077</v>
      </c>
      <c r="E359">
        <v>1241.6042480000001</v>
      </c>
      <c r="F359">
        <v>1241.6042480000001</v>
      </c>
      <c r="G359">
        <v>15028035663</v>
      </c>
      <c r="H359">
        <v>16352.028319999999</v>
      </c>
      <c r="I359">
        <v>17109.324218999998</v>
      </c>
      <c r="J359">
        <v>15872.941406</v>
      </c>
      <c r="K359">
        <v>16618.199218999998</v>
      </c>
      <c r="L359">
        <v>16618.199218999998</v>
      </c>
      <c r="M359">
        <v>49630243054</v>
      </c>
      <c r="N359">
        <v>0.99875000000000003</v>
      </c>
      <c r="O359">
        <v>0.99913399999999997</v>
      </c>
      <c r="P359">
        <v>0.99857600000000002</v>
      </c>
      <c r="Q359">
        <v>0.99901300000000004</v>
      </c>
      <c r="R359">
        <v>0.99901300000000004</v>
      </c>
      <c r="S359">
        <v>65634612428</v>
      </c>
      <c r="T359">
        <v>1.000135</v>
      </c>
      <c r="U359">
        <v>1.0009870000000001</v>
      </c>
      <c r="V359">
        <v>0.99977899999999997</v>
      </c>
      <c r="W359">
        <v>1.000586</v>
      </c>
      <c r="X359">
        <v>1.000586</v>
      </c>
      <c r="Y359">
        <v>4017714642</v>
      </c>
      <c r="Z359">
        <v>0.330123</v>
      </c>
      <c r="AA359">
        <v>0.34055600000000003</v>
      </c>
      <c r="AB359">
        <v>0.315946</v>
      </c>
      <c r="AC359">
        <v>0.33184900000000001</v>
      </c>
      <c r="AD359">
        <v>0.33184900000000001</v>
      </c>
      <c r="AE359">
        <v>484659345</v>
      </c>
      <c r="AK359" s="1">
        <v>44879</v>
      </c>
      <c r="AL359">
        <f t="shared" si="5"/>
        <v>1221.8955080000001</v>
      </c>
      <c r="AM359">
        <f>INDEX(A:AE,MATCH(AK359,worksheet!A:A,0),MATCH(worksheet!AM358,worksheet!A358:AE358,0))</f>
        <v>16352.028319999999</v>
      </c>
      <c r="AN359">
        <f>INDEX(A:AE,MATCH(AK359,worksheet!A:A,0),MATCH(worksheet!AN358,worksheet!A358:AE358,0))</f>
        <v>0.330123</v>
      </c>
      <c r="AO359">
        <f>INDEX(A:AE,MATCH(AK359,worksheet!A:A,0),MATCH(worksheet!AO358,worksheet!A358:AE358,0))</f>
        <v>0.99875000000000003</v>
      </c>
      <c r="AP359">
        <f>INDEX(A:AE,MATCH(AK359,worksheet!A:A,0),MATCH(worksheet!AP358,worksheet!A358:AE358,0))</f>
        <v>0.99875000000000003</v>
      </c>
    </row>
    <row r="360" spans="1:42" x14ac:dyDescent="0.25">
      <c r="A360" s="1">
        <v>44880</v>
      </c>
      <c r="B360">
        <v>1241.6777340000001</v>
      </c>
      <c r="C360">
        <v>1283.1987300000001</v>
      </c>
      <c r="D360">
        <v>1238.688232</v>
      </c>
      <c r="E360">
        <v>1251.736206</v>
      </c>
      <c r="F360">
        <v>1251.736206</v>
      </c>
      <c r="G360">
        <v>11798011594</v>
      </c>
      <c r="H360">
        <v>16617.484375</v>
      </c>
      <c r="I360">
        <v>17051.962890999999</v>
      </c>
      <c r="J360">
        <v>16542.550781000002</v>
      </c>
      <c r="K360">
        <v>16884.613281000002</v>
      </c>
      <c r="L360">
        <v>16884.613281000002</v>
      </c>
      <c r="M360">
        <v>36599436183</v>
      </c>
      <c r="N360">
        <v>0.99902100000000005</v>
      </c>
      <c r="O360">
        <v>0.99924299999999999</v>
      </c>
      <c r="P360">
        <v>0.99875599999999998</v>
      </c>
      <c r="Q360">
        <v>0.99912999999999996</v>
      </c>
      <c r="R360">
        <v>0.99912999999999996</v>
      </c>
      <c r="S360">
        <v>47859299075</v>
      </c>
      <c r="T360">
        <v>1.000618</v>
      </c>
      <c r="U360">
        <v>1.0008049999999999</v>
      </c>
      <c r="V360">
        <v>0.99988200000000005</v>
      </c>
      <c r="W360">
        <v>1.000345</v>
      </c>
      <c r="X360">
        <v>1.000345</v>
      </c>
      <c r="Y360">
        <v>3132740778</v>
      </c>
      <c r="Z360">
        <v>0.331874</v>
      </c>
      <c r="AA360">
        <v>0.34412900000000002</v>
      </c>
      <c r="AB360">
        <v>0.33033699999999999</v>
      </c>
      <c r="AC360">
        <v>0.337009</v>
      </c>
      <c r="AD360">
        <v>0.337009</v>
      </c>
      <c r="AE360">
        <v>312070544</v>
      </c>
      <c r="AK360" s="1">
        <v>44880</v>
      </c>
      <c r="AL360">
        <f t="shared" si="5"/>
        <v>1241.6777340000001</v>
      </c>
      <c r="AM360">
        <f>INDEX(A:AE,MATCH(AK360,worksheet!A:A,0),MATCH(worksheet!AM359,worksheet!A359:AE359,0))</f>
        <v>16617.484375</v>
      </c>
      <c r="AN360">
        <f>INDEX(A:AE,MATCH(AK360,worksheet!A:A,0),MATCH(worksheet!AN359,worksheet!A359:AE359,0))</f>
        <v>0.331874</v>
      </c>
      <c r="AO360">
        <f>INDEX(A:AE,MATCH(AK360,worksheet!A:A,0),MATCH(worksheet!AO359,worksheet!A359:AE359,0))</f>
        <v>0.99902100000000005</v>
      </c>
      <c r="AP360">
        <f>INDEX(A:AE,MATCH(AK360,worksheet!A:A,0),MATCH(worksheet!AP359,worksheet!A359:AE359,0))</f>
        <v>0.99902100000000005</v>
      </c>
    </row>
    <row r="361" spans="1:42" x14ac:dyDescent="0.25">
      <c r="A361" s="1">
        <v>44881</v>
      </c>
      <c r="B361">
        <v>1251.8088379999999</v>
      </c>
      <c r="C361">
        <v>1264.486328</v>
      </c>
      <c r="D361">
        <v>1192.987793</v>
      </c>
      <c r="E361">
        <v>1215.602539</v>
      </c>
      <c r="F361">
        <v>1215.602539</v>
      </c>
      <c r="G361">
        <v>11939561598</v>
      </c>
      <c r="H361">
        <v>16884.341797000001</v>
      </c>
      <c r="I361">
        <v>16960.294922000001</v>
      </c>
      <c r="J361">
        <v>16430.111327999999</v>
      </c>
      <c r="K361">
        <v>16669.439452999999</v>
      </c>
      <c r="L361">
        <v>16669.439452999999</v>
      </c>
      <c r="M361">
        <v>33925512989</v>
      </c>
      <c r="N361">
        <v>0.99913600000000002</v>
      </c>
      <c r="O361">
        <v>0.99940600000000002</v>
      </c>
      <c r="P361">
        <v>0.99898799999999999</v>
      </c>
      <c r="Q361">
        <v>0.99922900000000003</v>
      </c>
      <c r="R361">
        <v>0.99922900000000003</v>
      </c>
      <c r="S361">
        <v>45661177296</v>
      </c>
      <c r="T361">
        <v>1.000356</v>
      </c>
      <c r="U361">
        <v>1.000513</v>
      </c>
      <c r="V361">
        <v>0.99978900000000004</v>
      </c>
      <c r="W361">
        <v>1.000186</v>
      </c>
      <c r="X361">
        <v>1.000186</v>
      </c>
      <c r="Y361">
        <v>3988959847</v>
      </c>
      <c r="Z361">
        <v>0.33696399999999999</v>
      </c>
      <c r="AA361">
        <v>0.34393000000000001</v>
      </c>
      <c r="AB361">
        <v>0.325434</v>
      </c>
      <c r="AC361">
        <v>0.33238200000000001</v>
      </c>
      <c r="AD361">
        <v>0.33238200000000001</v>
      </c>
      <c r="AE361">
        <v>279986402</v>
      </c>
      <c r="AK361" s="1">
        <v>44881</v>
      </c>
      <c r="AL361">
        <f t="shared" si="5"/>
        <v>1251.8088379999999</v>
      </c>
      <c r="AM361">
        <f>INDEX(A:AE,MATCH(AK361,worksheet!A:A,0),MATCH(worksheet!AM360,worksheet!A360:AE360,0))</f>
        <v>16884.341797000001</v>
      </c>
      <c r="AN361">
        <f>INDEX(A:AE,MATCH(AK361,worksheet!A:A,0),MATCH(worksheet!AN360,worksheet!A360:AE360,0))</f>
        <v>0.33696399999999999</v>
      </c>
      <c r="AO361">
        <f>INDEX(A:AE,MATCH(AK361,worksheet!A:A,0),MATCH(worksheet!AO360,worksheet!A360:AE360,0))</f>
        <v>0.99913600000000002</v>
      </c>
      <c r="AP361">
        <f>INDEX(A:AE,MATCH(AK361,worksheet!A:A,0),MATCH(worksheet!AP360,worksheet!A360:AE360,0))</f>
        <v>0.99913600000000002</v>
      </c>
    </row>
    <row r="362" spans="1:42" x14ac:dyDescent="0.25">
      <c r="A362" s="1">
        <v>44882</v>
      </c>
      <c r="B362">
        <v>1215.8486330000001</v>
      </c>
      <c r="C362">
        <v>1224.965698</v>
      </c>
      <c r="D362">
        <v>1189.1527100000001</v>
      </c>
      <c r="E362">
        <v>1200.8085940000001</v>
      </c>
      <c r="F362">
        <v>1200.8085940000001</v>
      </c>
      <c r="G362">
        <v>9723646871</v>
      </c>
      <c r="H362">
        <v>16670.425781000002</v>
      </c>
      <c r="I362">
        <v>16726.439452999999</v>
      </c>
      <c r="J362">
        <v>16460.683593999998</v>
      </c>
      <c r="K362">
        <v>16687.517577999999</v>
      </c>
      <c r="L362">
        <v>16687.517577999999</v>
      </c>
      <c r="M362">
        <v>27868914022</v>
      </c>
      <c r="N362">
        <v>0.99923099999999998</v>
      </c>
      <c r="O362">
        <v>0.99964500000000001</v>
      </c>
      <c r="P362">
        <v>0.99920299999999995</v>
      </c>
      <c r="Q362">
        <v>0.99940200000000001</v>
      </c>
      <c r="R362">
        <v>0.99940200000000001</v>
      </c>
      <c r="S362">
        <v>37744442250</v>
      </c>
      <c r="T362">
        <v>1.0001990000000001</v>
      </c>
      <c r="U362">
        <v>1.000526</v>
      </c>
      <c r="V362">
        <v>0.99976900000000002</v>
      </c>
      <c r="W362">
        <v>1.000162</v>
      </c>
      <c r="X362">
        <v>1.000162</v>
      </c>
      <c r="Y362">
        <v>2882973153</v>
      </c>
      <c r="Z362">
        <v>0.33242100000000002</v>
      </c>
      <c r="AA362">
        <v>0.33402799999999999</v>
      </c>
      <c r="AB362">
        <v>0.319963</v>
      </c>
      <c r="AC362">
        <v>0.32485900000000001</v>
      </c>
      <c r="AD362">
        <v>0.32485900000000001</v>
      </c>
      <c r="AE362">
        <v>238288352</v>
      </c>
      <c r="AK362" s="1">
        <v>44882</v>
      </c>
      <c r="AL362">
        <f t="shared" si="5"/>
        <v>1215.8486330000001</v>
      </c>
      <c r="AM362">
        <f>INDEX(A:AE,MATCH(AK362,worksheet!A:A,0),MATCH(worksheet!AM361,worksheet!A361:AE361,0))</f>
        <v>16670.425781000002</v>
      </c>
      <c r="AN362">
        <f>INDEX(A:AE,MATCH(AK362,worksheet!A:A,0),MATCH(worksheet!AN361,worksheet!A361:AE361,0))</f>
        <v>0.33242100000000002</v>
      </c>
      <c r="AO362">
        <f>INDEX(A:AE,MATCH(AK362,worksheet!A:A,0),MATCH(worksheet!AO361,worksheet!A361:AE361,0))</f>
        <v>0.99923099999999998</v>
      </c>
      <c r="AP362">
        <f>INDEX(A:AE,MATCH(AK362,worksheet!A:A,0),MATCH(worksheet!AP361,worksheet!A361:AE361,0))</f>
        <v>0.99923099999999998</v>
      </c>
    </row>
    <row r="363" spans="1:42" x14ac:dyDescent="0.25">
      <c r="A363" s="1">
        <v>44883</v>
      </c>
      <c r="B363">
        <v>1200.802124</v>
      </c>
      <c r="C363">
        <v>1226.737427</v>
      </c>
      <c r="D363">
        <v>1200.802124</v>
      </c>
      <c r="E363">
        <v>1212.300293</v>
      </c>
      <c r="F363">
        <v>1212.300293</v>
      </c>
      <c r="G363">
        <v>7979913378</v>
      </c>
      <c r="H363">
        <v>16687.912109000001</v>
      </c>
      <c r="I363">
        <v>16947.058593999998</v>
      </c>
      <c r="J363">
        <v>16564.611327999999</v>
      </c>
      <c r="K363">
        <v>16697.777343999998</v>
      </c>
      <c r="L363">
        <v>16697.777343999998</v>
      </c>
      <c r="M363">
        <v>26862218609</v>
      </c>
      <c r="N363">
        <v>0.99939599999999995</v>
      </c>
      <c r="O363">
        <v>0.99946800000000002</v>
      </c>
      <c r="P363">
        <v>0.99907999999999997</v>
      </c>
      <c r="Q363">
        <v>0.99916300000000002</v>
      </c>
      <c r="R363">
        <v>0.99916300000000002</v>
      </c>
      <c r="S363">
        <v>34879098921</v>
      </c>
      <c r="T363">
        <v>1.0001599999999999</v>
      </c>
      <c r="U363">
        <v>1.000488</v>
      </c>
      <c r="V363">
        <v>1.0000389999999999</v>
      </c>
      <c r="W363">
        <v>1.000248</v>
      </c>
      <c r="X363">
        <v>1.000248</v>
      </c>
      <c r="Y363">
        <v>2638924708</v>
      </c>
      <c r="Z363">
        <v>0.32486900000000002</v>
      </c>
      <c r="AA363">
        <v>0.33215600000000001</v>
      </c>
      <c r="AB363">
        <v>0.32139699999999999</v>
      </c>
      <c r="AC363">
        <v>0.32622099999999998</v>
      </c>
      <c r="AD363">
        <v>0.32622099999999998</v>
      </c>
      <c r="AE363">
        <v>223268757</v>
      </c>
      <c r="AK363" s="1">
        <v>44883</v>
      </c>
      <c r="AL363">
        <f t="shared" si="5"/>
        <v>1200.802124</v>
      </c>
      <c r="AM363">
        <f>INDEX(A:AE,MATCH(AK363,worksheet!A:A,0),MATCH(worksheet!AM362,worksheet!A362:AE362,0))</f>
        <v>16687.912109000001</v>
      </c>
      <c r="AN363">
        <f>INDEX(A:AE,MATCH(AK363,worksheet!A:A,0),MATCH(worksheet!AN362,worksheet!A362:AE362,0))</f>
        <v>0.32486900000000002</v>
      </c>
      <c r="AO363">
        <f>INDEX(A:AE,MATCH(AK363,worksheet!A:A,0),MATCH(worksheet!AO362,worksheet!A362:AE362,0))</f>
        <v>0.99939599999999995</v>
      </c>
      <c r="AP363">
        <f>INDEX(A:AE,MATCH(AK363,worksheet!A:A,0),MATCH(worksheet!AP362,worksheet!A362:AE362,0))</f>
        <v>0.99939599999999995</v>
      </c>
    </row>
    <row r="364" spans="1:42" x14ac:dyDescent="0.25">
      <c r="A364" s="1">
        <v>44884</v>
      </c>
      <c r="B364">
        <v>1212.2154539999999</v>
      </c>
      <c r="C364">
        <v>1227.83728</v>
      </c>
      <c r="D364">
        <v>1200.475586</v>
      </c>
      <c r="E364">
        <v>1218.4267580000001</v>
      </c>
      <c r="F364">
        <v>1218.4267580000001</v>
      </c>
      <c r="G364">
        <v>5978745776</v>
      </c>
      <c r="H364">
        <v>16696.220702999999</v>
      </c>
      <c r="I364">
        <v>16797.876952999999</v>
      </c>
      <c r="J364">
        <v>16570.410156000002</v>
      </c>
      <c r="K364">
        <v>16711.546875</v>
      </c>
      <c r="L364">
        <v>16711.546875</v>
      </c>
      <c r="M364">
        <v>16106223492</v>
      </c>
      <c r="N364">
        <v>0.99917500000000004</v>
      </c>
      <c r="O364">
        <v>0.99929199999999996</v>
      </c>
      <c r="P364">
        <v>0.99904599999999999</v>
      </c>
      <c r="Q364">
        <v>0.99910200000000005</v>
      </c>
      <c r="R364">
        <v>0.99910200000000005</v>
      </c>
      <c r="S364">
        <v>23288439137</v>
      </c>
      <c r="T364">
        <v>1.0002260000000001</v>
      </c>
      <c r="U364">
        <v>1.0004599999999999</v>
      </c>
      <c r="V364">
        <v>0.99999700000000002</v>
      </c>
      <c r="W364">
        <v>1.000156</v>
      </c>
      <c r="X364">
        <v>1.000156</v>
      </c>
      <c r="Y364">
        <v>2142545663</v>
      </c>
      <c r="Z364">
        <v>0.32621699999999998</v>
      </c>
      <c r="AA364">
        <v>0.33168799999999998</v>
      </c>
      <c r="AB364">
        <v>0.32307399999999997</v>
      </c>
      <c r="AC364">
        <v>0.32851200000000003</v>
      </c>
      <c r="AD364">
        <v>0.32851200000000003</v>
      </c>
      <c r="AE364">
        <v>160053174</v>
      </c>
      <c r="AK364" s="1">
        <v>44884</v>
      </c>
      <c r="AL364">
        <f t="shared" si="5"/>
        <v>1212.2154539999999</v>
      </c>
      <c r="AM364">
        <f>INDEX(A:AE,MATCH(AK364,worksheet!A:A,0),MATCH(worksheet!AM363,worksheet!A363:AE363,0))</f>
        <v>16696.220702999999</v>
      </c>
      <c r="AN364">
        <f>INDEX(A:AE,MATCH(AK364,worksheet!A:A,0),MATCH(worksheet!AN363,worksheet!A363:AE363,0))</f>
        <v>0.32621699999999998</v>
      </c>
      <c r="AO364">
        <f>INDEX(A:AE,MATCH(AK364,worksheet!A:A,0),MATCH(worksheet!AO363,worksheet!A363:AE363,0))</f>
        <v>0.99917500000000004</v>
      </c>
      <c r="AP364">
        <f>INDEX(A:AE,MATCH(AK364,worksheet!A:A,0),MATCH(worksheet!AP363,worksheet!A363:AE363,0))</f>
        <v>0.99917500000000004</v>
      </c>
    </row>
    <row r="365" spans="1:42" x14ac:dyDescent="0.25">
      <c r="A365" s="1">
        <v>44885</v>
      </c>
      <c r="B365">
        <v>1218.436279</v>
      </c>
      <c r="C365">
        <v>1224.077759</v>
      </c>
      <c r="D365">
        <v>1137.9332280000001</v>
      </c>
      <c r="E365">
        <v>1142.4666749999999</v>
      </c>
      <c r="F365">
        <v>1142.4666749999999</v>
      </c>
      <c r="G365">
        <v>9651002684</v>
      </c>
      <c r="H365">
        <v>16712.919922000001</v>
      </c>
      <c r="I365">
        <v>16746.779297000001</v>
      </c>
      <c r="J365">
        <v>16248.692383</v>
      </c>
      <c r="K365">
        <v>16291.832031</v>
      </c>
      <c r="L365">
        <v>16291.832031</v>
      </c>
      <c r="M365">
        <v>21313378652</v>
      </c>
      <c r="N365">
        <v>0.99908699999999995</v>
      </c>
      <c r="O365">
        <v>0.99920699999999996</v>
      </c>
      <c r="P365">
        <v>0.99877000000000005</v>
      </c>
      <c r="Q365">
        <v>0.99898200000000004</v>
      </c>
      <c r="R365">
        <v>0.99898200000000004</v>
      </c>
      <c r="S365">
        <v>33834889406</v>
      </c>
      <c r="T365">
        <v>1.000167</v>
      </c>
      <c r="U365">
        <v>1.000499</v>
      </c>
      <c r="V365">
        <v>0.99983200000000005</v>
      </c>
      <c r="W365">
        <v>1.0002139999999999</v>
      </c>
      <c r="X365">
        <v>1.0002139999999999</v>
      </c>
      <c r="Y365">
        <v>2631891750</v>
      </c>
      <c r="Z365">
        <v>0.328513</v>
      </c>
      <c r="AA365">
        <v>0.33073399999999997</v>
      </c>
      <c r="AB365">
        <v>0.31107899999999999</v>
      </c>
      <c r="AC365">
        <v>0.312307</v>
      </c>
      <c r="AD365">
        <v>0.312307</v>
      </c>
      <c r="AE365">
        <v>241625735</v>
      </c>
      <c r="AK365" s="1">
        <v>44885</v>
      </c>
      <c r="AL365">
        <f t="shared" si="5"/>
        <v>1218.436279</v>
      </c>
      <c r="AM365">
        <f>INDEX(A:AE,MATCH(AK365,worksheet!A:A,0),MATCH(worksheet!AM364,worksheet!A364:AE364,0))</f>
        <v>16712.919922000001</v>
      </c>
      <c r="AN365">
        <f>INDEX(A:AE,MATCH(AK365,worksheet!A:A,0),MATCH(worksheet!AN364,worksheet!A364:AE364,0))</f>
        <v>0.328513</v>
      </c>
      <c r="AO365">
        <f>INDEX(A:AE,MATCH(AK365,worksheet!A:A,0),MATCH(worksheet!AO364,worksheet!A364:AE364,0))</f>
        <v>0.99908699999999995</v>
      </c>
      <c r="AP365">
        <f>INDEX(A:AE,MATCH(AK365,worksheet!A:A,0),MATCH(worksheet!AP364,worksheet!A364:AE364,0))</f>
        <v>0.99908699999999995</v>
      </c>
    </row>
    <row r="366" spans="1:42" x14ac:dyDescent="0.25">
      <c r="A366" s="1">
        <v>44886</v>
      </c>
      <c r="B366">
        <v>1142.3957519999999</v>
      </c>
      <c r="C366">
        <v>1142.3957519999999</v>
      </c>
      <c r="D366">
        <v>1084.8572999999999</v>
      </c>
      <c r="E366">
        <v>1108.3530270000001</v>
      </c>
      <c r="F366">
        <v>1108.3530270000001</v>
      </c>
      <c r="G366">
        <v>14080099208</v>
      </c>
      <c r="H366">
        <v>16291.223633</v>
      </c>
      <c r="I366">
        <v>16291.223633</v>
      </c>
      <c r="J366">
        <v>15599.046875</v>
      </c>
      <c r="K366">
        <v>15787.284180000001</v>
      </c>
      <c r="L366">
        <v>15787.284180000001</v>
      </c>
      <c r="M366">
        <v>37429485518</v>
      </c>
      <c r="N366">
        <v>0.99899499999999997</v>
      </c>
      <c r="O366">
        <v>0.99916899999999997</v>
      </c>
      <c r="P366">
        <v>0.99864600000000003</v>
      </c>
      <c r="Q366">
        <v>0.999089</v>
      </c>
      <c r="R366">
        <v>0.999089</v>
      </c>
      <c r="S366">
        <v>54558293762</v>
      </c>
      <c r="T366">
        <v>1.0002089999999999</v>
      </c>
      <c r="U366">
        <v>1.0007790000000001</v>
      </c>
      <c r="V366">
        <v>0.99980800000000003</v>
      </c>
      <c r="W366">
        <v>1.0003299999999999</v>
      </c>
      <c r="X366">
        <v>1.0003299999999999</v>
      </c>
      <c r="Y366">
        <v>6600804024</v>
      </c>
      <c r="Z366">
        <v>0.31230000000000002</v>
      </c>
      <c r="AA366">
        <v>0.31262200000000001</v>
      </c>
      <c r="AB366">
        <v>0.297288</v>
      </c>
      <c r="AC366">
        <v>0.30454799999999999</v>
      </c>
      <c r="AD366">
        <v>0.30454799999999999</v>
      </c>
      <c r="AE366">
        <v>402254597</v>
      </c>
      <c r="AK366" s="1">
        <v>44886</v>
      </c>
      <c r="AL366">
        <f t="shared" si="5"/>
        <v>1142.3957519999999</v>
      </c>
      <c r="AM366">
        <f>INDEX(A:AE,MATCH(AK366,worksheet!A:A,0),MATCH(worksheet!AM365,worksheet!A365:AE365,0))</f>
        <v>16291.223633</v>
      </c>
      <c r="AN366">
        <f>INDEX(A:AE,MATCH(AK366,worksheet!A:A,0),MATCH(worksheet!AN365,worksheet!A365:AE365,0))</f>
        <v>0.31230000000000002</v>
      </c>
      <c r="AO366">
        <f>INDEX(A:AE,MATCH(AK366,worksheet!A:A,0),MATCH(worksheet!AO365,worksheet!A365:AE365,0))</f>
        <v>0.99899499999999997</v>
      </c>
      <c r="AP366">
        <f>INDEX(A:AE,MATCH(AK366,worksheet!A:A,0),MATCH(worksheet!AP365,worksheet!A365:AE365,0))</f>
        <v>0.99899499999999997</v>
      </c>
    </row>
    <row r="367" spans="1:42" x14ac:dyDescent="0.25">
      <c r="A367" s="1">
        <v>44887</v>
      </c>
      <c r="B367">
        <v>1105.525879</v>
      </c>
      <c r="C367">
        <v>1112.278442</v>
      </c>
      <c r="D367">
        <v>1081.299561</v>
      </c>
      <c r="E367">
        <v>1094.019775</v>
      </c>
      <c r="F367">
        <v>1094.019775</v>
      </c>
      <c r="G367">
        <v>13412810752</v>
      </c>
      <c r="H367">
        <v>15778.548828000001</v>
      </c>
      <c r="I367">
        <v>15914.864258</v>
      </c>
      <c r="J367">
        <v>15656.606444999999</v>
      </c>
      <c r="K367">
        <v>15724.897461</v>
      </c>
      <c r="L367">
        <v>15724.897461</v>
      </c>
      <c r="M367">
        <v>32479893504</v>
      </c>
      <c r="N367">
        <v>0.999081</v>
      </c>
      <c r="O367">
        <v>0.999309</v>
      </c>
      <c r="P367">
        <v>0.99887400000000004</v>
      </c>
      <c r="Q367">
        <v>0.99915699999999996</v>
      </c>
      <c r="R367">
        <v>0.99915699999999996</v>
      </c>
      <c r="S367">
        <v>44056204568</v>
      </c>
      <c r="T367">
        <v>1.0002519999999999</v>
      </c>
      <c r="U367">
        <v>1.0007219999999999</v>
      </c>
      <c r="V367">
        <v>0.999969</v>
      </c>
      <c r="W367">
        <v>1.0004189999999999</v>
      </c>
      <c r="X367">
        <v>1.0004189999999999</v>
      </c>
      <c r="Y367">
        <v>4058680571</v>
      </c>
      <c r="Z367">
        <v>0.30452400000000002</v>
      </c>
      <c r="AA367">
        <v>0.31586900000000001</v>
      </c>
      <c r="AB367">
        <v>0.29910399999999998</v>
      </c>
      <c r="AC367">
        <v>0.31192199999999998</v>
      </c>
      <c r="AD367">
        <v>0.31192199999999998</v>
      </c>
      <c r="AE367">
        <v>303965817</v>
      </c>
      <c r="AK367" s="1">
        <v>44887</v>
      </c>
      <c r="AL367">
        <f t="shared" si="5"/>
        <v>1105.525879</v>
      </c>
      <c r="AM367">
        <f>INDEX(A:AE,MATCH(AK367,worksheet!A:A,0),MATCH(worksheet!AM366,worksheet!A366:AE366,0))</f>
        <v>15778.548828000001</v>
      </c>
      <c r="AN367">
        <f>INDEX(A:AE,MATCH(AK367,worksheet!A:A,0),MATCH(worksheet!AN366,worksheet!A366:AE366,0))</f>
        <v>0.30452400000000002</v>
      </c>
      <c r="AO367">
        <f>INDEX(A:AE,MATCH(AK367,worksheet!A:A,0),MATCH(worksheet!AO366,worksheet!A366:AE366,0))</f>
        <v>0.999081</v>
      </c>
      <c r="AP367">
        <f>INDEX(A:AE,MATCH(AK367,worksheet!A:A,0),MATCH(worksheet!AP366,worksheet!A366:AE366,0))</f>
        <v>0.999081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5AB3-F158-4856-9AD1-0850A65627C4}">
  <dimension ref="A1:V26"/>
  <sheetViews>
    <sheetView showGridLines="0" tabSelected="1" zoomScale="89" zoomScaleNormal="89" workbookViewId="0">
      <selection activeCell="R23" sqref="R23"/>
    </sheetView>
  </sheetViews>
  <sheetFormatPr defaultRowHeight="15" x14ac:dyDescent="0.25"/>
  <cols>
    <col min="1" max="1" width="1.42578125" style="11" customWidth="1"/>
    <col min="2" max="2" width="18.42578125" customWidth="1"/>
    <col min="15" max="17" width="13.85546875" customWidth="1"/>
    <col min="18" max="18" width="13.5703125" bestFit="1" customWidth="1"/>
    <col min="19" max="19" width="12.7109375" customWidth="1"/>
    <col min="20" max="20" width="11.85546875" customWidth="1"/>
  </cols>
  <sheetData>
    <row r="1" spans="2:22" ht="15" customHeight="1" x14ac:dyDescent="0.25">
      <c r="B1" s="13" t="s">
        <v>40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0"/>
      <c r="V1" s="10"/>
    </row>
    <row r="2" spans="2:22" ht="15" customHeight="1" x14ac:dyDescent="0.2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0"/>
      <c r="V2" s="10"/>
    </row>
    <row r="3" spans="2:22" ht="15.75" customHeight="1" x14ac:dyDescent="0.2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0"/>
      <c r="V3" s="10"/>
    </row>
    <row r="4" spans="2:22" ht="15.75" customHeight="1" thickBot="1" x14ac:dyDescent="0.3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0"/>
      <c r="V4" s="10"/>
    </row>
    <row r="5" spans="2:22" ht="15.75" thickBot="1" x14ac:dyDescent="0.3">
      <c r="B5" s="8" t="s">
        <v>31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2:22" ht="15.75" thickBot="1" x14ac:dyDescent="0.3">
      <c r="B6" s="3" t="s">
        <v>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2" t="s">
        <v>32</v>
      </c>
      <c r="S6" s="5">
        <f>INDEX(worksheet!$A:$AE,MATCH($B7,worksheet!$A:$A,0),MATCH(dashboard!$B8&amp;""&amp;dashboard!R6,worksheet!$A1:$AE1,0))</f>
        <v>4340.0361329999996</v>
      </c>
      <c r="T6" s="10"/>
      <c r="U6" s="10"/>
      <c r="V6" s="10"/>
    </row>
    <row r="7" spans="2:22" ht="15.75" thickBot="1" x14ac:dyDescent="0.3">
      <c r="B7" s="6">
        <v>44524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2" t="s">
        <v>33</v>
      </c>
      <c r="S7" s="5">
        <f>INDEX(worksheet!A:AE,MATCH(dashboard!B7,worksheet!A:A,0),MATCH(dashboard!B8&amp;""&amp;dashboard!R7,worksheet!A1:AE1,0))</f>
        <v>4239.9814450000003</v>
      </c>
      <c r="T7" s="10"/>
      <c r="U7" s="10"/>
      <c r="V7" s="10"/>
    </row>
    <row r="8" spans="2:22" ht="15.75" thickBot="1" x14ac:dyDescent="0.3">
      <c r="B8" s="7" t="str">
        <f>LEFT(B6,FIND(" ",B6,1))</f>
        <v xml:space="preserve">etherum 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2" t="s">
        <v>34</v>
      </c>
      <c r="S8" s="5">
        <f>INDEX(worksheet!A:AE,MATCH(dashboard!B7,worksheet!A:A,0),MATCH(dashboard!B8&amp;""&amp;dashboard!R8,worksheet!A1:AE1,0))</f>
        <v>4376.8759769999997</v>
      </c>
      <c r="T8" s="10"/>
      <c r="U8" s="10"/>
      <c r="V8" s="10"/>
    </row>
    <row r="9" spans="2:22" ht="15.75" thickBot="1" x14ac:dyDescent="0.3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2" t="s">
        <v>35</v>
      </c>
      <c r="S9" s="5">
        <f>INDEX(worksheet!A:AE,MATCH(dashboard!B7,worksheet!A:A,0),MATCH(dashboard!B8&amp;""&amp;dashboard!R9,worksheet!A1:AE1,0))</f>
        <v>4176.1835940000001</v>
      </c>
      <c r="T9" s="10"/>
      <c r="U9" s="10"/>
      <c r="V9" s="10"/>
    </row>
    <row r="10" spans="2:22" ht="15.75" thickBot="1" x14ac:dyDescent="0.3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2" t="s">
        <v>36</v>
      </c>
      <c r="S10" s="5">
        <f>MAX(INDEX(worksheet!A:AE,0,MATCH(dashboard!B8&amp;""&amp;dashboard!R8,worksheet!A1:AE1,0)))</f>
        <v>4780.732422</v>
      </c>
      <c r="T10" s="10"/>
      <c r="U10" s="10"/>
      <c r="V10" s="10"/>
    </row>
    <row r="11" spans="2:22" ht="15.75" thickBot="1" x14ac:dyDescent="0.3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2" t="s">
        <v>37</v>
      </c>
      <c r="S11" s="5">
        <f>MIN(INDEX(worksheet!A:AE,0,MATCH(dashboard!B8&amp;""&amp;dashboard!R9,worksheet!A1:AE1,0)))</f>
        <v>896.10900900000001</v>
      </c>
      <c r="T11" s="10"/>
      <c r="U11" s="10"/>
      <c r="V11" s="10"/>
    </row>
    <row r="12" spans="2:22" ht="15.75" thickBot="1" x14ac:dyDescent="0.3">
      <c r="B12" s="8" t="s">
        <v>39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2:22" ht="15.75" thickBot="1" x14ac:dyDescent="0.3">
      <c r="B13" s="3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2:22" ht="15.75" thickBot="1" x14ac:dyDescent="0.3">
      <c r="B14" s="3" t="s">
        <v>25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4" t="s">
        <v>44</v>
      </c>
      <c r="S14" s="14"/>
      <c r="T14" s="10"/>
      <c r="U14" s="10"/>
      <c r="V14" s="10"/>
    </row>
    <row r="15" spans="2:22" ht="15.75" thickBot="1" x14ac:dyDescent="0.3">
      <c r="B15" s="3" t="s">
        <v>13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4"/>
      <c r="S15" s="14"/>
      <c r="T15" s="10"/>
      <c r="U15" s="10"/>
      <c r="V15" s="10"/>
    </row>
    <row r="16" spans="2:22" ht="15.75" thickBot="1" x14ac:dyDescent="0.3">
      <c r="B16" s="3" t="s">
        <v>19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9"/>
      <c r="S16" s="2" t="s">
        <v>41</v>
      </c>
      <c r="T16" s="10"/>
      <c r="U16" s="10"/>
      <c r="V16" s="10"/>
    </row>
    <row r="17" spans="2:22" ht="15.75" thickBot="1" x14ac:dyDescent="0.3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3"/>
      <c r="S17" s="2" t="s">
        <v>42</v>
      </c>
      <c r="T17" s="10"/>
      <c r="U17" s="10"/>
      <c r="V17" s="10"/>
    </row>
    <row r="18" spans="2:22" ht="15.75" thickBot="1" x14ac:dyDescent="0.3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4"/>
      <c r="S18" s="2" t="s">
        <v>43</v>
      </c>
      <c r="T18" s="10"/>
      <c r="U18" s="10"/>
      <c r="V18" s="10"/>
    </row>
    <row r="19" spans="2:22" x14ac:dyDescent="0.2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2:22" x14ac:dyDescent="0.2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2:22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2:22" x14ac:dyDescent="0.2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2:22" x14ac:dyDescent="0.2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2:22" x14ac:dyDescent="0.2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2:22" x14ac:dyDescent="0.2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spans="2:22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</sheetData>
  <dataConsolidate/>
  <mergeCells count="2">
    <mergeCell ref="B1:T3"/>
    <mergeCell ref="R14:S15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4E0A80A-F9F3-42A6-9A74-83616BCDF6B8}">
          <x14:formula1>
            <xm:f>worksheet!$B$1:$AE$1</xm:f>
          </x14:formula1>
          <xm:sqref>B6 B13:B16</xm:sqref>
        </x14:dataValidation>
        <x14:dataValidation type="list" allowBlank="1" showInputMessage="1" showErrorMessage="1" xr:uid="{9D2A7EEF-8487-4C61-BBAC-D233E15FBD96}">
          <x14:formula1>
            <xm:f>worksheet!$A:$A</xm:f>
          </x14:formula1>
          <xm:sqref>B7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worksheet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SUSHMITHA R</dc:creator>
  <cp:lastModifiedBy>SUSHMITHA R</cp:lastModifiedBy>
  <dcterms:created xsi:type="dcterms:W3CDTF">2022-11-22T14:41:02Z</dcterms:created>
  <dcterms:modified xsi:type="dcterms:W3CDTF">2022-12-09T11:22:47Z</dcterms:modified>
</cp:coreProperties>
</file>