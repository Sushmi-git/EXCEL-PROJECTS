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slicers/slicer6.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slicers/slicer7.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3.xml" ContentType="application/vnd.ms-excel.person+xml"/>
  <Override PartName="/xl/persons/person2.xml" ContentType="application/vnd.ms-excel.person+xml"/>
  <Override PartName="/xl/persons/person1.xml" ContentType="application/vnd.ms-excel.person+xml"/>
  <Override PartName="/xl/persons/person4.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hidePivotFieldList="1" defaultThemeVersion="166925"/>
  <mc:AlternateContent xmlns:mc="http://schemas.openxmlformats.org/markup-compatibility/2006">
    <mc:Choice Requires="x15">
      <x15ac:absPath xmlns:x15ac="http://schemas.microsoft.com/office/spreadsheetml/2010/11/ac" url="https://d.docs.live.net/b15edab7a452194b/Documents/"/>
    </mc:Choice>
  </mc:AlternateContent>
  <xr:revisionPtr revIDLastSave="71" documentId="8_{20E58502-B61F-4297-BFFC-467B075C853E}" xr6:coauthVersionLast="47" xr6:coauthVersionMax="47" xr10:uidLastSave="{2BF085AF-4D4D-4782-BE4A-2357B26F518B}"/>
  <bookViews>
    <workbookView xWindow="-120" yWindow="-120" windowWidth="20730" windowHeight="11160" firstSheet="8" activeTab="10" xr2:uid="{9EF20F3E-2BF2-4525-B2CA-29485F583F64}"/>
  </bookViews>
  <sheets>
    <sheet name="FORMATTED DATA" sheetId="1" state="hidden" r:id="rId1"/>
    <sheet name="WHOLE 3 YEAR VIEW" sheetId="5" state="hidden" r:id="rId2"/>
    <sheet name="YEAR 1 VIEW" sheetId="7" state="hidden" r:id="rId3"/>
    <sheet name="YEAR 2 VIEW" sheetId="13" state="hidden" r:id="rId4"/>
    <sheet name="YEAR 3 VIEW" sheetId="12" state="hidden" r:id="rId5"/>
    <sheet name="DATA WITHOUT FORMAT" sheetId="14" state="hidden" r:id="rId6"/>
    <sheet name="worksheet" sheetId="15" state="hidden" r:id="rId7"/>
    <sheet name="pivots" sheetId="16" state="hidden" r:id="rId8"/>
    <sheet name="INCOME DASHBOARD" sheetId="17" r:id="rId9"/>
    <sheet name="EXPENSES DASHBOARD" sheetId="18" r:id="rId10"/>
    <sheet name="QUESTIONS" sheetId="19" r:id="rId11"/>
  </sheets>
  <definedNames>
    <definedName name="_xlnm._FilterDatabase" localSheetId="0" hidden="1">'FORMATTED DATA'!$B$2:$AK$41</definedName>
    <definedName name="item">'FORMATTED DATA'!$B$2:$B$40</definedName>
    <definedName name="Slicer_ITEMS">#N/A</definedName>
    <definedName name="Slicer_ITEMS1">#N/A</definedName>
    <definedName name="Slicer_ITEMS4">#N/A</definedName>
    <definedName name="year1">'FORMATTED DATA'!$C$1:$N$41</definedName>
    <definedName name="year2">'FORMATTED DATA'!$O$1:$Z$41</definedName>
    <definedName name="year3">'FORMATTED DATA'!$AA$1:$AJ$41</definedName>
  </definedNames>
  <calcPr calcId="181029"/>
  <pivotCaches>
    <pivotCache cacheId="8" r:id="rId12"/>
    <pivotCache cacheId="9" r:id="rId13"/>
    <pivotCache cacheId="10" r:id="rId14"/>
    <pivotCache cacheId="11" r:id="rId15"/>
    <pivotCache cacheId="12" r:id="rId16"/>
    <pivotCache cacheId="13" r:id="rId17"/>
    <pivotCache cacheId="14" r:id="rId18"/>
    <pivotCache cacheId="15"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O15" i="15" l="1"/>
  <c r="AN15" i="15"/>
  <c r="AM15" i="15"/>
  <c r="AL15" i="15"/>
  <c r="AK15" i="15"/>
  <c r="AJ15" i="15"/>
  <c r="AI15" i="15"/>
  <c r="AH15" i="15"/>
  <c r="AG15" i="15"/>
  <c r="AF15" i="15"/>
  <c r="AE15" i="15"/>
  <c r="AD15" i="15"/>
  <c r="AC15" i="15"/>
  <c r="AB15" i="15"/>
  <c r="AA15" i="15"/>
  <c r="Z15" i="15"/>
  <c r="Y15" i="15"/>
  <c r="X15" i="15"/>
  <c r="W15" i="15"/>
  <c r="V15" i="15"/>
  <c r="U15" i="15"/>
  <c r="T15" i="15"/>
  <c r="S15" i="15"/>
  <c r="R15" i="15"/>
  <c r="Q15" i="15"/>
  <c r="P15" i="15"/>
  <c r="O15" i="15"/>
  <c r="N15" i="15"/>
  <c r="M15" i="15"/>
  <c r="L15" i="15"/>
  <c r="K15" i="15"/>
  <c r="J15" i="15"/>
  <c r="I15" i="15"/>
  <c r="H15" i="15"/>
  <c r="G15" i="15"/>
  <c r="F15" i="15"/>
  <c r="E15" i="15"/>
  <c r="D15" i="15"/>
  <c r="C15" i="15"/>
  <c r="B15" i="15"/>
  <c r="AO49" i="15"/>
  <c r="AN49" i="15"/>
  <c r="AM49" i="15"/>
  <c r="AL49" i="15"/>
  <c r="AK49" i="15"/>
  <c r="AJ49" i="15"/>
  <c r="AI49" i="15"/>
  <c r="AH49" i="15"/>
  <c r="AG49" i="15"/>
  <c r="AF49" i="15"/>
  <c r="AE49" i="15"/>
  <c r="AD49" i="15"/>
  <c r="AC49" i="15"/>
  <c r="AB49" i="15"/>
  <c r="AA49" i="15"/>
  <c r="Z49" i="15"/>
  <c r="Y49" i="15"/>
  <c r="X49" i="15"/>
  <c r="W49" i="15"/>
  <c r="V49" i="15"/>
  <c r="U49" i="15"/>
  <c r="T49" i="15"/>
  <c r="S49" i="15"/>
  <c r="R49" i="15"/>
  <c r="Q49" i="15"/>
  <c r="P49" i="15"/>
  <c r="O49" i="15"/>
  <c r="N49" i="15"/>
  <c r="M49" i="15"/>
  <c r="L49" i="15"/>
  <c r="K49" i="15"/>
  <c r="J49" i="15"/>
  <c r="I49" i="15"/>
  <c r="H49" i="15"/>
  <c r="G49" i="15"/>
  <c r="F49" i="15"/>
  <c r="E49" i="15"/>
  <c r="D49" i="15"/>
  <c r="C49" i="15"/>
  <c r="B49" i="15"/>
  <c r="AO33" i="15"/>
  <c r="AN33" i="15"/>
  <c r="AM33" i="15"/>
  <c r="AL33" i="15"/>
  <c r="AK33" i="15"/>
  <c r="AJ33" i="15"/>
  <c r="AI33" i="15"/>
  <c r="AH33" i="15"/>
  <c r="AG33" i="15"/>
  <c r="AF33" i="15"/>
  <c r="AE33" i="15"/>
  <c r="AD33" i="15"/>
  <c r="AC33" i="15"/>
  <c r="AB33" i="15"/>
  <c r="AA33" i="15"/>
  <c r="Z33" i="15"/>
  <c r="Y33" i="15"/>
  <c r="X33" i="15"/>
  <c r="W33" i="15"/>
  <c r="V33" i="15"/>
  <c r="U33" i="15"/>
  <c r="T33" i="15"/>
  <c r="S33" i="15"/>
  <c r="R33" i="15"/>
  <c r="Q33" i="15"/>
  <c r="P33" i="15"/>
  <c r="O33" i="15"/>
  <c r="N33" i="15"/>
  <c r="M33" i="15"/>
  <c r="L33" i="15"/>
  <c r="K33" i="15"/>
  <c r="J33" i="15"/>
  <c r="I33" i="15"/>
  <c r="H33" i="15"/>
  <c r="G33" i="15"/>
  <c r="F33" i="15"/>
  <c r="E33" i="15"/>
  <c r="D33" i="15"/>
  <c r="C33" i="15"/>
  <c r="B33" i="15"/>
  <c r="B14" i="12"/>
  <c r="B16" i="13"/>
  <c r="B17" i="7"/>
  <c r="U41" i="1"/>
  <c r="V41" i="1"/>
  <c r="W41" i="1"/>
  <c r="X41" i="1"/>
  <c r="Y41" i="1"/>
  <c r="Z41" i="1"/>
  <c r="AA41" i="1"/>
  <c r="AB41" i="1"/>
  <c r="AC41" i="1"/>
  <c r="AD41" i="1"/>
  <c r="AE41" i="1"/>
  <c r="AF41" i="1"/>
  <c r="AG41" i="1"/>
  <c r="AH41" i="1"/>
  <c r="AI41" i="1"/>
  <c r="AJ41" i="1"/>
  <c r="P41" i="1"/>
  <c r="Q41" i="1"/>
  <c r="R41" i="1"/>
  <c r="S41" i="1"/>
  <c r="T41" i="1"/>
  <c r="M41" i="1"/>
  <c r="N41" i="1"/>
  <c r="O41" i="1"/>
  <c r="L41" i="1"/>
  <c r="I41" i="1"/>
  <c r="J41" i="1"/>
  <c r="K41" i="1"/>
  <c r="D41" i="1"/>
  <c r="AK3" i="1" s="1"/>
  <c r="E41" i="1"/>
  <c r="F41" i="1"/>
  <c r="G41" i="1"/>
  <c r="H41" i="1"/>
  <c r="C41" i="1"/>
  <c r="AK37" i="1"/>
  <c r="AK31" i="1"/>
  <c r="AK24" i="1"/>
  <c r="AK35" i="1"/>
  <c r="AK9" i="1"/>
  <c r="AK4" i="1"/>
  <c r="AK5" i="1"/>
  <c r="AK8" i="1"/>
  <c r="AK20" i="1"/>
  <c r="AK14" i="1"/>
  <c r="AK16" i="1"/>
  <c r="AK11" i="1"/>
  <c r="AK13" i="1"/>
  <c r="AK10" i="1"/>
  <c r="AK15" i="1"/>
  <c r="AK6" i="1"/>
  <c r="AK18" i="1"/>
  <c r="AK25" i="1"/>
  <c r="AK32" i="1"/>
  <c r="AK26" i="1"/>
  <c r="AK28" i="1"/>
  <c r="AK19" i="1"/>
  <c r="AK17" i="1"/>
  <c r="AK7" i="1"/>
  <c r="AK27" i="1"/>
  <c r="AK23" i="1"/>
  <c r="AK22" i="1"/>
  <c r="AK12" i="1"/>
  <c r="AK33" i="1"/>
  <c r="AK34" i="1"/>
  <c r="AK21" i="1"/>
  <c r="AK36" i="1"/>
  <c r="AK30" i="1"/>
  <c r="AK39" i="1"/>
  <c r="AK40" i="1"/>
  <c r="AK38" i="1"/>
  <c r="AK29" i="1"/>
  <c r="AK41" i="1" l="1"/>
</calcChain>
</file>

<file path=xl/sharedStrings.xml><?xml version="1.0" encoding="utf-8"?>
<sst xmlns="http://schemas.openxmlformats.org/spreadsheetml/2006/main" count="588" uniqueCount="213">
  <si>
    <t>MONTH</t>
  </si>
  <si>
    <t>BANK</t>
  </si>
  <si>
    <t>RICE</t>
  </si>
  <si>
    <t>ATTA</t>
  </si>
  <si>
    <t>SUGAR</t>
  </si>
  <si>
    <t>TUVAR DAL</t>
  </si>
  <si>
    <t>G.OIL</t>
  </si>
  <si>
    <t>TEA/COF POW</t>
  </si>
  <si>
    <t>MILK/CURD</t>
  </si>
  <si>
    <t>D WATER</t>
  </si>
  <si>
    <t>BUT/GHEE</t>
  </si>
  <si>
    <t>HOTEL/SNACKS</t>
  </si>
  <si>
    <t>VEGETABLE</t>
  </si>
  <si>
    <t>FRUITS</t>
  </si>
  <si>
    <t>SOAP/TOILETRIES</t>
  </si>
  <si>
    <t>RAVI EXPS</t>
  </si>
  <si>
    <t>DAL/SPICES</t>
  </si>
  <si>
    <t>FISH/CHI</t>
  </si>
  <si>
    <t>Aquarium</t>
  </si>
  <si>
    <t>GAS</t>
  </si>
  <si>
    <t>PHONE REC</t>
  </si>
  <si>
    <t>EB BILL</t>
  </si>
  <si>
    <t>AIRTEL/JIO</t>
  </si>
  <si>
    <t>JAYA DOC/SIP</t>
  </si>
  <si>
    <t>BUS/AUTO</t>
  </si>
  <si>
    <t>JAYA EXPS</t>
  </si>
  <si>
    <t>HO POOJA</t>
  </si>
  <si>
    <t>VEH EXPS</t>
  </si>
  <si>
    <t>SUSH EXPS</t>
  </si>
  <si>
    <t>SUSH SIP/DOC</t>
  </si>
  <si>
    <t>AYYA A/C</t>
  </si>
  <si>
    <t>MEDICINE</t>
  </si>
  <si>
    <t>MUM AYYA</t>
  </si>
  <si>
    <t>MISC EXPS</t>
  </si>
  <si>
    <t>HO RENT</t>
  </si>
  <si>
    <t>GOLDCHIT</t>
  </si>
  <si>
    <t>PETROL EXPS</t>
  </si>
  <si>
    <t>KITCHEN APP</t>
  </si>
  <si>
    <t>PLANTS</t>
  </si>
  <si>
    <t>DONATION</t>
  </si>
  <si>
    <t>TOTAL</t>
  </si>
  <si>
    <t xml:space="preserve"> JAN 20</t>
  </si>
  <si>
    <t xml:space="preserve"> FEB 20</t>
  </si>
  <si>
    <t xml:space="preserve"> MAR 20</t>
  </si>
  <si>
    <t xml:space="preserve"> APRIL 20</t>
  </si>
  <si>
    <t xml:space="preserve"> MAY 20</t>
  </si>
  <si>
    <t xml:space="preserve"> JUNE 20</t>
  </si>
  <si>
    <t xml:space="preserve"> JULY 20</t>
  </si>
  <si>
    <t xml:space="preserve"> </t>
  </si>
  <si>
    <t xml:space="preserve"> AUG 20</t>
  </si>
  <si>
    <t xml:space="preserve"> SEPT 20</t>
  </si>
  <si>
    <t xml:space="preserve"> OCT 20</t>
  </si>
  <si>
    <t xml:space="preserve"> NOV 20</t>
  </si>
  <si>
    <t xml:space="preserve"> DEC 20</t>
  </si>
  <si>
    <t xml:space="preserve"> JAN 21</t>
  </si>
  <si>
    <t xml:space="preserve"> FEB 21</t>
  </si>
  <si>
    <t xml:space="preserve"> MAR 21</t>
  </si>
  <si>
    <t xml:space="preserve"> APRIL 21</t>
  </si>
  <si>
    <t xml:space="preserve"> MAY 21</t>
  </si>
  <si>
    <t xml:space="preserve"> JUNE 21</t>
  </si>
  <si>
    <t xml:space="preserve"> JULY 21</t>
  </si>
  <si>
    <t xml:space="preserve"> AUG 21</t>
  </si>
  <si>
    <t xml:space="preserve"> SEPT 21</t>
  </si>
  <si>
    <t xml:space="preserve"> OCT 21</t>
  </si>
  <si>
    <t xml:space="preserve"> NOV 21</t>
  </si>
  <si>
    <t xml:space="preserve"> DEC 21</t>
  </si>
  <si>
    <t xml:space="preserve"> JAN 22</t>
  </si>
  <si>
    <t xml:space="preserve"> FEB 22</t>
  </si>
  <si>
    <t xml:space="preserve"> MAR 22</t>
  </si>
  <si>
    <t xml:space="preserve"> APR 22</t>
  </si>
  <si>
    <t xml:space="preserve"> MAY 22</t>
  </si>
  <si>
    <t xml:space="preserve"> JUNE 22</t>
  </si>
  <si>
    <t xml:space="preserve"> JULY 22</t>
  </si>
  <si>
    <t xml:space="preserve"> AUG 22</t>
  </si>
  <si>
    <t xml:space="preserve"> SEPT 22</t>
  </si>
  <si>
    <t xml:space="preserve"> OCT 22</t>
  </si>
  <si>
    <t>YEAR 1</t>
  </si>
  <si>
    <t>YEAR 2</t>
  </si>
  <si>
    <t>YEAR 3</t>
  </si>
  <si>
    <t>ITEMS</t>
  </si>
  <si>
    <t>Row Labels</t>
  </si>
  <si>
    <t>Grand Total</t>
  </si>
  <si>
    <t>Sum of TOTAL</t>
  </si>
  <si>
    <t>Sum of  JAN 20</t>
  </si>
  <si>
    <t>Sum of  FEB 20</t>
  </si>
  <si>
    <t>Sum of  APRIL 20</t>
  </si>
  <si>
    <t>Sum of  MAR 20</t>
  </si>
  <si>
    <t>Sum of  MAY 20</t>
  </si>
  <si>
    <t>Sum of  JUNE 20</t>
  </si>
  <si>
    <t>Sum of  AUG 20</t>
  </si>
  <si>
    <t>Sum of  SEPT 20</t>
  </si>
  <si>
    <t>Sum of  NOV 20</t>
  </si>
  <si>
    <t>Sum of  JULY 20</t>
  </si>
  <si>
    <t>Sum of  OCT 20</t>
  </si>
  <si>
    <t>Sum of  DEC 20</t>
  </si>
  <si>
    <t>GRAND TOTAL</t>
  </si>
  <si>
    <t>Sum of  JAN 21</t>
  </si>
  <si>
    <t>Sum of  FEB 21</t>
  </si>
  <si>
    <t>Sum of  MAR 21</t>
  </si>
  <si>
    <t>Sum of  APRIL 21</t>
  </si>
  <si>
    <t>Sum of  MAY 21</t>
  </si>
  <si>
    <t>Sum of  JUNE 21</t>
  </si>
  <si>
    <t>Sum of  JULY 21</t>
  </si>
  <si>
    <t>Sum of  AUG 21</t>
  </si>
  <si>
    <t>Sum of  SEPT 21</t>
  </si>
  <si>
    <t>Sum of  OCT 21</t>
  </si>
  <si>
    <t>Sum of  NOV 21</t>
  </si>
  <si>
    <t>Sum of  DEC 21</t>
  </si>
  <si>
    <t>YEAR 2021</t>
  </si>
  <si>
    <t>Sum of  JAN 22</t>
  </si>
  <si>
    <t>Sum of  FEB 22</t>
  </si>
  <si>
    <t>Sum of  MAR 22</t>
  </si>
  <si>
    <t>Sum of  APR 22</t>
  </si>
  <si>
    <t>Sum of  MAY 22</t>
  </si>
  <si>
    <t>Sum of  JUNE 22</t>
  </si>
  <si>
    <t>Sum of  JULY 22</t>
  </si>
  <si>
    <t>Sum of  AUG 22</t>
  </si>
  <si>
    <t>Sum of  SEPT 22</t>
  </si>
  <si>
    <t>Sum of  OCT 22</t>
  </si>
  <si>
    <t>YEAR 2022</t>
  </si>
  <si>
    <t>2022 EXPENSES</t>
  </si>
  <si>
    <t>2020 EXPENSES</t>
  </si>
  <si>
    <t>2021 EXPENSES</t>
  </si>
  <si>
    <t>2020-2022 EXPENSES</t>
  </si>
  <si>
    <t>Total</t>
  </si>
  <si>
    <t>Sum of RICE</t>
  </si>
  <si>
    <t>Sum of AIRTEL/JIO</t>
  </si>
  <si>
    <t>Sum of HO POOJA</t>
  </si>
  <si>
    <t>Sum of SUSH EXPS</t>
  </si>
  <si>
    <t>Sum of ATTA</t>
  </si>
  <si>
    <t>Sum of SUGAR</t>
  </si>
  <si>
    <t>Sum of G.OIL</t>
  </si>
  <si>
    <t>Sum of TEA/COF POW</t>
  </si>
  <si>
    <t>INCOME</t>
  </si>
  <si>
    <t>Sum of INCOME</t>
  </si>
  <si>
    <t>Sum of DONATION</t>
  </si>
  <si>
    <t>Sum of PLANTS</t>
  </si>
  <si>
    <t>Sum of KITCHEN APP</t>
  </si>
  <si>
    <t>Sum of PETROL EXPS</t>
  </si>
  <si>
    <t>Sum of GOLDCHIT</t>
  </si>
  <si>
    <t>Sum of HO RENT</t>
  </si>
  <si>
    <t>year 1</t>
  </si>
  <si>
    <t>year 2</t>
  </si>
  <si>
    <t>year 3</t>
  </si>
  <si>
    <t>Sum of TUVAR DAL</t>
  </si>
  <si>
    <t>Sum of MILK/CURD</t>
  </si>
  <si>
    <t>Sum of D WATER</t>
  </si>
  <si>
    <t>Sum of BUT/GHEE</t>
  </si>
  <si>
    <t>Sum of HOTEL/SNACKS</t>
  </si>
  <si>
    <t>Sum of VEGETABLE</t>
  </si>
  <si>
    <t>Sum of FRUITS</t>
  </si>
  <si>
    <t>Sum of SOAP/TOILETRIES</t>
  </si>
  <si>
    <t>Sum of RAVI EXPS</t>
  </si>
  <si>
    <t>EXPENSES PER YEAR</t>
  </si>
  <si>
    <t>SOME QUESTIONS ARE ANSWERED</t>
  </si>
  <si>
    <t>1) IN WHICH PRODUCT I HAVE SPENT THE MOST IN THE YEAR 2021?</t>
  </si>
  <si>
    <t>Sum of DAL/SPICES</t>
  </si>
  <si>
    <t>Sum of FISH/CHI</t>
  </si>
  <si>
    <t>Sum of Aquarium</t>
  </si>
  <si>
    <t>Sum of GAS</t>
  </si>
  <si>
    <t>Sum of PHONE REC</t>
  </si>
  <si>
    <t>Sum of EB BILL</t>
  </si>
  <si>
    <t>Sum of JAYA DOC/SIP</t>
  </si>
  <si>
    <t>Total Sum of RICE</t>
  </si>
  <si>
    <t>Total Sum of ATTA</t>
  </si>
  <si>
    <t>Total Sum of SUGAR</t>
  </si>
  <si>
    <t>Total Sum of TUVAR DAL</t>
  </si>
  <si>
    <t>Total Sum of G.OIL</t>
  </si>
  <si>
    <t>Total Sum of TEA/COF POW</t>
  </si>
  <si>
    <t>Total Sum of MILK/CURD</t>
  </si>
  <si>
    <t>Total Sum of D WATER</t>
  </si>
  <si>
    <t>Total Sum of HOTEL/SNACKS</t>
  </si>
  <si>
    <t>Total Sum of BUT/GHEE</t>
  </si>
  <si>
    <t>Total Sum of VEGETABLE</t>
  </si>
  <si>
    <t>Total Sum of FRUITS</t>
  </si>
  <si>
    <t>Total Sum of SOAP/TOILETRIES</t>
  </si>
  <si>
    <t>Total Sum of RAVI EXPS</t>
  </si>
  <si>
    <t>Total Sum of DAL/SPICES</t>
  </si>
  <si>
    <t>Total Sum of FISH/CHI</t>
  </si>
  <si>
    <t>Total Sum of Aquarium</t>
  </si>
  <si>
    <t>Total Sum of GAS</t>
  </si>
  <si>
    <t>Total Sum of PHONE REC</t>
  </si>
  <si>
    <t>Total Sum of EB BILL</t>
  </si>
  <si>
    <t>Total Sum of AIRTEL/JIO</t>
  </si>
  <si>
    <t>Total Sum of JAYA DOC/SIP</t>
  </si>
  <si>
    <t>Sum of BUS/AUTO</t>
  </si>
  <si>
    <t>Total Sum of BUS/AUTO</t>
  </si>
  <si>
    <t>Sum of JAYA EXPS</t>
  </si>
  <si>
    <t>Sum of VEH EXPS</t>
  </si>
  <si>
    <t>Sum of SUSH SIP/DOC</t>
  </si>
  <si>
    <t>Sum of AYYA A/C</t>
  </si>
  <si>
    <t>Sum of MEDICINE</t>
  </si>
  <si>
    <t>Sum of MUM AYYA</t>
  </si>
  <si>
    <t>Sum of MISC EXPS</t>
  </si>
  <si>
    <t>Total Sum of JAYA EXPS</t>
  </si>
  <si>
    <t>Total Sum of HO POOJA</t>
  </si>
  <si>
    <t>Total Sum of VEH EXPS</t>
  </si>
  <si>
    <t>Total Sum of SUSH EXPS</t>
  </si>
  <si>
    <t>Total Sum of SUSH SIP/DOC</t>
  </si>
  <si>
    <t>Total Sum of AYYA A/C</t>
  </si>
  <si>
    <t>Total Sum of MEDICINE</t>
  </si>
  <si>
    <t>Total Sum of MUM AYYA</t>
  </si>
  <si>
    <t>Total Sum of MISC EXPS</t>
  </si>
  <si>
    <t>Total Sum of HO RENT</t>
  </si>
  <si>
    <t>Total Sum of GOLDCHIT</t>
  </si>
  <si>
    <t>Total Sum of PETROL EXPS</t>
  </si>
  <si>
    <t>Total Sum of KITCHEN APP</t>
  </si>
  <si>
    <t>Total Sum of PLANTS</t>
  </si>
  <si>
    <t>Total Sum of DONATION</t>
  </si>
  <si>
    <t>2) HOW MUCH I HAVE SPENT IN THE YEAR 2020 ON RICE AND ATTA?</t>
  </si>
  <si>
    <t xml:space="preserve">3) SHOW ME THE WHOLE 3 YEAR EXPENSES FROM HIGHEST TO LOWEST </t>
  </si>
  <si>
    <t xml:space="preserve"> INCOME PER YEAR</t>
  </si>
  <si>
    <t xml:space="preserve">4)  PERSONAL EXPENSES MADE ON  EACH 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</si>
</sst>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
  </numFmts>
  <fonts count="17" x14ac:knownFonts="1">
    <font>
      <sz val="11"/>
      <color theme="1"/>
      <name val="Calibri"/>
      <family val="2"/>
      <scheme val="minor"/>
    </font>
    <font>
      <sz val="11"/>
      <color rgb="FF000000"/>
      <name val="Calibri"/>
      <family val="2"/>
    </font>
    <font>
      <b/>
      <sz val="11"/>
      <color rgb="FF000000"/>
      <name val="Calibri"/>
      <family val="2"/>
    </font>
    <font>
      <b/>
      <sz val="12"/>
      <color rgb="FF000000"/>
      <name val="Calibri"/>
      <family val="2"/>
    </font>
    <font>
      <sz val="11"/>
      <color rgb="FF000000"/>
      <name val="Arial"/>
      <family val="2"/>
    </font>
    <font>
      <b/>
      <sz val="18"/>
      <color theme="0"/>
      <name val="Calibri"/>
      <family val="2"/>
      <scheme val="minor"/>
    </font>
    <font>
      <b/>
      <sz val="18"/>
      <color theme="1"/>
      <name val="Calibri"/>
      <family val="2"/>
      <scheme val="minor"/>
    </font>
    <font>
      <b/>
      <sz val="12"/>
      <color theme="0"/>
      <name val="Calibri"/>
      <family val="2"/>
    </font>
    <font>
      <b/>
      <sz val="16"/>
      <color theme="1"/>
      <name val="Calibri"/>
      <family val="2"/>
      <scheme val="minor"/>
    </font>
    <font>
      <b/>
      <sz val="12"/>
      <color rgb="FF000000"/>
      <name val="Calibri"/>
      <family val="2"/>
    </font>
    <font>
      <b/>
      <sz val="36"/>
      <color theme="1"/>
      <name val="Calibri"/>
      <family val="2"/>
      <scheme val="minor"/>
    </font>
    <font>
      <b/>
      <sz val="36"/>
      <color theme="1"/>
      <name val="Algerian"/>
      <family val="5"/>
    </font>
    <font>
      <sz val="36"/>
      <color theme="1"/>
      <name val="Algerian"/>
      <family val="5"/>
    </font>
    <font>
      <b/>
      <sz val="11"/>
      <color theme="0"/>
      <name val="Calibri"/>
      <family val="2"/>
      <scheme val="minor"/>
    </font>
    <font>
      <sz val="11"/>
      <color theme="0"/>
      <name val="Calibri"/>
      <family val="2"/>
      <scheme val="minor"/>
    </font>
    <font>
      <b/>
      <sz val="36"/>
      <color theme="0"/>
      <name val="Calibri"/>
      <family val="2"/>
      <scheme val="minor"/>
    </font>
    <font>
      <b/>
      <sz val="28"/>
      <color theme="1"/>
      <name val="Calibri"/>
      <family val="2"/>
      <scheme val="minor"/>
    </font>
  </fonts>
  <fills count="16">
    <fill>
      <patternFill patternType="none"/>
    </fill>
    <fill>
      <patternFill patternType="gray125"/>
    </fill>
    <fill>
      <patternFill patternType="solid">
        <fgColor rgb="FF92D050"/>
        <bgColor rgb="FF93CDDD"/>
      </patternFill>
    </fill>
    <fill>
      <patternFill patternType="solid">
        <fgColor theme="1"/>
        <bgColor indexed="64"/>
      </patternFill>
    </fill>
    <fill>
      <patternFill patternType="solid">
        <fgColor rgb="FFFF0000"/>
        <bgColor indexed="64"/>
      </patternFill>
    </fill>
    <fill>
      <patternFill patternType="solid">
        <fgColor rgb="FF002060"/>
        <bgColor indexed="64"/>
      </patternFill>
    </fill>
    <fill>
      <patternFill patternType="solid">
        <fgColor rgb="FFFFFF00"/>
        <bgColor indexed="64"/>
      </patternFill>
    </fill>
    <fill>
      <patternFill patternType="solid">
        <fgColor theme="5" tint="0.39997558519241921"/>
        <bgColor rgb="FF93CDDD"/>
      </patternFill>
    </fill>
    <fill>
      <patternFill patternType="solid">
        <fgColor rgb="FFFFFF66"/>
        <bgColor rgb="FFFFFF00"/>
      </patternFill>
    </fill>
    <fill>
      <patternFill patternType="solid">
        <fgColor rgb="FFFFFF00"/>
        <bgColor rgb="FF93CDDD"/>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9" tint="-0.249977111117893"/>
        <bgColor indexed="64"/>
      </patternFill>
    </fill>
  </fills>
  <borders count="12">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s>
  <cellStyleXfs count="3">
    <xf numFmtId="0" fontId="0" fillId="0" borderId="0"/>
    <xf numFmtId="0" fontId="1" fillId="0" borderId="0" applyBorder="0" applyProtection="0"/>
    <xf numFmtId="0" fontId="4" fillId="0" borderId="0"/>
  </cellStyleXfs>
  <cellXfs count="45">
    <xf numFmtId="0" fontId="0" fillId="0" borderId="0" xfId="0"/>
    <xf numFmtId="0" fontId="1" fillId="0" borderId="0" xfId="1"/>
    <xf numFmtId="0" fontId="1" fillId="0" borderId="1" xfId="1" applyBorder="1"/>
    <xf numFmtId="0" fontId="1" fillId="0" borderId="2" xfId="1" applyBorder="1"/>
    <xf numFmtId="0" fontId="2" fillId="2" borderId="2" xfId="1" applyFont="1" applyFill="1" applyBorder="1"/>
    <xf numFmtId="0" fontId="2" fillId="0" borderId="2" xfId="1" applyFont="1" applyBorder="1"/>
    <xf numFmtId="2" fontId="3" fillId="8" borderId="4" xfId="1" applyNumberFormat="1" applyFont="1" applyFill="1" applyBorder="1" applyAlignment="1">
      <alignment horizontal="center"/>
    </xf>
    <xf numFmtId="2" fontId="3" fillId="8" borderId="3" xfId="1" applyNumberFormat="1" applyFont="1" applyFill="1" applyBorder="1" applyAlignment="1">
      <alignment horizontal="center"/>
    </xf>
    <xf numFmtId="0" fontId="0" fillId="0" borderId="0" xfId="0" quotePrefix="1"/>
    <xf numFmtId="2" fontId="9" fillId="6" borderId="5" xfId="1" applyNumberFormat="1" applyFont="1" applyFill="1" applyBorder="1" applyAlignment="1">
      <alignment horizontal="center"/>
    </xf>
    <xf numFmtId="0" fontId="2" fillId="2" borderId="4" xfId="1" applyFont="1" applyFill="1" applyBorder="1" applyAlignment="1">
      <alignment horizontal="center"/>
    </xf>
    <xf numFmtId="2" fontId="3" fillId="9" borderId="7" xfId="1" applyNumberFormat="1" applyFont="1" applyFill="1" applyBorder="1" applyAlignment="1">
      <alignment horizontal="center"/>
    </xf>
    <xf numFmtId="0" fontId="8" fillId="6" borderId="8" xfId="0" applyFont="1" applyFill="1" applyBorder="1" applyAlignment="1">
      <alignment horizontal="center" vertical="center"/>
    </xf>
    <xf numFmtId="14" fontId="7" fillId="7" borderId="8" xfId="1" applyNumberFormat="1" applyFont="1" applyFill="1" applyBorder="1" applyAlignment="1">
      <alignment horizontal="center" vertical="center" wrapText="1"/>
    </xf>
    <xf numFmtId="14" fontId="7" fillId="7" borderId="9" xfId="1" applyNumberFormat="1" applyFont="1" applyFill="1" applyBorder="1" applyAlignment="1">
      <alignment horizontal="center" vertical="center" wrapText="1"/>
    </xf>
    <xf numFmtId="164" fontId="3" fillId="7" borderId="10" xfId="1" applyNumberFormat="1" applyFont="1" applyFill="1" applyBorder="1" applyAlignment="1">
      <alignment horizontal="center" vertical="center" wrapText="1"/>
    </xf>
    <xf numFmtId="0" fontId="2" fillId="2" borderId="5" xfId="1" applyFont="1" applyFill="1" applyBorder="1" applyAlignment="1">
      <alignment horizontal="center"/>
    </xf>
    <xf numFmtId="2" fontId="9" fillId="6" borderId="11" xfId="1" applyNumberFormat="1" applyFont="1" applyFill="1" applyBorder="1" applyAlignment="1">
      <alignment horizontal="center"/>
    </xf>
    <xf numFmtId="0" fontId="0" fillId="0" borderId="0" xfId="0" pivotButton="1"/>
    <xf numFmtId="0" fontId="0" fillId="0" borderId="0" xfId="0" applyAlignment="1">
      <alignment horizontal="left"/>
    </xf>
    <xf numFmtId="0" fontId="0" fillId="6" borderId="0" xfId="0" applyFill="1" applyAlignment="1">
      <alignment horizontal="left"/>
    </xf>
    <xf numFmtId="0" fontId="0" fillId="6" borderId="0" xfId="0" applyFill="1"/>
    <xf numFmtId="0" fontId="0" fillId="6" borderId="0" xfId="0" applyFill="1" applyAlignment="1">
      <alignment horizontal="center"/>
    </xf>
    <xf numFmtId="14" fontId="0" fillId="0" borderId="0" xfId="0" applyNumberFormat="1"/>
    <xf numFmtId="14" fontId="1" fillId="0" borderId="0" xfId="1" applyNumberFormat="1"/>
    <xf numFmtId="0" fontId="0" fillId="0" borderId="0" xfId="0" applyAlignment="1">
      <alignment horizontal="left" indent="1"/>
    </xf>
    <xf numFmtId="14" fontId="0" fillId="0" borderId="3" xfId="0" applyNumberFormat="1" applyBorder="1"/>
    <xf numFmtId="0" fontId="0" fillId="0" borderId="3" xfId="0" applyBorder="1"/>
    <xf numFmtId="0" fontId="5" fillId="3" borderId="6" xfId="0" applyFont="1" applyFill="1" applyBorder="1" applyAlignment="1">
      <alignment horizontal="center" vertical="center"/>
    </xf>
    <xf numFmtId="0" fontId="6" fillId="3" borderId="6" xfId="0" applyFont="1" applyFill="1" applyBorder="1" applyAlignment="1">
      <alignment horizontal="center" vertical="center"/>
    </xf>
    <xf numFmtId="0" fontId="5" fillId="4" borderId="6" xfId="0" applyFont="1" applyFill="1" applyBorder="1" applyAlignment="1">
      <alignment horizontal="center" vertical="center"/>
    </xf>
    <xf numFmtId="0" fontId="5" fillId="5" borderId="6" xfId="0" applyFont="1" applyFill="1" applyBorder="1" applyAlignment="1">
      <alignment horizontal="center" vertical="center"/>
    </xf>
    <xf numFmtId="0" fontId="11" fillId="13" borderId="0" xfId="0" applyFont="1" applyFill="1" applyAlignment="1">
      <alignment horizontal="center" vertical="center"/>
    </xf>
    <xf numFmtId="0" fontId="12" fillId="11" borderId="0" xfId="0" applyFont="1" applyFill="1" applyAlignment="1">
      <alignment horizontal="center" vertical="center"/>
    </xf>
    <xf numFmtId="0" fontId="11" fillId="12" borderId="0" xfId="0" applyFont="1" applyFill="1" applyAlignment="1">
      <alignment horizontal="center" vertical="center"/>
    </xf>
    <xf numFmtId="0" fontId="10" fillId="12" borderId="0" xfId="0" applyFont="1" applyFill="1" applyAlignment="1">
      <alignment horizontal="center" vertical="center"/>
    </xf>
    <xf numFmtId="0" fontId="11" fillId="10"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0" fillId="15" borderId="0" xfId="0" applyFont="1" applyFill="1" applyAlignment="1">
      <alignment horizontal="center" vertical="center"/>
    </xf>
    <xf numFmtId="0" fontId="13" fillId="15" borderId="0" xfId="0" applyFont="1" applyFill="1" applyAlignment="1">
      <alignment horizontal="center" vertical="center"/>
    </xf>
    <xf numFmtId="0" fontId="14" fillId="15" borderId="0" xfId="0" applyFont="1" applyFill="1" applyAlignment="1">
      <alignment horizontal="center" vertical="center"/>
    </xf>
    <xf numFmtId="0" fontId="16" fillId="0" borderId="0" xfId="0" applyFont="1" applyAlignment="1">
      <alignment horizontal="center" vertical="center"/>
    </xf>
    <xf numFmtId="0" fontId="14" fillId="15" borderId="0" xfId="0" applyFont="1" applyFill="1" applyAlignment="1">
      <alignment horizontal="center" vertical="center" wrapText="1"/>
    </xf>
    <xf numFmtId="0" fontId="0" fillId="0" borderId="0" xfId="0" applyNumberFormat="1"/>
  </cellXfs>
  <cellStyles count="3">
    <cellStyle name="Explanatory Text 2" xfId="1" xr:uid="{DAE081C9-1FE0-4E97-9882-A996A58D7761}"/>
    <cellStyle name="Normal" xfId="0" builtinId="0"/>
    <cellStyle name="Normal 2" xfId="2" xr:uid="{AFDFC0A9-709A-4575-BC97-7041ECE0C9A6}"/>
  </cellStyles>
  <dxfs count="41">
    <dxf>
      <font>
        <b/>
        <i val="0"/>
        <strike val="0"/>
        <condense val="0"/>
        <extend val="0"/>
        <outline val="0"/>
        <shadow val="0"/>
        <u val="none"/>
        <vertAlign val="baseline"/>
        <sz val="12"/>
        <color rgb="FF000000"/>
        <name val="Calibri"/>
        <scheme val="none"/>
      </font>
      <numFmt numFmtId="2" formatCode="0.00"/>
      <fill>
        <patternFill patternType="solid">
          <fgColor rgb="FF93CDDD"/>
          <bgColor rgb="FFFFFF00"/>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0000"/>
        <name val="Calibri"/>
        <scheme val="none"/>
      </font>
      <numFmt numFmtId="2" formatCode="0.00"/>
      <fill>
        <patternFill patternType="solid">
          <fgColor rgb="FFFFFF00"/>
          <bgColor rgb="FFFFFF66"/>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000000"/>
        <name val="Calibri"/>
        <scheme val="none"/>
      </font>
      <fill>
        <patternFill patternType="solid">
          <fgColor rgb="FF93CDDD"/>
          <bgColor rgb="FF92D050"/>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rgb="FF000000"/>
        <name val="Calibri"/>
        <scheme val="none"/>
      </font>
      <fill>
        <patternFill patternType="solid">
          <fgColor rgb="FFFFFF00"/>
          <bgColor rgb="FFFFFF66"/>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0"/>
        <name val="Calibri"/>
        <family val="2"/>
        <scheme val="none"/>
      </font>
      <numFmt numFmtId="19" formatCode="dd/mm/yyyy"/>
      <fill>
        <patternFill patternType="solid">
          <fgColor rgb="FF93CDDD"/>
          <bgColor theme="5"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505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2.xml"/><Relationship Id="rId34" Type="http://schemas.microsoft.com/office/2017/10/relationships/person" Target="persons/person4.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haredStrings" Target="sharedStrings.xml"/><Relationship Id="rId33" Type="http://schemas.microsoft.com/office/2017/10/relationships/person" Target="persons/person3.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microsoft.com/office/2017/10/relationships/person" Target="persons/person2.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3.xml"/><Relationship Id="rId27" Type="http://schemas.openxmlformats.org/officeDocument/2006/relationships/calcChain" Target="calcChain.xml"/><Relationship Id="rId30" Type="http://schemas.microsoft.com/office/2017/10/relationships/person" Target="persons/person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[PORTFOLIO PROJECT 1.xlsx]WHOLE 3 YEAR VIEW!PivotTable1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3</a:t>
            </a:r>
            <a:r>
              <a:rPr lang="en-US" baseline="0"/>
              <a:t> YEAR EXPENSES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43503502459544E-2"/>
          <c:y val="0.20618641900531665"/>
          <c:w val="0.83202502998383476"/>
          <c:h val="0.36480086143078266"/>
        </c:manualLayout>
      </c:layout>
      <c:barChart>
        <c:barDir val="col"/>
        <c:grouping val="clustered"/>
        <c:varyColors val="0"/>
        <c:ser>
          <c:idx val="0"/>
          <c:order val="0"/>
          <c:tx>
            <c:strRef>
              <c:f>'WHOLE 3 YEAR VIEW'!$B$3</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'WHOLE 3 YEAR VIEW'!$A$4:$A$42</c:f>
              <c:strCache>
                <c:ptCount val="38"/>
                <c:pt idx="0">
                  <c:v>SUSH EXPS</c:v>
                </c:pt>
                <c:pt idx="1">
                  <c:v>HO RENT</c:v>
                </c:pt>
                <c:pt idx="2">
                  <c:v>MISC EXPS</c:v>
                </c:pt>
                <c:pt idx="3">
                  <c:v>JAYA DOC/SIP</c:v>
                </c:pt>
                <c:pt idx="4">
                  <c:v>RAVI EXPS</c:v>
                </c:pt>
                <c:pt idx="5">
                  <c:v>MUM AYYA</c:v>
                </c:pt>
                <c:pt idx="6">
                  <c:v>GOLDCHIT</c:v>
                </c:pt>
                <c:pt idx="7">
                  <c:v>JAYA EXPS</c:v>
                </c:pt>
                <c:pt idx="8">
                  <c:v>VEH EXPS</c:v>
                </c:pt>
                <c:pt idx="9">
                  <c:v>HOTEL/SNACKS</c:v>
                </c:pt>
                <c:pt idx="10">
                  <c:v>HO POOJA</c:v>
                </c:pt>
                <c:pt idx="11">
                  <c:v>AYYA A/C</c:v>
                </c:pt>
                <c:pt idx="12">
                  <c:v>BUS/AUTO</c:v>
                </c:pt>
                <c:pt idx="13">
                  <c:v>SUSH SIP/DOC</c:v>
                </c:pt>
                <c:pt idx="14">
                  <c:v>DAL/SPICES</c:v>
                </c:pt>
                <c:pt idx="15">
                  <c:v>AIRTEL/JIO</c:v>
                </c:pt>
                <c:pt idx="16">
                  <c:v>FISH/CHI</c:v>
                </c:pt>
                <c:pt idx="17">
                  <c:v>MEDICINE</c:v>
                </c:pt>
                <c:pt idx="18">
                  <c:v>MILK/CURD</c:v>
                </c:pt>
                <c:pt idx="19">
                  <c:v>VEGETABLE</c:v>
                </c:pt>
                <c:pt idx="20">
                  <c:v>FRUITS</c:v>
                </c:pt>
                <c:pt idx="21">
                  <c:v>KITCHEN APP</c:v>
                </c:pt>
                <c:pt idx="22">
                  <c:v>EB BILL</c:v>
                </c:pt>
                <c:pt idx="23">
                  <c:v>GAS</c:v>
                </c:pt>
                <c:pt idx="24">
                  <c:v>SOAP/TOILETRIES</c:v>
                </c:pt>
                <c:pt idx="25">
                  <c:v>Aquarium</c:v>
                </c:pt>
                <c:pt idx="26">
                  <c:v>RICE</c:v>
                </c:pt>
                <c:pt idx="27">
                  <c:v>G.OIL</c:v>
                </c:pt>
                <c:pt idx="28">
                  <c:v>PLANTS</c:v>
                </c:pt>
                <c:pt idx="29">
                  <c:v>PHONE REC</c:v>
                </c:pt>
                <c:pt idx="30">
                  <c:v>BUT/GHEE</c:v>
                </c:pt>
                <c:pt idx="31">
                  <c:v>D WATER</c:v>
                </c:pt>
                <c:pt idx="32">
                  <c:v>PETROL EXPS</c:v>
                </c:pt>
                <c:pt idx="33">
                  <c:v>TEA/COF POW</c:v>
                </c:pt>
                <c:pt idx="34">
                  <c:v>DONATION</c:v>
                </c:pt>
                <c:pt idx="35">
                  <c:v>ATTA</c:v>
                </c:pt>
                <c:pt idx="36">
                  <c:v>TUVAR DAL</c:v>
                </c:pt>
                <c:pt idx="37">
                  <c:v>SUGAR</c:v>
                </c:pt>
              </c:strCache>
            </c:strRef>
          </c:cat>
          <c:val>
            <c:numRef>
              <c:f>'WHOLE 3 YEAR VIEW'!$B$4:$B$42</c:f>
              <c:numCache>
                <c:formatCode>General</c:formatCode>
                <c:ptCount val="38"/>
                <c:pt idx="0">
                  <c:v>346860.91000000003</c:v>
                </c:pt>
                <c:pt idx="1">
                  <c:v>323000</c:v>
                </c:pt>
                <c:pt idx="2">
                  <c:v>173033.23</c:v>
                </c:pt>
                <c:pt idx="3">
                  <c:v>151870</c:v>
                </c:pt>
                <c:pt idx="4">
                  <c:v>147548</c:v>
                </c:pt>
                <c:pt idx="5">
                  <c:v>142100</c:v>
                </c:pt>
                <c:pt idx="6">
                  <c:v>135480</c:v>
                </c:pt>
                <c:pt idx="7">
                  <c:v>121496.61</c:v>
                </c:pt>
                <c:pt idx="8">
                  <c:v>102306</c:v>
                </c:pt>
                <c:pt idx="9">
                  <c:v>101019.66999999998</c:v>
                </c:pt>
                <c:pt idx="10">
                  <c:v>85168.01999999999</c:v>
                </c:pt>
                <c:pt idx="11">
                  <c:v>84227.13</c:v>
                </c:pt>
                <c:pt idx="12">
                  <c:v>59441.210000000006</c:v>
                </c:pt>
                <c:pt idx="13">
                  <c:v>51900</c:v>
                </c:pt>
                <c:pt idx="14">
                  <c:v>47402</c:v>
                </c:pt>
                <c:pt idx="15">
                  <c:v>44285.859999999993</c:v>
                </c:pt>
                <c:pt idx="16">
                  <c:v>40897</c:v>
                </c:pt>
                <c:pt idx="17">
                  <c:v>35593</c:v>
                </c:pt>
                <c:pt idx="18">
                  <c:v>33107</c:v>
                </c:pt>
                <c:pt idx="19">
                  <c:v>32543</c:v>
                </c:pt>
                <c:pt idx="20">
                  <c:v>30883</c:v>
                </c:pt>
                <c:pt idx="21">
                  <c:v>29489.64</c:v>
                </c:pt>
                <c:pt idx="22">
                  <c:v>29204</c:v>
                </c:pt>
                <c:pt idx="23">
                  <c:v>25250</c:v>
                </c:pt>
                <c:pt idx="24">
                  <c:v>24528</c:v>
                </c:pt>
                <c:pt idx="25">
                  <c:v>21764</c:v>
                </c:pt>
                <c:pt idx="26">
                  <c:v>19922</c:v>
                </c:pt>
                <c:pt idx="27">
                  <c:v>19764</c:v>
                </c:pt>
                <c:pt idx="28">
                  <c:v>17238</c:v>
                </c:pt>
                <c:pt idx="29">
                  <c:v>14704</c:v>
                </c:pt>
                <c:pt idx="30">
                  <c:v>13372</c:v>
                </c:pt>
                <c:pt idx="31">
                  <c:v>11010</c:v>
                </c:pt>
                <c:pt idx="32">
                  <c:v>7605.09</c:v>
                </c:pt>
                <c:pt idx="33">
                  <c:v>6929</c:v>
                </c:pt>
                <c:pt idx="34">
                  <c:v>6926.02</c:v>
                </c:pt>
                <c:pt idx="35">
                  <c:v>5989</c:v>
                </c:pt>
                <c:pt idx="36">
                  <c:v>5791</c:v>
                </c:pt>
                <c:pt idx="37">
                  <c:v>4477</c:v>
                </c:pt>
              </c:numCache>
            </c:numRef>
          </c:val>
          <c:extLst>
            <c:ext xmlns:c16="http://schemas.microsoft.com/office/drawing/2014/chart" uri="{C3380CC4-5D6E-409C-BE32-E72D297353CC}">
              <c16:uniqueId val="{00000002-BE48-4AC4-9DAD-6898ADEBAA1A}"/>
            </c:ext>
          </c:extLst>
        </c:ser>
        <c:dLbls>
          <c:dLblPos val="outEnd"/>
          <c:showLegendKey val="0"/>
          <c:showVal val="1"/>
          <c:showCatName val="0"/>
          <c:showSerName val="0"/>
          <c:showPercent val="0"/>
          <c:showBubbleSize val="0"/>
        </c:dLbls>
        <c:gapWidth val="444"/>
        <c:overlap val="-90"/>
        <c:axId val="475761576"/>
        <c:axId val="475763216"/>
      </c:barChart>
      <c:catAx>
        <c:axId val="4757615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ITEMS</a:t>
                </a:r>
              </a:p>
            </c:rich>
          </c:tx>
          <c:layout>
            <c:manualLayout>
              <c:xMode val="edge"/>
              <c:yMode val="edge"/>
              <c:x val="0.4609381376996749"/>
              <c:y val="0.8640527626354398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bg1"/>
          </a:solid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75763216"/>
        <c:crosses val="autoZero"/>
        <c:auto val="1"/>
        <c:lblAlgn val="ctr"/>
        <c:lblOffset val="100"/>
        <c:noMultiLvlLbl val="0"/>
      </c:catAx>
      <c:valAx>
        <c:axId val="475763216"/>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761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[PORTFOLIO PROJECT 1.xlsx]YEAR 1 VIEW!PivotTable2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YEAR</a:t>
            </a:r>
            <a:r>
              <a:rPr lang="en-US" baseline="0"/>
              <a:t> 1 </a:t>
            </a:r>
            <a:r>
              <a:rPr lang="en-US"/>
              <a:t>EXPENSES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'YEAR 1 VIEW'!$B$4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 1 VIEW'!$A$5:$A$16</c:f>
              <c:strCache>
                <c:ptCount val="12"/>
                <c:pt idx="0">
                  <c:v>Sum of  JAN 20</c:v>
                </c:pt>
                <c:pt idx="1">
                  <c:v>Sum of  FEB 20</c:v>
                </c:pt>
                <c:pt idx="2">
                  <c:v>Sum of  MAR 20</c:v>
                </c:pt>
                <c:pt idx="3">
                  <c:v>Sum of  APRIL 20</c:v>
                </c:pt>
                <c:pt idx="4">
                  <c:v>Sum of  MAY 20</c:v>
                </c:pt>
                <c:pt idx="5">
                  <c:v>Sum of  JUNE 20</c:v>
                </c:pt>
                <c:pt idx="6">
                  <c:v>Sum of  JULY 20</c:v>
                </c:pt>
                <c:pt idx="7">
                  <c:v>Sum of  AUG 20</c:v>
                </c:pt>
                <c:pt idx="8">
                  <c:v>Sum of  SEPT 20</c:v>
                </c:pt>
                <c:pt idx="9">
                  <c:v>Sum of  OCT 20</c:v>
                </c:pt>
                <c:pt idx="10">
                  <c:v>Sum of  DEC 20</c:v>
                </c:pt>
                <c:pt idx="11">
                  <c:v>Sum of  NOV 20</c:v>
                </c:pt>
              </c:strCache>
            </c:strRef>
          </c:cat>
          <c:val>
            <c:numRef>
              <c:f>'YEAR 1 VIEW'!$B$5:$B$16</c:f>
              <c:numCache>
                <c:formatCode>General</c:formatCode>
                <c:ptCount val="12"/>
                <c:pt idx="0">
                  <c:v>37330.82</c:v>
                </c:pt>
                <c:pt idx="1">
                  <c:v>37956.82</c:v>
                </c:pt>
                <c:pt idx="2">
                  <c:v>34048.17</c:v>
                </c:pt>
                <c:pt idx="3">
                  <c:v>25995.82</c:v>
                </c:pt>
                <c:pt idx="4">
                  <c:v>28162</c:v>
                </c:pt>
                <c:pt idx="5">
                  <c:v>35813.82</c:v>
                </c:pt>
                <c:pt idx="6">
                  <c:v>27682.82</c:v>
                </c:pt>
                <c:pt idx="7">
                  <c:v>77564.040000000008</c:v>
                </c:pt>
                <c:pt idx="8">
                  <c:v>33706.619999999995</c:v>
                </c:pt>
                <c:pt idx="9">
                  <c:v>51809.760000000002</c:v>
                </c:pt>
                <c:pt idx="10">
                  <c:v>35051.339999999997</c:v>
                </c:pt>
                <c:pt idx="11">
                  <c:v>53161.56</c:v>
                </c:pt>
              </c:numCache>
            </c:numRef>
          </c:val>
          <c:extLst>
            <c:ext xmlns:c16="http://schemas.microsoft.com/office/drawing/2014/chart" uri="{C3380CC4-5D6E-409C-BE32-E72D297353CC}">
              <c16:uniqueId val="{00000000-E12F-42DD-92B5-211E4949EC31}"/>
            </c:ext>
          </c:extLst>
        </c:ser>
        <c:dLbls>
          <c:showLegendKey val="0"/>
          <c:showVal val="0"/>
          <c:showCatName val="0"/>
          <c:showSerName val="0"/>
          <c:showPercent val="0"/>
          <c:showBubbleSize val="0"/>
        </c:dLbls>
        <c:gapWidth val="115"/>
        <c:overlap val="-20"/>
        <c:axId val="527982240"/>
        <c:axId val="527980600"/>
      </c:barChart>
      <c:catAx>
        <c:axId val="5279822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7980600"/>
        <c:crosses val="autoZero"/>
        <c:auto val="1"/>
        <c:lblAlgn val="ctr"/>
        <c:lblOffset val="100"/>
        <c:noMultiLvlLbl val="0"/>
      </c:catAx>
      <c:valAx>
        <c:axId val="5279806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798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1.xlsx]YEAR 2 VIEW!PivotTable4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 2 EXPENSES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'YEAR 2 VIEW'!$B$3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'YEAR 2 VIEW'!$A$4:$A$15</c:f>
              <c:strCache>
                <c:ptCount val="12"/>
                <c:pt idx="0">
                  <c:v>Sum of  JAN 21</c:v>
                </c:pt>
                <c:pt idx="1">
                  <c:v>Sum of  FEB 21</c:v>
                </c:pt>
                <c:pt idx="2">
                  <c:v>Sum of  MAR 21</c:v>
                </c:pt>
                <c:pt idx="3">
                  <c:v>Sum of  APRIL 21</c:v>
                </c:pt>
                <c:pt idx="4">
                  <c:v>Sum of  MAY 21</c:v>
                </c:pt>
                <c:pt idx="5">
                  <c:v>Sum of  JUNE 21</c:v>
                </c:pt>
                <c:pt idx="6">
                  <c:v>Sum of  JULY 21</c:v>
                </c:pt>
                <c:pt idx="7">
                  <c:v>Sum of  AUG 21</c:v>
                </c:pt>
                <c:pt idx="8">
                  <c:v>Sum of  SEPT 21</c:v>
                </c:pt>
                <c:pt idx="9">
                  <c:v>Sum of  OCT 21</c:v>
                </c:pt>
                <c:pt idx="10">
                  <c:v>Sum of  NOV 21</c:v>
                </c:pt>
                <c:pt idx="11">
                  <c:v>Sum of  DEC 21</c:v>
                </c:pt>
              </c:strCache>
            </c:strRef>
          </c:cat>
          <c:val>
            <c:numRef>
              <c:f>'YEAR 2 VIEW'!$B$4:$B$15</c:f>
              <c:numCache>
                <c:formatCode>General</c:formatCode>
                <c:ptCount val="12"/>
                <c:pt idx="0">
                  <c:v>161367.36000000002</c:v>
                </c:pt>
                <c:pt idx="1">
                  <c:v>103525.22</c:v>
                </c:pt>
                <c:pt idx="2">
                  <c:v>73522.67</c:v>
                </c:pt>
                <c:pt idx="3">
                  <c:v>48819.82</c:v>
                </c:pt>
                <c:pt idx="4">
                  <c:v>64608.82</c:v>
                </c:pt>
                <c:pt idx="5">
                  <c:v>94943.99</c:v>
                </c:pt>
                <c:pt idx="6">
                  <c:v>69363.820000000007</c:v>
                </c:pt>
                <c:pt idx="7">
                  <c:v>79252.39</c:v>
                </c:pt>
                <c:pt idx="8">
                  <c:v>71191.520000000004</c:v>
                </c:pt>
                <c:pt idx="9">
                  <c:v>102890.02</c:v>
                </c:pt>
                <c:pt idx="10">
                  <c:v>64116.659999999996</c:v>
                </c:pt>
                <c:pt idx="11">
                  <c:v>50789.47</c:v>
                </c:pt>
              </c:numCache>
            </c:numRef>
          </c:val>
          <c:extLst>
            <c:ext xmlns:c16="http://schemas.microsoft.com/office/drawing/2014/chart" uri="{C3380CC4-5D6E-409C-BE32-E72D297353CC}">
              <c16:uniqueId val="{00000000-6A56-41D9-9312-63E475898702}"/>
            </c:ext>
          </c:extLst>
        </c:ser>
        <c:dLbls>
          <c:showLegendKey val="0"/>
          <c:showVal val="0"/>
          <c:showCatName val="0"/>
          <c:showSerName val="0"/>
          <c:showPercent val="0"/>
          <c:showBubbleSize val="0"/>
        </c:dLbls>
        <c:gapWidth val="150"/>
        <c:shape val="box"/>
        <c:axId val="291048864"/>
        <c:axId val="291049192"/>
        <c:axId val="0"/>
      </c:bar3DChart>
      <c:catAx>
        <c:axId val="291048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1049192"/>
        <c:crosses val="autoZero"/>
        <c:auto val="1"/>
        <c:lblAlgn val="ctr"/>
        <c:lblOffset val="100"/>
        <c:noMultiLvlLbl val="0"/>
      </c:catAx>
      <c:valAx>
        <c:axId val="29104919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104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[PORTFOLIO PROJECT 1.xlsx]YEAR 3 VIEW!PivotTable5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a:t>
            </a:r>
            <a:r>
              <a:rPr lang="en-US" baseline="0"/>
              <a:t> 3 EXPENSES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'YEAR 3 VIEW'!$B$3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'YEAR 3 VIEW'!$A$4:$A$13</c:f>
              <c:strCache>
                <c:ptCount val="10"/>
                <c:pt idx="0">
                  <c:v>Sum of  JAN 22</c:v>
                </c:pt>
                <c:pt idx="1">
                  <c:v>Sum of  FEB 22</c:v>
                </c:pt>
                <c:pt idx="2">
                  <c:v>Sum of  MAR 22</c:v>
                </c:pt>
                <c:pt idx="3">
                  <c:v>Sum of  APR 22</c:v>
                </c:pt>
                <c:pt idx="4">
                  <c:v>Sum of  MAY 22</c:v>
                </c:pt>
                <c:pt idx="5">
                  <c:v>Sum of  JUNE 22</c:v>
                </c:pt>
                <c:pt idx="6">
                  <c:v>Sum of  JULY 22</c:v>
                </c:pt>
                <c:pt idx="7">
                  <c:v>Sum of  AUG 22</c:v>
                </c:pt>
                <c:pt idx="8">
                  <c:v>Sum of  SEPT 22</c:v>
                </c:pt>
                <c:pt idx="9">
                  <c:v>Sum of  OCT 22</c:v>
                </c:pt>
              </c:strCache>
            </c:strRef>
          </c:cat>
          <c:val>
            <c:numRef>
              <c:f>'YEAR 3 VIEW'!$B$4:$B$13</c:f>
              <c:numCache>
                <c:formatCode>General</c:formatCode>
                <c:ptCount val="10"/>
                <c:pt idx="0">
                  <c:v>67027.11</c:v>
                </c:pt>
                <c:pt idx="1">
                  <c:v>115392.82</c:v>
                </c:pt>
                <c:pt idx="2">
                  <c:v>81899.12</c:v>
                </c:pt>
                <c:pt idx="3">
                  <c:v>71790.17</c:v>
                </c:pt>
                <c:pt idx="4">
                  <c:v>135050.23999999999</c:v>
                </c:pt>
                <c:pt idx="5">
                  <c:v>246557.17</c:v>
                </c:pt>
                <c:pt idx="6">
                  <c:v>107832.97</c:v>
                </c:pt>
                <c:pt idx="7">
                  <c:v>66813.600000000006</c:v>
                </c:pt>
                <c:pt idx="8">
                  <c:v>111727.02</c:v>
                </c:pt>
                <c:pt idx="9">
                  <c:v>87358.82</c:v>
                </c:pt>
              </c:numCache>
            </c:numRef>
          </c:val>
          <c:extLst>
            <c:ext xmlns:c16="http://schemas.microsoft.com/office/drawing/2014/chart" uri="{C3380CC4-5D6E-409C-BE32-E72D297353CC}">
              <c16:uniqueId val="{00000000-8733-4CEC-8DC0-1102080244FD}"/>
            </c:ext>
          </c:extLst>
        </c:ser>
        <c:dLbls>
          <c:showLegendKey val="0"/>
          <c:showVal val="0"/>
          <c:showCatName val="0"/>
          <c:showSerName val="0"/>
          <c:showPercent val="0"/>
          <c:showBubbleSize val="0"/>
        </c:dLbls>
        <c:gapWidth val="150"/>
        <c:shape val="box"/>
        <c:axId val="473801208"/>
        <c:axId val="473800552"/>
        <c:axId val="0"/>
      </c:bar3DChart>
      <c:catAx>
        <c:axId val="473801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800552"/>
        <c:crosses val="autoZero"/>
        <c:auto val="1"/>
        <c:lblAlgn val="ctr"/>
        <c:lblOffset val="100"/>
        <c:noMultiLvlLbl val="0"/>
      </c:catAx>
      <c:valAx>
        <c:axId val="47380055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801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1.xlsx]pivots!PivotTable2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INCOME</a:t>
            </a:r>
            <a:r>
              <a:rPr lang="en-IN" baseline="0"/>
              <a:t> PER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c:f>
              <c:strCache>
                <c:ptCount val="1"/>
                <c:pt idx="0">
                  <c:v>Total</c:v>
                </c:pt>
              </c:strCache>
            </c:strRef>
          </c:tx>
          <c:spPr>
            <a:solidFill>
              <a:schemeClr val="accent1"/>
            </a:solidFill>
            <a:ln>
              <a:noFill/>
            </a:ln>
            <a:effectLst/>
          </c:spPr>
          <c:invertIfNegative val="0"/>
          <c:cat>
            <c:strRef>
              <c:f>pivots!$A$3:$A$15</c:f>
              <c:strCache>
                <c:ptCount val="12"/>
                <c:pt idx="0">
                  <c:v> OCT 20</c:v>
                </c:pt>
                <c:pt idx="1">
                  <c:v> AUG 20</c:v>
                </c:pt>
                <c:pt idx="2">
                  <c:v> MAR 20</c:v>
                </c:pt>
                <c:pt idx="3">
                  <c:v> JAN 20</c:v>
                </c:pt>
                <c:pt idx="4">
                  <c:v> NOV 20</c:v>
                </c:pt>
                <c:pt idx="5">
                  <c:v> DEC 20</c:v>
                </c:pt>
                <c:pt idx="6">
                  <c:v> FEB 20</c:v>
                </c:pt>
                <c:pt idx="7">
                  <c:v> SEPT 20</c:v>
                </c:pt>
                <c:pt idx="8">
                  <c:v> JULY 20</c:v>
                </c:pt>
                <c:pt idx="9">
                  <c:v> JUNE 20</c:v>
                </c:pt>
                <c:pt idx="10">
                  <c:v> MAY 20</c:v>
                </c:pt>
                <c:pt idx="11">
                  <c:v> APRIL 20</c:v>
                </c:pt>
              </c:strCache>
            </c:strRef>
          </c:cat>
          <c:val>
            <c:numRef>
              <c:f>pivots!$B$3:$B$15</c:f>
              <c:numCache>
                <c:formatCode>General</c:formatCode>
                <c:ptCount val="12"/>
                <c:pt idx="0">
                  <c:v>152703.84</c:v>
                </c:pt>
                <c:pt idx="1">
                  <c:v>83091.839999999997</c:v>
                </c:pt>
                <c:pt idx="2">
                  <c:v>74321.820000000007</c:v>
                </c:pt>
                <c:pt idx="3">
                  <c:v>52622.27</c:v>
                </c:pt>
                <c:pt idx="4">
                  <c:v>50071.4</c:v>
                </c:pt>
                <c:pt idx="5">
                  <c:v>50000</c:v>
                </c:pt>
                <c:pt idx="6">
                  <c:v>46780.61</c:v>
                </c:pt>
                <c:pt idx="7">
                  <c:v>38407.01</c:v>
                </c:pt>
                <c:pt idx="8">
                  <c:v>38111.83</c:v>
                </c:pt>
                <c:pt idx="9">
                  <c:v>37750</c:v>
                </c:pt>
                <c:pt idx="10">
                  <c:v>37416.910000000003</c:v>
                </c:pt>
                <c:pt idx="11">
                  <c:v>1095</c:v>
                </c:pt>
              </c:numCache>
            </c:numRef>
          </c:val>
          <c:extLst>
            <c:ext xmlns:c16="http://schemas.microsoft.com/office/drawing/2014/chart" uri="{C3380CC4-5D6E-409C-BE32-E72D297353CC}">
              <c16:uniqueId val="{00000000-C5C4-4D0D-A847-4EDA88896A85}"/>
            </c:ext>
          </c:extLst>
        </c:ser>
        <c:dLbls>
          <c:showLegendKey val="0"/>
          <c:showVal val="0"/>
          <c:showCatName val="0"/>
          <c:showSerName val="0"/>
          <c:showPercent val="0"/>
          <c:showBubbleSize val="0"/>
        </c:dLbls>
        <c:gapWidth val="219"/>
        <c:overlap val="-27"/>
        <c:axId val="822822352"/>
        <c:axId val="822823008"/>
      </c:barChart>
      <c:catAx>
        <c:axId val="822822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823008"/>
        <c:crosses val="autoZero"/>
        <c:auto val="1"/>
        <c:lblAlgn val="ctr"/>
        <c:lblOffset val="100"/>
        <c:noMultiLvlLbl val="0"/>
      </c:catAx>
      <c:valAx>
        <c:axId val="822823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RANGE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82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1.xlsx]pivots!PivotTable5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income</a:t>
            </a:r>
            <a:r>
              <a:rPr lang="en-IN" baseline="0"/>
              <a:t> per month - 2021</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pivots!$A$20:$A$32</c:f>
              <c:strCache>
                <c:ptCount val="12"/>
                <c:pt idx="0">
                  <c:v> MAR 21</c:v>
                </c:pt>
                <c:pt idx="1">
                  <c:v> OCT 21</c:v>
                </c:pt>
                <c:pt idx="2">
                  <c:v> JAN 21</c:v>
                </c:pt>
                <c:pt idx="3">
                  <c:v> MAY 21</c:v>
                </c:pt>
                <c:pt idx="4">
                  <c:v> AUG 21</c:v>
                </c:pt>
                <c:pt idx="5">
                  <c:v> SEPT 21</c:v>
                </c:pt>
                <c:pt idx="6">
                  <c:v> JULY 21</c:v>
                </c:pt>
                <c:pt idx="7">
                  <c:v> FEB 21</c:v>
                </c:pt>
                <c:pt idx="8">
                  <c:v> JUNE 21</c:v>
                </c:pt>
                <c:pt idx="9">
                  <c:v> APRIL 21</c:v>
                </c:pt>
                <c:pt idx="10">
                  <c:v> DEC 21</c:v>
                </c:pt>
                <c:pt idx="11">
                  <c:v> NOV 21</c:v>
                </c:pt>
              </c:strCache>
            </c:strRef>
          </c:cat>
          <c:val>
            <c:numRef>
              <c:f>pivots!$B$20:$B$32</c:f>
              <c:numCache>
                <c:formatCode>General</c:formatCode>
                <c:ptCount val="12"/>
                <c:pt idx="0">
                  <c:v>110329</c:v>
                </c:pt>
                <c:pt idx="1">
                  <c:v>105000</c:v>
                </c:pt>
                <c:pt idx="2">
                  <c:v>100000</c:v>
                </c:pt>
                <c:pt idx="3">
                  <c:v>80320</c:v>
                </c:pt>
                <c:pt idx="4">
                  <c:v>80172</c:v>
                </c:pt>
                <c:pt idx="5">
                  <c:v>75000</c:v>
                </c:pt>
                <c:pt idx="6">
                  <c:v>65890</c:v>
                </c:pt>
                <c:pt idx="7">
                  <c:v>60198</c:v>
                </c:pt>
                <c:pt idx="8">
                  <c:v>60025</c:v>
                </c:pt>
                <c:pt idx="9">
                  <c:v>60000</c:v>
                </c:pt>
                <c:pt idx="10">
                  <c:v>60000</c:v>
                </c:pt>
                <c:pt idx="11">
                  <c:v>60000</c:v>
                </c:pt>
              </c:numCache>
            </c:numRef>
          </c:val>
          <c:smooth val="0"/>
          <c:extLst>
            <c:ext xmlns:c16="http://schemas.microsoft.com/office/drawing/2014/chart" uri="{C3380CC4-5D6E-409C-BE32-E72D297353CC}">
              <c16:uniqueId val="{00000000-635F-4E76-A954-E467254137EA}"/>
            </c:ext>
          </c:extLst>
        </c:ser>
        <c:dLbls>
          <c:showLegendKey val="0"/>
          <c:showVal val="0"/>
          <c:showCatName val="0"/>
          <c:showSerName val="0"/>
          <c:showPercent val="0"/>
          <c:showBubbleSize val="0"/>
        </c:dLbls>
        <c:marker val="1"/>
        <c:smooth val="0"/>
        <c:axId val="942102024"/>
        <c:axId val="942102352"/>
      </c:lineChart>
      <c:catAx>
        <c:axId val="942102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102352"/>
        <c:crosses val="autoZero"/>
        <c:auto val="1"/>
        <c:lblAlgn val="ctr"/>
        <c:lblOffset val="100"/>
        <c:noMultiLvlLbl val="0"/>
      </c:catAx>
      <c:valAx>
        <c:axId val="94210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range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102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1.xlsx]pivots!PivotTable6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INCOME</a:t>
            </a:r>
            <a:r>
              <a:rPr lang="en-IN" baseline="0"/>
              <a:t> PER MONTH-2022</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pivots!$B$35</c:f>
              <c:strCache>
                <c:ptCount val="1"/>
                <c:pt idx="0">
                  <c:v>Total</c:v>
                </c:pt>
              </c:strCache>
            </c:strRef>
          </c:tx>
          <c:spPr>
            <a:ln w="28575" cap="rnd">
              <a:solidFill>
                <a:schemeClr val="accent1"/>
              </a:solidFill>
              <a:round/>
            </a:ln>
            <a:effectLst/>
          </c:spPr>
          <c:marker>
            <c:symbol val="none"/>
          </c:marker>
          <c:cat>
            <c:strRef>
              <c:f>pivots!$A$36:$A$46</c:f>
              <c:strCache>
                <c:ptCount val="10"/>
                <c:pt idx="0">
                  <c:v> JUNE 22</c:v>
                </c:pt>
                <c:pt idx="1">
                  <c:v> MAY 22</c:v>
                </c:pt>
                <c:pt idx="2">
                  <c:v> SEPT 22</c:v>
                </c:pt>
                <c:pt idx="3">
                  <c:v> OCT 22</c:v>
                </c:pt>
                <c:pt idx="4">
                  <c:v> MAR 22</c:v>
                </c:pt>
                <c:pt idx="5">
                  <c:v> FEB 22</c:v>
                </c:pt>
                <c:pt idx="6">
                  <c:v> JULY 22</c:v>
                </c:pt>
                <c:pt idx="7">
                  <c:v> JAN 22</c:v>
                </c:pt>
                <c:pt idx="8">
                  <c:v> APR 22</c:v>
                </c:pt>
                <c:pt idx="9">
                  <c:v> AUG 22</c:v>
                </c:pt>
              </c:strCache>
            </c:strRef>
          </c:cat>
          <c:val>
            <c:numRef>
              <c:f>pivots!$B$36:$B$46</c:f>
              <c:numCache>
                <c:formatCode>General</c:formatCode>
                <c:ptCount val="10"/>
                <c:pt idx="0">
                  <c:v>210000</c:v>
                </c:pt>
                <c:pt idx="1">
                  <c:v>105000</c:v>
                </c:pt>
                <c:pt idx="2">
                  <c:v>90000</c:v>
                </c:pt>
                <c:pt idx="3">
                  <c:v>90000</c:v>
                </c:pt>
                <c:pt idx="4">
                  <c:v>85000</c:v>
                </c:pt>
                <c:pt idx="5">
                  <c:v>75000</c:v>
                </c:pt>
                <c:pt idx="6">
                  <c:v>70000</c:v>
                </c:pt>
                <c:pt idx="7">
                  <c:v>60000</c:v>
                </c:pt>
                <c:pt idx="8">
                  <c:v>60000</c:v>
                </c:pt>
                <c:pt idx="9">
                  <c:v>60000</c:v>
                </c:pt>
              </c:numCache>
            </c:numRef>
          </c:val>
          <c:smooth val="0"/>
          <c:extLst>
            <c:ext xmlns:c16="http://schemas.microsoft.com/office/drawing/2014/chart" uri="{C3380CC4-5D6E-409C-BE32-E72D297353CC}">
              <c16:uniqueId val="{00000000-C872-42C9-8CE0-8F70EB12A41E}"/>
            </c:ext>
          </c:extLst>
        </c:ser>
        <c:dLbls>
          <c:showLegendKey val="0"/>
          <c:showVal val="0"/>
          <c:showCatName val="0"/>
          <c:showSerName val="0"/>
          <c:showPercent val="0"/>
          <c:showBubbleSize val="0"/>
        </c:dLbls>
        <c:smooth val="0"/>
        <c:axId val="794508080"/>
        <c:axId val="794503816"/>
      </c:lineChart>
      <c:catAx>
        <c:axId val="794508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03816"/>
        <c:crosses val="autoZero"/>
        <c:auto val="1"/>
        <c:lblAlgn val="ctr"/>
        <c:lblOffset val="100"/>
        <c:noMultiLvlLbl val="0"/>
      </c:catAx>
      <c:valAx>
        <c:axId val="794503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RANGE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0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1.xlsx]pivots!PivotTable8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2021 - SPENT ON ITEMS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pivots!$B$51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pivots!$A$52:$A$165</c:f>
              <c:multiLvlStrCache>
                <c:ptCount val="38"/>
                <c:lvl>
                  <c:pt idx="0">
                    <c:v>Total</c:v>
                  </c:pt>
                  <c:pt idx="1">
                    <c:v>Total</c:v>
                  </c:pt>
                  <c:pt idx="2">
                    <c:v>Total</c:v>
                  </c:pt>
                  <c:pt idx="3">
                    <c:v>Total</c:v>
                  </c:pt>
                  <c:pt idx="4">
                    <c:v>Total</c:v>
                  </c:pt>
                  <c:pt idx="5">
                    <c:v>Total</c:v>
                  </c:pt>
                  <c:pt idx="6">
                    <c:v>Total</c:v>
                  </c:pt>
                  <c:pt idx="7">
                    <c:v>Total</c:v>
                  </c:pt>
                  <c:pt idx="8">
                    <c:v>Total</c:v>
                  </c:pt>
                  <c:pt idx="9">
                    <c:v>Total</c:v>
                  </c:pt>
                  <c:pt idx="10">
                    <c:v>Total</c:v>
                  </c:pt>
                  <c:pt idx="11">
                    <c:v>Total</c:v>
                  </c:pt>
                  <c:pt idx="12">
                    <c:v>Total</c:v>
                  </c:pt>
                  <c:pt idx="13">
                    <c:v>Total</c:v>
                  </c:pt>
                  <c:pt idx="14">
                    <c:v>Total</c:v>
                  </c:pt>
                  <c:pt idx="15">
                    <c:v>Total</c:v>
                  </c:pt>
                  <c:pt idx="16">
                    <c:v>Total</c:v>
                  </c:pt>
                  <c:pt idx="17">
                    <c:v>Total</c:v>
                  </c:pt>
                  <c:pt idx="18">
                    <c:v>Total</c:v>
                  </c:pt>
                  <c:pt idx="19">
                    <c:v>Total</c:v>
                  </c:pt>
                  <c:pt idx="20">
                    <c:v>Total</c:v>
                  </c:pt>
                  <c:pt idx="21">
                    <c:v>Total</c:v>
                  </c:pt>
                  <c:pt idx="22">
                    <c:v>Total</c:v>
                  </c:pt>
                  <c:pt idx="23">
                    <c:v>Total</c:v>
                  </c:pt>
                  <c:pt idx="24">
                    <c:v>Total</c:v>
                  </c:pt>
                  <c:pt idx="25">
                    <c:v>Total</c:v>
                  </c:pt>
                  <c:pt idx="26">
                    <c:v>Total</c:v>
                  </c:pt>
                  <c:pt idx="27">
                    <c:v>Total</c:v>
                  </c:pt>
                  <c:pt idx="28">
                    <c:v>Total</c:v>
                  </c:pt>
                  <c:pt idx="29">
                    <c:v>Total</c:v>
                  </c:pt>
                  <c:pt idx="30">
                    <c:v>Total</c:v>
                  </c:pt>
                  <c:pt idx="31">
                    <c:v>Total</c:v>
                  </c:pt>
                  <c:pt idx="32">
                    <c:v>Total</c:v>
                  </c:pt>
                  <c:pt idx="33">
                    <c:v>Total</c:v>
                  </c:pt>
                  <c:pt idx="34">
                    <c:v>Total</c:v>
                  </c:pt>
                  <c:pt idx="35">
                    <c:v>Total</c:v>
                  </c:pt>
                  <c:pt idx="36">
                    <c:v>Total</c:v>
                  </c:pt>
                  <c:pt idx="37">
                    <c:v>Total</c:v>
                  </c:pt>
                </c:lvl>
                <c:lvl>
                  <c:pt idx="0">
                    <c:v>Sum of RICE</c:v>
                  </c:pt>
                  <c:pt idx="1">
                    <c:v>Sum of ATTA</c:v>
                  </c:pt>
                  <c:pt idx="2">
                    <c:v>Sum of SUGAR</c:v>
                  </c:pt>
                  <c:pt idx="3">
                    <c:v>Sum of TUVAR DAL</c:v>
                  </c:pt>
                  <c:pt idx="4">
                    <c:v>Sum of G.OIL</c:v>
                  </c:pt>
                  <c:pt idx="5">
                    <c:v>Sum of TEA/COF POW</c:v>
                  </c:pt>
                  <c:pt idx="6">
                    <c:v>Sum of MILK/CURD</c:v>
                  </c:pt>
                  <c:pt idx="7">
                    <c:v>Sum of D WATER</c:v>
                  </c:pt>
                  <c:pt idx="8">
                    <c:v>Sum of HOTEL/SNACKS</c:v>
                  </c:pt>
                  <c:pt idx="9">
                    <c:v>Sum of BUT/GHEE</c:v>
                  </c:pt>
                  <c:pt idx="10">
                    <c:v>Sum of VEGETABLE</c:v>
                  </c:pt>
                  <c:pt idx="11">
                    <c:v>Sum of FRUITS</c:v>
                  </c:pt>
                  <c:pt idx="12">
                    <c:v>Sum of SOAP/TOILETRIES</c:v>
                  </c:pt>
                  <c:pt idx="13">
                    <c:v>Sum of RAVI EXPS</c:v>
                  </c:pt>
                  <c:pt idx="14">
                    <c:v>Sum of DAL/SPICES</c:v>
                  </c:pt>
                  <c:pt idx="15">
                    <c:v>Sum of FISH/CHI</c:v>
                  </c:pt>
                  <c:pt idx="16">
                    <c:v>Sum of Aquarium</c:v>
                  </c:pt>
                  <c:pt idx="17">
                    <c:v>Sum of GAS</c:v>
                  </c:pt>
                  <c:pt idx="18">
                    <c:v>Sum of PHONE REC</c:v>
                  </c:pt>
                  <c:pt idx="19">
                    <c:v>Sum of EB BILL</c:v>
                  </c:pt>
                  <c:pt idx="20">
                    <c:v>Sum of AIRTEL/JIO</c:v>
                  </c:pt>
                  <c:pt idx="21">
                    <c:v>Sum of JAYA DOC/SIP</c:v>
                  </c:pt>
                  <c:pt idx="22">
                    <c:v>Sum of BUS/AUTO</c:v>
                  </c:pt>
                  <c:pt idx="23">
                    <c:v>Sum of JAYA EXPS</c:v>
                  </c:pt>
                  <c:pt idx="24">
                    <c:v>Sum of HO POOJA</c:v>
                  </c:pt>
                  <c:pt idx="25">
                    <c:v>Sum of VEH EXPS</c:v>
                  </c:pt>
                  <c:pt idx="26">
                    <c:v>Sum of SUSH EXPS</c:v>
                  </c:pt>
                  <c:pt idx="27">
                    <c:v>Sum of SUSH SIP/DOC</c:v>
                  </c:pt>
                  <c:pt idx="28">
                    <c:v>Sum of AYYA A/C</c:v>
                  </c:pt>
                  <c:pt idx="29">
                    <c:v>Sum of MEDICINE</c:v>
                  </c:pt>
                  <c:pt idx="30">
                    <c:v>Sum of MUM AYYA</c:v>
                  </c:pt>
                  <c:pt idx="31">
                    <c:v>Sum of MISC EXPS</c:v>
                  </c:pt>
                  <c:pt idx="32">
                    <c:v>Sum of HO RENT</c:v>
                  </c:pt>
                  <c:pt idx="33">
                    <c:v>Sum of GOLDCHIT</c:v>
                  </c:pt>
                  <c:pt idx="34">
                    <c:v>Sum of PETROL EXPS</c:v>
                  </c:pt>
                  <c:pt idx="35">
                    <c:v>Sum of KITCHEN APP</c:v>
                  </c:pt>
                  <c:pt idx="36">
                    <c:v>Sum of PLANTS</c:v>
                  </c:pt>
                  <c:pt idx="37">
                    <c:v>Sum of DONATION</c:v>
                  </c:pt>
                </c:lvl>
              </c:multiLvlStrCache>
            </c:multiLvlStrRef>
          </c:cat>
          <c:val>
            <c:numRef>
              <c:f>pivots!$B$52:$B$165</c:f>
              <c:numCache>
                <c:formatCode>General</c:formatCode>
                <c:ptCount val="38"/>
                <c:pt idx="0">
                  <c:v>8225</c:v>
                </c:pt>
                <c:pt idx="1">
                  <c:v>2558</c:v>
                </c:pt>
                <c:pt idx="2">
                  <c:v>2135</c:v>
                </c:pt>
                <c:pt idx="3">
                  <c:v>2246</c:v>
                </c:pt>
                <c:pt idx="4">
                  <c:v>8968</c:v>
                </c:pt>
                <c:pt idx="5">
                  <c:v>3372</c:v>
                </c:pt>
                <c:pt idx="6">
                  <c:v>13696</c:v>
                </c:pt>
                <c:pt idx="7">
                  <c:v>4960</c:v>
                </c:pt>
                <c:pt idx="8">
                  <c:v>32831.35</c:v>
                </c:pt>
                <c:pt idx="9">
                  <c:v>5867</c:v>
                </c:pt>
                <c:pt idx="10">
                  <c:v>13485</c:v>
                </c:pt>
                <c:pt idx="11">
                  <c:v>12635</c:v>
                </c:pt>
                <c:pt idx="12">
                  <c:v>10337</c:v>
                </c:pt>
                <c:pt idx="13">
                  <c:v>15197</c:v>
                </c:pt>
                <c:pt idx="14">
                  <c:v>18762</c:v>
                </c:pt>
                <c:pt idx="15">
                  <c:v>18132</c:v>
                </c:pt>
                <c:pt idx="16">
                  <c:v>20255</c:v>
                </c:pt>
                <c:pt idx="17">
                  <c:v>10690</c:v>
                </c:pt>
                <c:pt idx="18">
                  <c:v>4044</c:v>
                </c:pt>
                <c:pt idx="19">
                  <c:v>11716</c:v>
                </c:pt>
                <c:pt idx="20">
                  <c:v>16015.479999999998</c:v>
                </c:pt>
                <c:pt idx="21">
                  <c:v>63970</c:v>
                </c:pt>
                <c:pt idx="22">
                  <c:v>12292.34</c:v>
                </c:pt>
                <c:pt idx="23">
                  <c:v>49177</c:v>
                </c:pt>
                <c:pt idx="24">
                  <c:v>37213</c:v>
                </c:pt>
                <c:pt idx="25">
                  <c:v>100820</c:v>
                </c:pt>
                <c:pt idx="26">
                  <c:v>143898.15000000002</c:v>
                </c:pt>
                <c:pt idx="27">
                  <c:v>25400</c:v>
                </c:pt>
                <c:pt idx="28">
                  <c:v>35100.33</c:v>
                </c:pt>
                <c:pt idx="29">
                  <c:v>16683</c:v>
                </c:pt>
                <c:pt idx="30">
                  <c:v>26100</c:v>
                </c:pt>
                <c:pt idx="31">
                  <c:v>34880.450000000004</c:v>
                </c:pt>
                <c:pt idx="32">
                  <c:v>114000</c:v>
                </c:pt>
                <c:pt idx="33">
                  <c:v>60050</c:v>
                </c:pt>
                <c:pt idx="34">
                  <c:v>2820</c:v>
                </c:pt>
                <c:pt idx="35">
                  <c:v>12020.64</c:v>
                </c:pt>
                <c:pt idx="36">
                  <c:v>9825</c:v>
                </c:pt>
                <c:pt idx="37">
                  <c:v>4015.02</c:v>
                </c:pt>
              </c:numCache>
            </c:numRef>
          </c:val>
          <c:smooth val="0"/>
          <c:extLst>
            <c:ext xmlns:c16="http://schemas.microsoft.com/office/drawing/2014/chart" uri="{C3380CC4-5D6E-409C-BE32-E72D297353CC}">
              <c16:uniqueId val="{00000000-F2DF-4FF0-BF22-C2B722D21E27}"/>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506249160"/>
        <c:axId val="506250472"/>
      </c:lineChart>
      <c:catAx>
        <c:axId val="50624916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OF EACH ITEMS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506250472"/>
        <c:crosses val="autoZero"/>
        <c:auto val="1"/>
        <c:lblAlgn val="ctr"/>
        <c:lblOffset val="100"/>
        <c:noMultiLvlLbl val="0"/>
      </c:catAx>
      <c:valAx>
        <c:axId val="506250472"/>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ITEMS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506249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1.xlsx]pivots!PivotTable11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pivots!$G$71</c:f>
              <c:strCache>
                <c:ptCount val="1"/>
                <c:pt idx="0">
                  <c:v>Sum of ATTA</c:v>
                </c:pt>
              </c:strCache>
            </c:strRef>
          </c:tx>
          <c:spPr>
            <a:solidFill>
              <a:schemeClr val="accent1"/>
            </a:solidFill>
            <a:ln>
              <a:noFill/>
            </a:ln>
            <a:effectLst/>
          </c:spPr>
          <c:invertIfNegative val="0"/>
          <c:cat>
            <c:strRef>
              <c:f>pivots!$G$72</c:f>
              <c:strCache>
                <c:ptCount val="1"/>
                <c:pt idx="0">
                  <c:v>Total</c:v>
                </c:pt>
              </c:strCache>
            </c:strRef>
          </c:cat>
          <c:val>
            <c:numRef>
              <c:f>pivots!$G$72</c:f>
              <c:numCache>
                <c:formatCode>General</c:formatCode>
                <c:ptCount val="1"/>
                <c:pt idx="0">
                  <c:v>1641</c:v>
                </c:pt>
              </c:numCache>
            </c:numRef>
          </c:val>
          <c:extLst>
            <c:ext xmlns:c16="http://schemas.microsoft.com/office/drawing/2014/chart" uri="{C3380CC4-5D6E-409C-BE32-E72D297353CC}">
              <c16:uniqueId val="{00000000-A232-4BDC-8618-32FA7813E9C2}"/>
            </c:ext>
          </c:extLst>
        </c:ser>
        <c:ser>
          <c:idx val="1"/>
          <c:order val="1"/>
          <c:tx>
            <c:strRef>
              <c:f>pivots!$H$71</c:f>
              <c:strCache>
                <c:ptCount val="1"/>
                <c:pt idx="0">
                  <c:v>Sum of RICE</c:v>
                </c:pt>
              </c:strCache>
            </c:strRef>
          </c:tx>
          <c:spPr>
            <a:solidFill>
              <a:schemeClr val="accent2"/>
            </a:solidFill>
            <a:ln>
              <a:noFill/>
            </a:ln>
            <a:effectLst/>
          </c:spPr>
          <c:invertIfNegative val="0"/>
          <c:cat>
            <c:strRef>
              <c:f>pivots!$G$72</c:f>
              <c:strCache>
                <c:ptCount val="1"/>
                <c:pt idx="0">
                  <c:v>Total</c:v>
                </c:pt>
              </c:strCache>
            </c:strRef>
          </c:cat>
          <c:val>
            <c:numRef>
              <c:f>pivots!$H$72</c:f>
              <c:numCache>
                <c:formatCode>General</c:formatCode>
                <c:ptCount val="1"/>
                <c:pt idx="0">
                  <c:v>4961</c:v>
                </c:pt>
              </c:numCache>
            </c:numRef>
          </c:val>
          <c:extLst>
            <c:ext xmlns:c16="http://schemas.microsoft.com/office/drawing/2014/chart" uri="{C3380CC4-5D6E-409C-BE32-E72D297353CC}">
              <c16:uniqueId val="{00000001-A232-4BDC-8618-32FA7813E9C2}"/>
            </c:ext>
          </c:extLst>
        </c:ser>
        <c:dLbls>
          <c:showLegendKey val="0"/>
          <c:showVal val="0"/>
          <c:showCatName val="0"/>
          <c:showSerName val="0"/>
          <c:showPercent val="0"/>
          <c:showBubbleSize val="0"/>
        </c:dLbls>
        <c:gapWidth val="150"/>
        <c:axId val="975005408"/>
        <c:axId val="975006064"/>
      </c:barChart>
      <c:catAx>
        <c:axId val="97500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006064"/>
        <c:crosses val="autoZero"/>
        <c:auto val="1"/>
        <c:lblAlgn val="ctr"/>
        <c:lblOffset val="100"/>
        <c:noMultiLvlLbl val="0"/>
      </c:catAx>
      <c:valAx>
        <c:axId val="975006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EXPENSES</a:t>
                </a:r>
              </a:p>
            </c:rich>
          </c:tx>
          <c:layout>
            <c:manualLayout>
              <c:xMode val="edge"/>
              <c:yMode val="edge"/>
              <c:x val="4.4444444444444446E-2"/>
              <c:y val="0.376511373578302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005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1.xlsx]pivots!PivotTable2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INCOME</a:t>
            </a:r>
            <a:r>
              <a:rPr lang="en-IN" baseline="0"/>
              <a:t> PER MONTH-2020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c:f>
              <c:strCache>
                <c:ptCount val="1"/>
                <c:pt idx="0">
                  <c:v>Total</c:v>
                </c:pt>
              </c:strCache>
            </c:strRef>
          </c:tx>
          <c:spPr>
            <a:solidFill>
              <a:schemeClr val="accent1"/>
            </a:solidFill>
            <a:ln>
              <a:noFill/>
            </a:ln>
            <a:effectLst/>
          </c:spPr>
          <c:invertIfNegative val="0"/>
          <c:cat>
            <c:strRef>
              <c:f>pivots!$A$3:$A$15</c:f>
              <c:strCache>
                <c:ptCount val="12"/>
                <c:pt idx="0">
                  <c:v> OCT 20</c:v>
                </c:pt>
                <c:pt idx="1">
                  <c:v> AUG 20</c:v>
                </c:pt>
                <c:pt idx="2">
                  <c:v> MAR 20</c:v>
                </c:pt>
                <c:pt idx="3">
                  <c:v> JAN 20</c:v>
                </c:pt>
                <c:pt idx="4">
                  <c:v> NOV 20</c:v>
                </c:pt>
                <c:pt idx="5">
                  <c:v> DEC 20</c:v>
                </c:pt>
                <c:pt idx="6">
                  <c:v> FEB 20</c:v>
                </c:pt>
                <c:pt idx="7">
                  <c:v> SEPT 20</c:v>
                </c:pt>
                <c:pt idx="8">
                  <c:v> JULY 20</c:v>
                </c:pt>
                <c:pt idx="9">
                  <c:v> JUNE 20</c:v>
                </c:pt>
                <c:pt idx="10">
                  <c:v> MAY 20</c:v>
                </c:pt>
                <c:pt idx="11">
                  <c:v> APRIL 20</c:v>
                </c:pt>
              </c:strCache>
            </c:strRef>
          </c:cat>
          <c:val>
            <c:numRef>
              <c:f>pivots!$B$3:$B$15</c:f>
              <c:numCache>
                <c:formatCode>General</c:formatCode>
                <c:ptCount val="12"/>
                <c:pt idx="0">
                  <c:v>152703.84</c:v>
                </c:pt>
                <c:pt idx="1">
                  <c:v>83091.839999999997</c:v>
                </c:pt>
                <c:pt idx="2">
                  <c:v>74321.820000000007</c:v>
                </c:pt>
                <c:pt idx="3">
                  <c:v>52622.27</c:v>
                </c:pt>
                <c:pt idx="4">
                  <c:v>50071.4</c:v>
                </c:pt>
                <c:pt idx="5">
                  <c:v>50000</c:v>
                </c:pt>
                <c:pt idx="6">
                  <c:v>46780.61</c:v>
                </c:pt>
                <c:pt idx="7">
                  <c:v>38407.01</c:v>
                </c:pt>
                <c:pt idx="8">
                  <c:v>38111.83</c:v>
                </c:pt>
                <c:pt idx="9">
                  <c:v>37750</c:v>
                </c:pt>
                <c:pt idx="10">
                  <c:v>37416.910000000003</c:v>
                </c:pt>
                <c:pt idx="11">
                  <c:v>1095</c:v>
                </c:pt>
              </c:numCache>
            </c:numRef>
          </c:val>
          <c:extLst>
            <c:ext xmlns:c16="http://schemas.microsoft.com/office/drawing/2014/chart" uri="{C3380CC4-5D6E-409C-BE32-E72D297353CC}">
              <c16:uniqueId val="{00000000-214C-4FBF-AD69-2B00A5C94D41}"/>
            </c:ext>
          </c:extLst>
        </c:ser>
        <c:dLbls>
          <c:showLegendKey val="0"/>
          <c:showVal val="0"/>
          <c:showCatName val="0"/>
          <c:showSerName val="0"/>
          <c:showPercent val="0"/>
          <c:showBubbleSize val="0"/>
        </c:dLbls>
        <c:gapWidth val="219"/>
        <c:overlap val="-27"/>
        <c:axId val="822822352"/>
        <c:axId val="822823008"/>
      </c:barChart>
      <c:catAx>
        <c:axId val="822822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823008"/>
        <c:crosses val="autoZero"/>
        <c:auto val="1"/>
        <c:lblAlgn val="ctr"/>
        <c:lblOffset val="100"/>
        <c:noMultiLvlLbl val="0"/>
      </c:catAx>
      <c:valAx>
        <c:axId val="822823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RANGE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82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1.xlsx]pivots!PivotTable5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INCOME PER MONTH- 2021</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pivots!$A$20:$A$32</c:f>
              <c:strCache>
                <c:ptCount val="12"/>
                <c:pt idx="0">
                  <c:v> MAR 21</c:v>
                </c:pt>
                <c:pt idx="1">
                  <c:v> OCT 21</c:v>
                </c:pt>
                <c:pt idx="2">
                  <c:v> JAN 21</c:v>
                </c:pt>
                <c:pt idx="3">
                  <c:v> MAY 21</c:v>
                </c:pt>
                <c:pt idx="4">
                  <c:v> AUG 21</c:v>
                </c:pt>
                <c:pt idx="5">
                  <c:v> SEPT 21</c:v>
                </c:pt>
                <c:pt idx="6">
                  <c:v> JULY 21</c:v>
                </c:pt>
                <c:pt idx="7">
                  <c:v> FEB 21</c:v>
                </c:pt>
                <c:pt idx="8">
                  <c:v> JUNE 21</c:v>
                </c:pt>
                <c:pt idx="9">
                  <c:v> APRIL 21</c:v>
                </c:pt>
                <c:pt idx="10">
                  <c:v> DEC 21</c:v>
                </c:pt>
                <c:pt idx="11">
                  <c:v> NOV 21</c:v>
                </c:pt>
              </c:strCache>
            </c:strRef>
          </c:cat>
          <c:val>
            <c:numRef>
              <c:f>pivots!$B$20:$B$32</c:f>
              <c:numCache>
                <c:formatCode>General</c:formatCode>
                <c:ptCount val="12"/>
                <c:pt idx="0">
                  <c:v>110329</c:v>
                </c:pt>
                <c:pt idx="1">
                  <c:v>105000</c:v>
                </c:pt>
                <c:pt idx="2">
                  <c:v>100000</c:v>
                </c:pt>
                <c:pt idx="3">
                  <c:v>80320</c:v>
                </c:pt>
                <c:pt idx="4">
                  <c:v>80172</c:v>
                </c:pt>
                <c:pt idx="5">
                  <c:v>75000</c:v>
                </c:pt>
                <c:pt idx="6">
                  <c:v>65890</c:v>
                </c:pt>
                <c:pt idx="7">
                  <c:v>60198</c:v>
                </c:pt>
                <c:pt idx="8">
                  <c:v>60025</c:v>
                </c:pt>
                <c:pt idx="9">
                  <c:v>60000</c:v>
                </c:pt>
                <c:pt idx="10">
                  <c:v>60000</c:v>
                </c:pt>
                <c:pt idx="11">
                  <c:v>60000</c:v>
                </c:pt>
              </c:numCache>
            </c:numRef>
          </c:val>
          <c:smooth val="0"/>
          <c:extLst>
            <c:ext xmlns:c16="http://schemas.microsoft.com/office/drawing/2014/chart" uri="{C3380CC4-5D6E-409C-BE32-E72D297353CC}">
              <c16:uniqueId val="{00000000-7078-463F-BA52-1A415687EFF7}"/>
            </c:ext>
          </c:extLst>
        </c:ser>
        <c:dLbls>
          <c:showLegendKey val="0"/>
          <c:showVal val="0"/>
          <c:showCatName val="0"/>
          <c:showSerName val="0"/>
          <c:showPercent val="0"/>
          <c:showBubbleSize val="0"/>
        </c:dLbls>
        <c:marker val="1"/>
        <c:smooth val="0"/>
        <c:axId val="942102024"/>
        <c:axId val="942102352"/>
      </c:lineChart>
      <c:catAx>
        <c:axId val="942102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102352"/>
        <c:crosses val="autoZero"/>
        <c:auto val="1"/>
        <c:lblAlgn val="ctr"/>
        <c:lblOffset val="100"/>
        <c:noMultiLvlLbl val="0"/>
      </c:catAx>
      <c:valAx>
        <c:axId val="94210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range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102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1.xlsx]pivots!PivotTable6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INCOME</a:t>
            </a:r>
            <a:r>
              <a:rPr lang="en-IN" baseline="0"/>
              <a:t> PER MONTH-2022</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pivots!$B$35</c:f>
              <c:strCache>
                <c:ptCount val="1"/>
                <c:pt idx="0">
                  <c:v>Total</c:v>
                </c:pt>
              </c:strCache>
            </c:strRef>
          </c:tx>
          <c:spPr>
            <a:ln w="28575" cap="rnd">
              <a:solidFill>
                <a:schemeClr val="accent1"/>
              </a:solidFill>
              <a:round/>
            </a:ln>
            <a:effectLst/>
          </c:spPr>
          <c:marker>
            <c:symbol val="none"/>
          </c:marker>
          <c:cat>
            <c:strRef>
              <c:f>pivots!$A$36:$A$46</c:f>
              <c:strCache>
                <c:ptCount val="10"/>
                <c:pt idx="0">
                  <c:v> JUNE 22</c:v>
                </c:pt>
                <c:pt idx="1">
                  <c:v> MAY 22</c:v>
                </c:pt>
                <c:pt idx="2">
                  <c:v> SEPT 22</c:v>
                </c:pt>
                <c:pt idx="3">
                  <c:v> OCT 22</c:v>
                </c:pt>
                <c:pt idx="4">
                  <c:v> MAR 22</c:v>
                </c:pt>
                <c:pt idx="5">
                  <c:v> FEB 22</c:v>
                </c:pt>
                <c:pt idx="6">
                  <c:v> JULY 22</c:v>
                </c:pt>
                <c:pt idx="7">
                  <c:v> JAN 22</c:v>
                </c:pt>
                <c:pt idx="8">
                  <c:v> APR 22</c:v>
                </c:pt>
                <c:pt idx="9">
                  <c:v> AUG 22</c:v>
                </c:pt>
              </c:strCache>
            </c:strRef>
          </c:cat>
          <c:val>
            <c:numRef>
              <c:f>pivots!$B$36:$B$46</c:f>
              <c:numCache>
                <c:formatCode>General</c:formatCode>
                <c:ptCount val="10"/>
                <c:pt idx="0">
                  <c:v>210000</c:v>
                </c:pt>
                <c:pt idx="1">
                  <c:v>105000</c:v>
                </c:pt>
                <c:pt idx="2">
                  <c:v>90000</c:v>
                </c:pt>
                <c:pt idx="3">
                  <c:v>90000</c:v>
                </c:pt>
                <c:pt idx="4">
                  <c:v>85000</c:v>
                </c:pt>
                <c:pt idx="5">
                  <c:v>75000</c:v>
                </c:pt>
                <c:pt idx="6">
                  <c:v>70000</c:v>
                </c:pt>
                <c:pt idx="7">
                  <c:v>60000</c:v>
                </c:pt>
                <c:pt idx="8">
                  <c:v>60000</c:v>
                </c:pt>
                <c:pt idx="9">
                  <c:v>60000</c:v>
                </c:pt>
              </c:numCache>
            </c:numRef>
          </c:val>
          <c:smooth val="0"/>
          <c:extLst>
            <c:ext xmlns:c16="http://schemas.microsoft.com/office/drawing/2014/chart" uri="{C3380CC4-5D6E-409C-BE32-E72D297353CC}">
              <c16:uniqueId val="{00000000-F620-4809-A1BB-E1FBA7F50D6E}"/>
            </c:ext>
          </c:extLst>
        </c:ser>
        <c:dLbls>
          <c:showLegendKey val="0"/>
          <c:showVal val="0"/>
          <c:showCatName val="0"/>
          <c:showSerName val="0"/>
          <c:showPercent val="0"/>
          <c:showBubbleSize val="0"/>
        </c:dLbls>
        <c:smooth val="0"/>
        <c:axId val="794508080"/>
        <c:axId val="794503816"/>
      </c:lineChart>
      <c:catAx>
        <c:axId val="794508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03816"/>
        <c:crosses val="autoZero"/>
        <c:auto val="1"/>
        <c:lblAlgn val="ctr"/>
        <c:lblOffset val="100"/>
        <c:noMultiLvlLbl val="0"/>
      </c:catAx>
      <c:valAx>
        <c:axId val="794503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RANGE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0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[PORTFOLIO PROJECT 1.xlsx]YEAR 1 VIEW!PivotTable2</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 YEAR 1 EXPENSES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'YEAR 1 VIEW'!$B$4</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'YEAR 1 VIEW'!$A$5:$A$16</c:f>
              <c:strCache>
                <c:ptCount val="12"/>
                <c:pt idx="0">
                  <c:v>Sum of  JAN 20</c:v>
                </c:pt>
                <c:pt idx="1">
                  <c:v>Sum of  FEB 20</c:v>
                </c:pt>
                <c:pt idx="2">
                  <c:v>Sum of  MAR 20</c:v>
                </c:pt>
                <c:pt idx="3">
                  <c:v>Sum of  APRIL 20</c:v>
                </c:pt>
                <c:pt idx="4">
                  <c:v>Sum of  MAY 20</c:v>
                </c:pt>
                <c:pt idx="5">
                  <c:v>Sum of  JUNE 20</c:v>
                </c:pt>
                <c:pt idx="6">
                  <c:v>Sum of  JULY 20</c:v>
                </c:pt>
                <c:pt idx="7">
                  <c:v>Sum of  AUG 20</c:v>
                </c:pt>
                <c:pt idx="8">
                  <c:v>Sum of  SEPT 20</c:v>
                </c:pt>
                <c:pt idx="9">
                  <c:v>Sum of  OCT 20</c:v>
                </c:pt>
                <c:pt idx="10">
                  <c:v>Sum of  DEC 20</c:v>
                </c:pt>
                <c:pt idx="11">
                  <c:v>Sum of  NOV 20</c:v>
                </c:pt>
              </c:strCache>
            </c:strRef>
          </c:cat>
          <c:val>
            <c:numRef>
              <c:f>'YEAR 1 VIEW'!$B$5:$B$16</c:f>
              <c:numCache>
                <c:formatCode>General</c:formatCode>
                <c:ptCount val="12"/>
                <c:pt idx="0">
                  <c:v>37330.82</c:v>
                </c:pt>
                <c:pt idx="1">
                  <c:v>37956.82</c:v>
                </c:pt>
                <c:pt idx="2">
                  <c:v>34048.17</c:v>
                </c:pt>
                <c:pt idx="3">
                  <c:v>25995.82</c:v>
                </c:pt>
                <c:pt idx="4">
                  <c:v>28162</c:v>
                </c:pt>
                <c:pt idx="5">
                  <c:v>35813.82</c:v>
                </c:pt>
                <c:pt idx="6">
                  <c:v>27682.82</c:v>
                </c:pt>
                <c:pt idx="7">
                  <c:v>77564.040000000008</c:v>
                </c:pt>
                <c:pt idx="8">
                  <c:v>33706.619999999995</c:v>
                </c:pt>
                <c:pt idx="9">
                  <c:v>51809.760000000002</c:v>
                </c:pt>
                <c:pt idx="10">
                  <c:v>35051.339999999997</c:v>
                </c:pt>
                <c:pt idx="11">
                  <c:v>53161.56</c:v>
                </c:pt>
              </c:numCache>
            </c:numRef>
          </c:val>
          <c:extLst>
            <c:ext xmlns:c16="http://schemas.microsoft.com/office/drawing/2014/chart" uri="{C3380CC4-5D6E-409C-BE32-E72D297353CC}">
              <c16:uniqueId val="{00000000-0CB9-4264-A5D8-1A4256250935}"/>
            </c:ext>
          </c:extLst>
        </c:ser>
        <c:dLbls>
          <c:dLblPos val="outEnd"/>
          <c:showLegendKey val="0"/>
          <c:showVal val="1"/>
          <c:showCatName val="0"/>
          <c:showSerName val="0"/>
          <c:showPercent val="0"/>
          <c:showBubbleSize val="0"/>
        </c:dLbls>
        <c:gapWidth val="227"/>
        <c:overlap val="-48"/>
        <c:axId val="527982240"/>
        <c:axId val="527980600"/>
      </c:barChart>
      <c:catAx>
        <c:axId val="52798224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980600"/>
        <c:crosses val="autoZero"/>
        <c:auto val="1"/>
        <c:lblAlgn val="ctr"/>
        <c:lblOffset val="100"/>
        <c:noMultiLvlLbl val="0"/>
      </c:catAx>
      <c:valAx>
        <c:axId val="527980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98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1.xlsx]YEAR 2 VIEW!PivotTable4</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YEAR 2 EXPENSES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dLbl>
          <c:idx val="0"/>
          <c:layout>
            <c:manualLayout>
              <c:x val="0.17701161110901587"/>
              <c:y val="-4.23360926336292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dLbl>
          <c:idx val="0"/>
          <c:layout>
            <c:manualLayout>
              <c:x val="0.1561867156844258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dLbl>
          <c:idx val="0"/>
          <c:layout>
            <c:manualLayout>
              <c:x val="0.23428007352663865"/>
              <c:y val="-9.23707237173474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dLbl>
          <c:idx val="0"/>
          <c:layout>
            <c:manualLayout>
              <c:x val="0.16659916339672082"/>
              <c:y val="-4.23360926336292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dLbl>
          <c:idx val="0"/>
          <c:layout>
            <c:manualLayout>
              <c:x val="0.18221783496516331"/>
              <c:y val="-4.61853618586735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dLbl>
          <c:idx val="0"/>
          <c:layout>
            <c:manualLayout>
              <c:x val="0.17180538725286834"/>
              <c:y val="4.61853618586726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dLbl>
          <c:idx val="0"/>
          <c:layout>
            <c:manualLayout>
              <c:x val="0.2108520661739747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dLbl>
          <c:idx val="0"/>
          <c:layout>
            <c:manualLayout>
              <c:x val="0.16399605146864696"/>
              <c:y val="-8.467218526725854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dLbl>
          <c:idx val="0"/>
          <c:layout>
            <c:manualLayout>
              <c:x val="0.135361820259835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dLbl>
          <c:idx val="0"/>
          <c:layout>
            <c:manualLayout>
              <c:x val="0.17180538725286826"/>
              <c:y val="-4.61853618586735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dLbl>
          <c:idx val="0"/>
          <c:layout>
            <c:manualLayout>
              <c:x val="0.23948629738278618"/>
              <c:y val="-1.693443705345171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dLbl>
          <c:idx val="0"/>
          <c:layout>
            <c:manualLayout>
              <c:x val="0.3201827671530727"/>
              <c:y val="-9.23707237173470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'YEAR 2 VIEW'!$B$3</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dLbls>
            <c:dLbl>
              <c:idx val="0"/>
              <c:layout>
                <c:manualLayout>
                  <c:x val="0.3201827671530727"/>
                  <c:y val="-9.23707237173470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8AC-463C-9110-45C7C7254A33}"/>
                </c:ext>
              </c:extLst>
            </c:dLbl>
            <c:dLbl>
              <c:idx val="1"/>
              <c:layout>
                <c:manualLayout>
                  <c:x val="0.23948629738278618"/>
                  <c:y val="-1.69344370534517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8AC-463C-9110-45C7C7254A33}"/>
                </c:ext>
              </c:extLst>
            </c:dLbl>
            <c:dLbl>
              <c:idx val="2"/>
              <c:layout>
                <c:manualLayout>
                  <c:x val="0.17180538725286826"/>
                  <c:y val="-4.618536185867352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8AC-463C-9110-45C7C7254A33}"/>
                </c:ext>
              </c:extLst>
            </c:dLbl>
            <c:dLbl>
              <c:idx val="3"/>
              <c:layout>
                <c:manualLayout>
                  <c:x val="0.135361820259835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8AC-463C-9110-45C7C7254A33}"/>
                </c:ext>
              </c:extLst>
            </c:dLbl>
            <c:dLbl>
              <c:idx val="4"/>
              <c:layout>
                <c:manualLayout>
                  <c:x val="0.16399605146864696"/>
                  <c:y val="-8.467218526725854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8AC-463C-9110-45C7C7254A33}"/>
                </c:ext>
              </c:extLst>
            </c:dLbl>
            <c:dLbl>
              <c:idx val="5"/>
              <c:layout>
                <c:manualLayout>
                  <c:x val="0.2108520661739747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8AC-463C-9110-45C7C7254A33}"/>
                </c:ext>
              </c:extLst>
            </c:dLbl>
            <c:dLbl>
              <c:idx val="6"/>
              <c:layout>
                <c:manualLayout>
                  <c:x val="0.17180538725286834"/>
                  <c:y val="4.61853618586726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AC-463C-9110-45C7C7254A33}"/>
                </c:ext>
              </c:extLst>
            </c:dLbl>
            <c:dLbl>
              <c:idx val="7"/>
              <c:layout>
                <c:manualLayout>
                  <c:x val="0.18221783496516331"/>
                  <c:y val="-4.618536185867352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8AC-463C-9110-45C7C7254A33}"/>
                </c:ext>
              </c:extLst>
            </c:dLbl>
            <c:dLbl>
              <c:idx val="8"/>
              <c:layout>
                <c:manualLayout>
                  <c:x val="0.16659916339672082"/>
                  <c:y val="-4.233609263362927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AC-463C-9110-45C7C7254A33}"/>
                </c:ext>
              </c:extLst>
            </c:dLbl>
            <c:dLbl>
              <c:idx val="9"/>
              <c:layout>
                <c:manualLayout>
                  <c:x val="0.23428007352663865"/>
                  <c:y val="-9.237072371734746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AC-463C-9110-45C7C7254A33}"/>
                </c:ext>
              </c:extLst>
            </c:dLbl>
            <c:dLbl>
              <c:idx val="10"/>
              <c:layout>
                <c:manualLayout>
                  <c:x val="0.17701161110901587"/>
                  <c:y val="-4.233609263362927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C-463C-9110-45C7C7254A33}"/>
                </c:ext>
              </c:extLst>
            </c:dLbl>
            <c:dLbl>
              <c:idx val="11"/>
              <c:layout>
                <c:manualLayout>
                  <c:x val="0.1561867156844258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C-463C-9110-45C7C7254A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'YEAR 2 VIEW'!$A$4:$A$15</c:f>
              <c:strCache>
                <c:ptCount val="12"/>
                <c:pt idx="0">
                  <c:v>Sum of  JAN 21</c:v>
                </c:pt>
                <c:pt idx="1">
                  <c:v>Sum of  FEB 21</c:v>
                </c:pt>
                <c:pt idx="2">
                  <c:v>Sum of  MAR 21</c:v>
                </c:pt>
                <c:pt idx="3">
                  <c:v>Sum of  APRIL 21</c:v>
                </c:pt>
                <c:pt idx="4">
                  <c:v>Sum of  MAY 21</c:v>
                </c:pt>
                <c:pt idx="5">
                  <c:v>Sum of  JUNE 21</c:v>
                </c:pt>
                <c:pt idx="6">
                  <c:v>Sum of  JULY 21</c:v>
                </c:pt>
                <c:pt idx="7">
                  <c:v>Sum of  AUG 21</c:v>
                </c:pt>
                <c:pt idx="8">
                  <c:v>Sum of  SEPT 21</c:v>
                </c:pt>
                <c:pt idx="9">
                  <c:v>Sum of  OCT 21</c:v>
                </c:pt>
                <c:pt idx="10">
                  <c:v>Sum of  NOV 21</c:v>
                </c:pt>
                <c:pt idx="11">
                  <c:v>Sum of  DEC 21</c:v>
                </c:pt>
              </c:strCache>
            </c:strRef>
          </c:cat>
          <c:val>
            <c:numRef>
              <c:f>'YEAR 2 VIEW'!$B$4:$B$15</c:f>
              <c:numCache>
                <c:formatCode>General</c:formatCode>
                <c:ptCount val="12"/>
                <c:pt idx="0">
                  <c:v>161367.36000000002</c:v>
                </c:pt>
                <c:pt idx="1">
                  <c:v>103525.22</c:v>
                </c:pt>
                <c:pt idx="2">
                  <c:v>73522.67</c:v>
                </c:pt>
                <c:pt idx="3">
                  <c:v>48819.82</c:v>
                </c:pt>
                <c:pt idx="4">
                  <c:v>64608.82</c:v>
                </c:pt>
                <c:pt idx="5">
                  <c:v>94943.99</c:v>
                </c:pt>
                <c:pt idx="6">
                  <c:v>69363.820000000007</c:v>
                </c:pt>
                <c:pt idx="7">
                  <c:v>79252.39</c:v>
                </c:pt>
                <c:pt idx="8">
                  <c:v>71191.520000000004</c:v>
                </c:pt>
                <c:pt idx="9">
                  <c:v>102890.02</c:v>
                </c:pt>
                <c:pt idx="10">
                  <c:v>64116.659999999996</c:v>
                </c:pt>
                <c:pt idx="11">
                  <c:v>50789.47</c:v>
                </c:pt>
              </c:numCache>
            </c:numRef>
          </c:val>
          <c:extLst>
            <c:ext xmlns:c16="http://schemas.microsoft.com/office/drawing/2014/chart" uri="{C3380CC4-5D6E-409C-BE32-E72D297353CC}">
              <c16:uniqueId val="{00000000-84B9-480E-8DE8-EB64DBEA39A3}"/>
            </c:ext>
          </c:extLst>
        </c:ser>
        <c:dLbls>
          <c:showLegendKey val="0"/>
          <c:showVal val="1"/>
          <c:showCatName val="0"/>
          <c:showSerName val="0"/>
          <c:showPercent val="0"/>
          <c:showBubbleSize val="0"/>
        </c:dLbls>
        <c:gapWidth val="150"/>
        <c:shape val="box"/>
        <c:axId val="291048864"/>
        <c:axId val="291049192"/>
        <c:axId val="0"/>
      </c:bar3DChart>
      <c:catAx>
        <c:axId val="29104886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049192"/>
        <c:crosses val="autoZero"/>
        <c:auto val="1"/>
        <c:lblAlgn val="ctr"/>
        <c:lblOffset val="100"/>
        <c:noMultiLvlLbl val="0"/>
      </c:catAx>
      <c:valAx>
        <c:axId val="291049192"/>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04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[PORTFOLIO PROJECT 1.xlsx]YEAR 3 VIEW!PivotTable5</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YEAR 3 EXPENSES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dLbl>
          <c:idx val="0"/>
          <c:layout>
            <c:manualLayout>
              <c:x val="0.16995536998748759"/>
              <c:y val="-1.5471063426487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dLbl>
          <c:idx val="0"/>
          <c:layout>
            <c:manualLayout>
              <c:x val="0.204718968394019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dLbl>
          <c:idx val="0"/>
          <c:layout>
            <c:manualLayout>
              <c:x val="0.14034193430784955"/>
              <c:y val="-5.15702114216242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dLbl>
          <c:idx val="0"/>
          <c:layout>
            <c:manualLayout>
              <c:x val="0.20600650907574247"/>
              <c:y val="-1.547106342648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dLbl>
          <c:idx val="0"/>
          <c:layout>
            <c:manualLayout>
              <c:x val="0.4133005588332081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dLbl>
          <c:idx val="0"/>
          <c:layout>
            <c:manualLayout>
              <c:x val="0.240770107482274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dLbl>
          <c:idx val="0"/>
          <c:layout>
            <c:manualLayout>
              <c:x val="0.14549209703474311"/>
              <c:y val="-5.15702114216242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dLbl>
          <c:idx val="0"/>
          <c:layout>
            <c:manualLayout>
              <c:x val="0.1596550445337004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dLbl>
          <c:idx val="0"/>
          <c:layout>
            <c:manualLayout>
              <c:x val="0.21115667180263603"/>
              <c:y val="-9.454429542254261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dLbl>
          <c:idx val="0"/>
          <c:layout>
            <c:manualLayout>
              <c:x val="0.141629474989572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'YEAR 3 VIEW'!$B$3</c:f>
              <c:strCache>
                <c:ptCount val="1"/>
                <c:pt idx="0">
                  <c:v>Total</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dLbls>
            <c:dLbl>
              <c:idx val="0"/>
              <c:layout>
                <c:manualLayout>
                  <c:x val="0.141629474989572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8A3-49C6-AC19-2B1AA849F8D1}"/>
                </c:ext>
              </c:extLst>
            </c:dLbl>
            <c:dLbl>
              <c:idx val="1"/>
              <c:layout>
                <c:manualLayout>
                  <c:x val="0.21115667180263603"/>
                  <c:y val="-9.454429542254261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8A3-49C6-AC19-2B1AA849F8D1}"/>
                </c:ext>
              </c:extLst>
            </c:dLbl>
            <c:dLbl>
              <c:idx val="2"/>
              <c:layout>
                <c:manualLayout>
                  <c:x val="0.15965504453370041"/>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A3-49C6-AC19-2B1AA849F8D1}"/>
                </c:ext>
              </c:extLst>
            </c:dLbl>
            <c:dLbl>
              <c:idx val="3"/>
              <c:layout>
                <c:manualLayout>
                  <c:x val="0.14549209703474311"/>
                  <c:y val="-5.15702114216242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8A3-49C6-AC19-2B1AA849F8D1}"/>
                </c:ext>
              </c:extLst>
            </c:dLbl>
            <c:dLbl>
              <c:idx val="4"/>
              <c:layout>
                <c:manualLayout>
                  <c:x val="0.24077010748227401"/>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A3-49C6-AC19-2B1AA849F8D1}"/>
                </c:ext>
              </c:extLst>
            </c:dLbl>
            <c:dLbl>
              <c:idx val="5"/>
              <c:layout>
                <c:manualLayout>
                  <c:x val="0.4133005588332081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8A3-49C6-AC19-2B1AA849F8D1}"/>
                </c:ext>
              </c:extLst>
            </c:dLbl>
            <c:dLbl>
              <c:idx val="6"/>
              <c:layout>
                <c:manualLayout>
                  <c:x val="0.20600650907574247"/>
                  <c:y val="-1.5471063426487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A3-49C6-AC19-2B1AA849F8D1}"/>
                </c:ext>
              </c:extLst>
            </c:dLbl>
            <c:dLbl>
              <c:idx val="7"/>
              <c:layout>
                <c:manualLayout>
                  <c:x val="0.14034193430784955"/>
                  <c:y val="-5.15702114216242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8A3-49C6-AC19-2B1AA849F8D1}"/>
                </c:ext>
              </c:extLst>
            </c:dLbl>
            <c:dLbl>
              <c:idx val="8"/>
              <c:layout>
                <c:manualLayout>
                  <c:x val="0.2047189683940190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A3-49C6-AC19-2B1AA849F8D1}"/>
                </c:ext>
              </c:extLst>
            </c:dLbl>
            <c:dLbl>
              <c:idx val="9"/>
              <c:layout>
                <c:manualLayout>
                  <c:x val="0.16995536998748759"/>
                  <c:y val="-1.54710634264872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A3-49C6-AC19-2B1AA849F8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'YEAR 3 VIEW'!$A$4:$A$13</c:f>
              <c:strCache>
                <c:ptCount val="10"/>
                <c:pt idx="0">
                  <c:v>Sum of  JAN 22</c:v>
                </c:pt>
                <c:pt idx="1">
                  <c:v>Sum of  FEB 22</c:v>
                </c:pt>
                <c:pt idx="2">
                  <c:v>Sum of  MAR 22</c:v>
                </c:pt>
                <c:pt idx="3">
                  <c:v>Sum of  APR 22</c:v>
                </c:pt>
                <c:pt idx="4">
                  <c:v>Sum of  MAY 22</c:v>
                </c:pt>
                <c:pt idx="5">
                  <c:v>Sum of  JUNE 22</c:v>
                </c:pt>
                <c:pt idx="6">
                  <c:v>Sum of  JULY 22</c:v>
                </c:pt>
                <c:pt idx="7">
                  <c:v>Sum of  AUG 22</c:v>
                </c:pt>
                <c:pt idx="8">
                  <c:v>Sum of  SEPT 22</c:v>
                </c:pt>
                <c:pt idx="9">
                  <c:v>Sum of  OCT 22</c:v>
                </c:pt>
              </c:strCache>
            </c:strRef>
          </c:cat>
          <c:val>
            <c:numRef>
              <c:f>'YEAR 3 VIEW'!$B$4:$B$13</c:f>
              <c:numCache>
                <c:formatCode>General</c:formatCode>
                <c:ptCount val="10"/>
                <c:pt idx="0">
                  <c:v>67027.11</c:v>
                </c:pt>
                <c:pt idx="1">
                  <c:v>115392.82</c:v>
                </c:pt>
                <c:pt idx="2">
                  <c:v>81899.12</c:v>
                </c:pt>
                <c:pt idx="3">
                  <c:v>71790.17</c:v>
                </c:pt>
                <c:pt idx="4">
                  <c:v>135050.23999999999</c:v>
                </c:pt>
                <c:pt idx="5">
                  <c:v>246557.17</c:v>
                </c:pt>
                <c:pt idx="6">
                  <c:v>107832.97</c:v>
                </c:pt>
                <c:pt idx="7">
                  <c:v>66813.600000000006</c:v>
                </c:pt>
                <c:pt idx="8">
                  <c:v>111727.02</c:v>
                </c:pt>
                <c:pt idx="9">
                  <c:v>87358.82</c:v>
                </c:pt>
              </c:numCache>
            </c:numRef>
          </c:val>
          <c:extLst>
            <c:ext xmlns:c16="http://schemas.microsoft.com/office/drawing/2014/chart" uri="{C3380CC4-5D6E-409C-BE32-E72D297353CC}">
              <c16:uniqueId val="{00000000-65E2-419D-A083-C43273B4AFF6}"/>
            </c:ext>
          </c:extLst>
        </c:ser>
        <c:dLbls>
          <c:showLegendKey val="0"/>
          <c:showVal val="1"/>
          <c:showCatName val="0"/>
          <c:showSerName val="0"/>
          <c:showPercent val="0"/>
          <c:showBubbleSize val="0"/>
        </c:dLbls>
        <c:gapWidth val="150"/>
        <c:shape val="box"/>
        <c:axId val="473801208"/>
        <c:axId val="473800552"/>
        <c:axId val="0"/>
      </c:bar3DChart>
      <c:catAx>
        <c:axId val="473801208"/>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800552"/>
        <c:crosses val="autoZero"/>
        <c:auto val="1"/>
        <c:lblAlgn val="ctr"/>
        <c:lblOffset val="100"/>
        <c:noMultiLvlLbl val="0"/>
      </c:catAx>
      <c:valAx>
        <c:axId val="473800552"/>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801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1.xlsx]pivots!PivotTable8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2021 - SPENT ON ITEMS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pivots!$B$51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pivots!$A$52:$A$165</c:f>
              <c:multiLvlStrCache>
                <c:ptCount val="38"/>
                <c:lvl>
                  <c:pt idx="0">
                    <c:v>Total</c:v>
                  </c:pt>
                  <c:pt idx="1">
                    <c:v>Total</c:v>
                  </c:pt>
                  <c:pt idx="2">
                    <c:v>Total</c:v>
                  </c:pt>
                  <c:pt idx="3">
                    <c:v>Total</c:v>
                  </c:pt>
                  <c:pt idx="4">
                    <c:v>Total</c:v>
                  </c:pt>
                  <c:pt idx="5">
                    <c:v>Total</c:v>
                  </c:pt>
                  <c:pt idx="6">
                    <c:v>Total</c:v>
                  </c:pt>
                  <c:pt idx="7">
                    <c:v>Total</c:v>
                  </c:pt>
                  <c:pt idx="8">
                    <c:v>Total</c:v>
                  </c:pt>
                  <c:pt idx="9">
                    <c:v>Total</c:v>
                  </c:pt>
                  <c:pt idx="10">
                    <c:v>Total</c:v>
                  </c:pt>
                  <c:pt idx="11">
                    <c:v>Total</c:v>
                  </c:pt>
                  <c:pt idx="12">
                    <c:v>Total</c:v>
                  </c:pt>
                  <c:pt idx="13">
                    <c:v>Total</c:v>
                  </c:pt>
                  <c:pt idx="14">
                    <c:v>Total</c:v>
                  </c:pt>
                  <c:pt idx="15">
                    <c:v>Total</c:v>
                  </c:pt>
                  <c:pt idx="16">
                    <c:v>Total</c:v>
                  </c:pt>
                  <c:pt idx="17">
                    <c:v>Total</c:v>
                  </c:pt>
                  <c:pt idx="18">
                    <c:v>Total</c:v>
                  </c:pt>
                  <c:pt idx="19">
                    <c:v>Total</c:v>
                  </c:pt>
                  <c:pt idx="20">
                    <c:v>Total</c:v>
                  </c:pt>
                  <c:pt idx="21">
                    <c:v>Total</c:v>
                  </c:pt>
                  <c:pt idx="22">
                    <c:v>Total</c:v>
                  </c:pt>
                  <c:pt idx="23">
                    <c:v>Total</c:v>
                  </c:pt>
                  <c:pt idx="24">
                    <c:v>Total</c:v>
                  </c:pt>
                  <c:pt idx="25">
                    <c:v>Total</c:v>
                  </c:pt>
                  <c:pt idx="26">
                    <c:v>Total</c:v>
                  </c:pt>
                  <c:pt idx="27">
                    <c:v>Total</c:v>
                  </c:pt>
                  <c:pt idx="28">
                    <c:v>Total</c:v>
                  </c:pt>
                  <c:pt idx="29">
                    <c:v>Total</c:v>
                  </c:pt>
                  <c:pt idx="30">
                    <c:v>Total</c:v>
                  </c:pt>
                  <c:pt idx="31">
                    <c:v>Total</c:v>
                  </c:pt>
                  <c:pt idx="32">
                    <c:v>Total</c:v>
                  </c:pt>
                  <c:pt idx="33">
                    <c:v>Total</c:v>
                  </c:pt>
                  <c:pt idx="34">
                    <c:v>Total</c:v>
                  </c:pt>
                  <c:pt idx="35">
                    <c:v>Total</c:v>
                  </c:pt>
                  <c:pt idx="36">
                    <c:v>Total</c:v>
                  </c:pt>
                  <c:pt idx="37">
                    <c:v>Total</c:v>
                  </c:pt>
                </c:lvl>
                <c:lvl>
                  <c:pt idx="0">
                    <c:v>Sum of RICE</c:v>
                  </c:pt>
                  <c:pt idx="1">
                    <c:v>Sum of ATTA</c:v>
                  </c:pt>
                  <c:pt idx="2">
                    <c:v>Sum of SUGAR</c:v>
                  </c:pt>
                  <c:pt idx="3">
                    <c:v>Sum of TUVAR DAL</c:v>
                  </c:pt>
                  <c:pt idx="4">
                    <c:v>Sum of G.OIL</c:v>
                  </c:pt>
                  <c:pt idx="5">
                    <c:v>Sum of TEA/COF POW</c:v>
                  </c:pt>
                  <c:pt idx="6">
                    <c:v>Sum of MILK/CURD</c:v>
                  </c:pt>
                  <c:pt idx="7">
                    <c:v>Sum of D WATER</c:v>
                  </c:pt>
                  <c:pt idx="8">
                    <c:v>Sum of HOTEL/SNACKS</c:v>
                  </c:pt>
                  <c:pt idx="9">
                    <c:v>Sum of BUT/GHEE</c:v>
                  </c:pt>
                  <c:pt idx="10">
                    <c:v>Sum of VEGETABLE</c:v>
                  </c:pt>
                  <c:pt idx="11">
                    <c:v>Sum of FRUITS</c:v>
                  </c:pt>
                  <c:pt idx="12">
                    <c:v>Sum of SOAP/TOILETRIES</c:v>
                  </c:pt>
                  <c:pt idx="13">
                    <c:v>Sum of RAVI EXPS</c:v>
                  </c:pt>
                  <c:pt idx="14">
                    <c:v>Sum of DAL/SPICES</c:v>
                  </c:pt>
                  <c:pt idx="15">
                    <c:v>Sum of FISH/CHI</c:v>
                  </c:pt>
                  <c:pt idx="16">
                    <c:v>Sum of Aquarium</c:v>
                  </c:pt>
                  <c:pt idx="17">
                    <c:v>Sum of GAS</c:v>
                  </c:pt>
                  <c:pt idx="18">
                    <c:v>Sum of PHONE REC</c:v>
                  </c:pt>
                  <c:pt idx="19">
                    <c:v>Sum of EB BILL</c:v>
                  </c:pt>
                  <c:pt idx="20">
                    <c:v>Sum of AIRTEL/JIO</c:v>
                  </c:pt>
                  <c:pt idx="21">
                    <c:v>Sum of JAYA DOC/SIP</c:v>
                  </c:pt>
                  <c:pt idx="22">
                    <c:v>Sum of BUS/AUTO</c:v>
                  </c:pt>
                  <c:pt idx="23">
                    <c:v>Sum of JAYA EXPS</c:v>
                  </c:pt>
                  <c:pt idx="24">
                    <c:v>Sum of HO POOJA</c:v>
                  </c:pt>
                  <c:pt idx="25">
                    <c:v>Sum of VEH EXPS</c:v>
                  </c:pt>
                  <c:pt idx="26">
                    <c:v>Sum of SUSH EXPS</c:v>
                  </c:pt>
                  <c:pt idx="27">
                    <c:v>Sum of SUSH SIP/DOC</c:v>
                  </c:pt>
                  <c:pt idx="28">
                    <c:v>Sum of AYYA A/C</c:v>
                  </c:pt>
                  <c:pt idx="29">
                    <c:v>Sum of MEDICINE</c:v>
                  </c:pt>
                  <c:pt idx="30">
                    <c:v>Sum of MUM AYYA</c:v>
                  </c:pt>
                  <c:pt idx="31">
                    <c:v>Sum of MISC EXPS</c:v>
                  </c:pt>
                  <c:pt idx="32">
                    <c:v>Sum of HO RENT</c:v>
                  </c:pt>
                  <c:pt idx="33">
                    <c:v>Sum of GOLDCHIT</c:v>
                  </c:pt>
                  <c:pt idx="34">
                    <c:v>Sum of PETROL EXPS</c:v>
                  </c:pt>
                  <c:pt idx="35">
                    <c:v>Sum of KITCHEN APP</c:v>
                  </c:pt>
                  <c:pt idx="36">
                    <c:v>Sum of PLANTS</c:v>
                  </c:pt>
                  <c:pt idx="37">
                    <c:v>Sum of DONATION</c:v>
                  </c:pt>
                </c:lvl>
              </c:multiLvlStrCache>
            </c:multiLvlStrRef>
          </c:cat>
          <c:val>
            <c:numRef>
              <c:f>pivots!$B$52:$B$165</c:f>
              <c:numCache>
                <c:formatCode>General</c:formatCode>
                <c:ptCount val="38"/>
                <c:pt idx="0">
                  <c:v>8225</c:v>
                </c:pt>
                <c:pt idx="1">
                  <c:v>2558</c:v>
                </c:pt>
                <c:pt idx="2">
                  <c:v>2135</c:v>
                </c:pt>
                <c:pt idx="3">
                  <c:v>2246</c:v>
                </c:pt>
                <c:pt idx="4">
                  <c:v>8968</c:v>
                </c:pt>
                <c:pt idx="5">
                  <c:v>3372</c:v>
                </c:pt>
                <c:pt idx="6">
                  <c:v>13696</c:v>
                </c:pt>
                <c:pt idx="7">
                  <c:v>4960</c:v>
                </c:pt>
                <c:pt idx="8">
                  <c:v>32831.35</c:v>
                </c:pt>
                <c:pt idx="9">
                  <c:v>5867</c:v>
                </c:pt>
                <c:pt idx="10">
                  <c:v>13485</c:v>
                </c:pt>
                <c:pt idx="11">
                  <c:v>12635</c:v>
                </c:pt>
                <c:pt idx="12">
                  <c:v>10337</c:v>
                </c:pt>
                <c:pt idx="13">
                  <c:v>15197</c:v>
                </c:pt>
                <c:pt idx="14">
                  <c:v>18762</c:v>
                </c:pt>
                <c:pt idx="15">
                  <c:v>18132</c:v>
                </c:pt>
                <c:pt idx="16">
                  <c:v>20255</c:v>
                </c:pt>
                <c:pt idx="17">
                  <c:v>10690</c:v>
                </c:pt>
                <c:pt idx="18">
                  <c:v>4044</c:v>
                </c:pt>
                <c:pt idx="19">
                  <c:v>11716</c:v>
                </c:pt>
                <c:pt idx="20">
                  <c:v>16015.479999999998</c:v>
                </c:pt>
                <c:pt idx="21">
                  <c:v>63970</c:v>
                </c:pt>
                <c:pt idx="22">
                  <c:v>12292.34</c:v>
                </c:pt>
                <c:pt idx="23">
                  <c:v>49177</c:v>
                </c:pt>
                <c:pt idx="24">
                  <c:v>37213</c:v>
                </c:pt>
                <c:pt idx="25">
                  <c:v>100820</c:v>
                </c:pt>
                <c:pt idx="26">
                  <c:v>143898.15000000002</c:v>
                </c:pt>
                <c:pt idx="27">
                  <c:v>25400</c:v>
                </c:pt>
                <c:pt idx="28">
                  <c:v>35100.33</c:v>
                </c:pt>
                <c:pt idx="29">
                  <c:v>16683</c:v>
                </c:pt>
                <c:pt idx="30">
                  <c:v>26100</c:v>
                </c:pt>
                <c:pt idx="31">
                  <c:v>34880.450000000004</c:v>
                </c:pt>
                <c:pt idx="32">
                  <c:v>114000</c:v>
                </c:pt>
                <c:pt idx="33">
                  <c:v>60050</c:v>
                </c:pt>
                <c:pt idx="34">
                  <c:v>2820</c:v>
                </c:pt>
                <c:pt idx="35">
                  <c:v>12020.64</c:v>
                </c:pt>
                <c:pt idx="36">
                  <c:v>9825</c:v>
                </c:pt>
                <c:pt idx="37">
                  <c:v>4015.02</c:v>
                </c:pt>
              </c:numCache>
            </c:numRef>
          </c:val>
          <c:smooth val="0"/>
          <c:extLst>
            <c:ext xmlns:c16="http://schemas.microsoft.com/office/drawing/2014/chart" uri="{C3380CC4-5D6E-409C-BE32-E72D297353CC}">
              <c16:uniqueId val="{00000000-1AA3-483D-87DB-0E115D0EE407}"/>
            </c:ext>
          </c:extLst>
        </c:ser>
        <c:dLbls>
          <c:dLblPos val="t"/>
          <c:showLegendKey val="0"/>
          <c:showVal val="1"/>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506249160"/>
        <c:axId val="506250472"/>
      </c:lineChart>
      <c:catAx>
        <c:axId val="506249160"/>
        <c:scaling>
          <c:orientation val="minMax"/>
        </c:scaling>
        <c:delete val="1"/>
        <c:axPos val="b"/>
        <c:numFmt formatCode="General" sourceLinked="1"/>
        <c:majorTickMark val="out"/>
        <c:minorTickMark val="none"/>
        <c:tickLblPos val="nextTo"/>
        <c:crossAx val="506250472"/>
        <c:crosses val="autoZero"/>
        <c:auto val="1"/>
        <c:lblAlgn val="ctr"/>
        <c:lblOffset val="100"/>
        <c:noMultiLvlLbl val="0"/>
      </c:catAx>
      <c:valAx>
        <c:axId val="5062504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506249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1.xlsx]pivots!PivotTable11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RICE</a:t>
            </a:r>
            <a:r>
              <a:rPr lang="en-IN" baseline="0"/>
              <a:t> AND ATTA EPENSES IN 2020</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pivots!$G$71</c:f>
              <c:strCache>
                <c:ptCount val="1"/>
                <c:pt idx="0">
                  <c:v>Sum of ATTA</c:v>
                </c:pt>
              </c:strCache>
            </c:strRef>
          </c:tx>
          <c:spPr>
            <a:solidFill>
              <a:schemeClr val="accent1"/>
            </a:solidFill>
            <a:ln>
              <a:noFill/>
            </a:ln>
            <a:effectLst/>
          </c:spPr>
          <c:invertIfNegative val="0"/>
          <c:cat>
            <c:strRef>
              <c:f>pivots!$G$72</c:f>
              <c:strCache>
                <c:ptCount val="1"/>
                <c:pt idx="0">
                  <c:v>Total</c:v>
                </c:pt>
              </c:strCache>
            </c:strRef>
          </c:cat>
          <c:val>
            <c:numRef>
              <c:f>pivots!$G$72</c:f>
              <c:numCache>
                <c:formatCode>General</c:formatCode>
                <c:ptCount val="1"/>
                <c:pt idx="0">
                  <c:v>1641</c:v>
                </c:pt>
              </c:numCache>
            </c:numRef>
          </c:val>
          <c:extLst>
            <c:ext xmlns:c16="http://schemas.microsoft.com/office/drawing/2014/chart" uri="{C3380CC4-5D6E-409C-BE32-E72D297353CC}">
              <c16:uniqueId val="{00000000-0C6F-4A65-A971-25E9E180FCF3}"/>
            </c:ext>
          </c:extLst>
        </c:ser>
        <c:ser>
          <c:idx val="1"/>
          <c:order val="1"/>
          <c:tx>
            <c:strRef>
              <c:f>pivots!$H$71</c:f>
              <c:strCache>
                <c:ptCount val="1"/>
                <c:pt idx="0">
                  <c:v>Sum of RICE</c:v>
                </c:pt>
              </c:strCache>
            </c:strRef>
          </c:tx>
          <c:spPr>
            <a:solidFill>
              <a:schemeClr val="accent2"/>
            </a:solidFill>
            <a:ln>
              <a:noFill/>
            </a:ln>
            <a:effectLst/>
          </c:spPr>
          <c:invertIfNegative val="0"/>
          <c:cat>
            <c:strRef>
              <c:f>pivots!$G$72</c:f>
              <c:strCache>
                <c:ptCount val="1"/>
                <c:pt idx="0">
                  <c:v>Total</c:v>
                </c:pt>
              </c:strCache>
            </c:strRef>
          </c:cat>
          <c:val>
            <c:numRef>
              <c:f>pivots!$H$72</c:f>
              <c:numCache>
                <c:formatCode>General</c:formatCode>
                <c:ptCount val="1"/>
                <c:pt idx="0">
                  <c:v>4961</c:v>
                </c:pt>
              </c:numCache>
            </c:numRef>
          </c:val>
          <c:extLst>
            <c:ext xmlns:c16="http://schemas.microsoft.com/office/drawing/2014/chart" uri="{C3380CC4-5D6E-409C-BE32-E72D297353CC}">
              <c16:uniqueId val="{00000001-0C6F-4A65-A971-25E9E180FCF3}"/>
            </c:ext>
          </c:extLst>
        </c:ser>
        <c:dLbls>
          <c:showLegendKey val="0"/>
          <c:showVal val="0"/>
          <c:showCatName val="0"/>
          <c:showSerName val="0"/>
          <c:showPercent val="0"/>
          <c:showBubbleSize val="0"/>
        </c:dLbls>
        <c:gapWidth val="150"/>
        <c:axId val="975005408"/>
        <c:axId val="975006064"/>
      </c:barChart>
      <c:catAx>
        <c:axId val="97500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006064"/>
        <c:crosses val="autoZero"/>
        <c:auto val="1"/>
        <c:lblAlgn val="ctr"/>
        <c:lblOffset val="100"/>
        <c:noMultiLvlLbl val="0"/>
      </c:catAx>
      <c:valAx>
        <c:axId val="975006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EXPENSES</a:t>
                </a:r>
              </a:p>
            </c:rich>
          </c:tx>
          <c:layout>
            <c:manualLayout>
              <c:xMode val="edge"/>
              <c:yMode val="edge"/>
              <c:x val="4.4444444444444446E-2"/>
              <c:y val="0.376511373578302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005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[PORTFOLIO PROJECT 1.xlsx]WHOLE 3 YEAR VIEW!PivotTable1</c:name>
    <c:fmtId val="3"/>
  </c:pivotSource>
  <c:chart>
    <c:title>
      <c:tx>
        <c:rich>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r>
              <a:rPr lang="en-US">
                <a:solidFill>
                  <a:sysClr val="windowText" lastClr="000000"/>
                </a:solidFill>
              </a:rPr>
              <a:t>3</a:t>
            </a:r>
            <a:r>
              <a:rPr lang="en-US" baseline="0">
                <a:solidFill>
                  <a:sysClr val="windowText" lastClr="000000"/>
                </a:solidFill>
              </a:rPr>
              <a:t> YEAR EXPENSES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43503502459544E-2"/>
          <c:y val="0.20618641900531665"/>
          <c:w val="0.83202502998383476"/>
          <c:h val="0.36480086143078266"/>
        </c:manualLayout>
      </c:layout>
      <c:barChart>
        <c:barDir val="col"/>
        <c:grouping val="clustered"/>
        <c:varyColors val="0"/>
        <c:ser>
          <c:idx val="0"/>
          <c:order val="0"/>
          <c:tx>
            <c:strRef>
              <c:f>'WHOLE 3 YEAR VIEW'!$B$3</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'WHOLE 3 YEAR VIEW'!$A$4:$A$42</c:f>
              <c:strCache>
                <c:ptCount val="38"/>
                <c:pt idx="0">
                  <c:v>SUSH EXPS</c:v>
                </c:pt>
                <c:pt idx="1">
                  <c:v>HO RENT</c:v>
                </c:pt>
                <c:pt idx="2">
                  <c:v>MISC EXPS</c:v>
                </c:pt>
                <c:pt idx="3">
                  <c:v>JAYA DOC/SIP</c:v>
                </c:pt>
                <c:pt idx="4">
                  <c:v>RAVI EXPS</c:v>
                </c:pt>
                <c:pt idx="5">
                  <c:v>MUM AYYA</c:v>
                </c:pt>
                <c:pt idx="6">
                  <c:v>GOLDCHIT</c:v>
                </c:pt>
                <c:pt idx="7">
                  <c:v>JAYA EXPS</c:v>
                </c:pt>
                <c:pt idx="8">
                  <c:v>VEH EXPS</c:v>
                </c:pt>
                <c:pt idx="9">
                  <c:v>HOTEL/SNACKS</c:v>
                </c:pt>
                <c:pt idx="10">
                  <c:v>HO POOJA</c:v>
                </c:pt>
                <c:pt idx="11">
                  <c:v>AYYA A/C</c:v>
                </c:pt>
                <c:pt idx="12">
                  <c:v>BUS/AUTO</c:v>
                </c:pt>
                <c:pt idx="13">
                  <c:v>SUSH SIP/DOC</c:v>
                </c:pt>
                <c:pt idx="14">
                  <c:v>DAL/SPICES</c:v>
                </c:pt>
                <c:pt idx="15">
                  <c:v>AIRTEL/JIO</c:v>
                </c:pt>
                <c:pt idx="16">
                  <c:v>FISH/CHI</c:v>
                </c:pt>
                <c:pt idx="17">
                  <c:v>MEDICINE</c:v>
                </c:pt>
                <c:pt idx="18">
                  <c:v>MILK/CURD</c:v>
                </c:pt>
                <c:pt idx="19">
                  <c:v>VEGETABLE</c:v>
                </c:pt>
                <c:pt idx="20">
                  <c:v>FRUITS</c:v>
                </c:pt>
                <c:pt idx="21">
                  <c:v>KITCHEN APP</c:v>
                </c:pt>
                <c:pt idx="22">
                  <c:v>EB BILL</c:v>
                </c:pt>
                <c:pt idx="23">
                  <c:v>GAS</c:v>
                </c:pt>
                <c:pt idx="24">
                  <c:v>SOAP/TOILETRIES</c:v>
                </c:pt>
                <c:pt idx="25">
                  <c:v>Aquarium</c:v>
                </c:pt>
                <c:pt idx="26">
                  <c:v>RICE</c:v>
                </c:pt>
                <c:pt idx="27">
                  <c:v>G.OIL</c:v>
                </c:pt>
                <c:pt idx="28">
                  <c:v>PLANTS</c:v>
                </c:pt>
                <c:pt idx="29">
                  <c:v>PHONE REC</c:v>
                </c:pt>
                <c:pt idx="30">
                  <c:v>BUT/GHEE</c:v>
                </c:pt>
                <c:pt idx="31">
                  <c:v>D WATER</c:v>
                </c:pt>
                <c:pt idx="32">
                  <c:v>PETROL EXPS</c:v>
                </c:pt>
                <c:pt idx="33">
                  <c:v>TEA/COF POW</c:v>
                </c:pt>
                <c:pt idx="34">
                  <c:v>DONATION</c:v>
                </c:pt>
                <c:pt idx="35">
                  <c:v>ATTA</c:v>
                </c:pt>
                <c:pt idx="36">
                  <c:v>TUVAR DAL</c:v>
                </c:pt>
                <c:pt idx="37">
                  <c:v>SUGAR</c:v>
                </c:pt>
              </c:strCache>
            </c:strRef>
          </c:cat>
          <c:val>
            <c:numRef>
              <c:f>'WHOLE 3 YEAR VIEW'!$B$4:$B$42</c:f>
              <c:numCache>
                <c:formatCode>General</c:formatCode>
                <c:ptCount val="38"/>
                <c:pt idx="0">
                  <c:v>346860.91000000003</c:v>
                </c:pt>
                <c:pt idx="1">
                  <c:v>323000</c:v>
                </c:pt>
                <c:pt idx="2">
                  <c:v>173033.23</c:v>
                </c:pt>
                <c:pt idx="3">
                  <c:v>151870</c:v>
                </c:pt>
                <c:pt idx="4">
                  <c:v>147548</c:v>
                </c:pt>
                <c:pt idx="5">
                  <c:v>142100</c:v>
                </c:pt>
                <c:pt idx="6">
                  <c:v>135480</c:v>
                </c:pt>
                <c:pt idx="7">
                  <c:v>121496.61</c:v>
                </c:pt>
                <c:pt idx="8">
                  <c:v>102306</c:v>
                </c:pt>
                <c:pt idx="9">
                  <c:v>101019.66999999998</c:v>
                </c:pt>
                <c:pt idx="10">
                  <c:v>85168.01999999999</c:v>
                </c:pt>
                <c:pt idx="11">
                  <c:v>84227.13</c:v>
                </c:pt>
                <c:pt idx="12">
                  <c:v>59441.210000000006</c:v>
                </c:pt>
                <c:pt idx="13">
                  <c:v>51900</c:v>
                </c:pt>
                <c:pt idx="14">
                  <c:v>47402</c:v>
                </c:pt>
                <c:pt idx="15">
                  <c:v>44285.859999999993</c:v>
                </c:pt>
                <c:pt idx="16">
                  <c:v>40897</c:v>
                </c:pt>
                <c:pt idx="17">
                  <c:v>35593</c:v>
                </c:pt>
                <c:pt idx="18">
                  <c:v>33107</c:v>
                </c:pt>
                <c:pt idx="19">
                  <c:v>32543</c:v>
                </c:pt>
                <c:pt idx="20">
                  <c:v>30883</c:v>
                </c:pt>
                <c:pt idx="21">
                  <c:v>29489.64</c:v>
                </c:pt>
                <c:pt idx="22">
                  <c:v>29204</c:v>
                </c:pt>
                <c:pt idx="23">
                  <c:v>25250</c:v>
                </c:pt>
                <c:pt idx="24">
                  <c:v>24528</c:v>
                </c:pt>
                <c:pt idx="25">
                  <c:v>21764</c:v>
                </c:pt>
                <c:pt idx="26">
                  <c:v>19922</c:v>
                </c:pt>
                <c:pt idx="27">
                  <c:v>19764</c:v>
                </c:pt>
                <c:pt idx="28">
                  <c:v>17238</c:v>
                </c:pt>
                <c:pt idx="29">
                  <c:v>14704</c:v>
                </c:pt>
                <c:pt idx="30">
                  <c:v>13372</c:v>
                </c:pt>
                <c:pt idx="31">
                  <c:v>11010</c:v>
                </c:pt>
                <c:pt idx="32">
                  <c:v>7605.09</c:v>
                </c:pt>
                <c:pt idx="33">
                  <c:v>6929</c:v>
                </c:pt>
                <c:pt idx="34">
                  <c:v>6926.02</c:v>
                </c:pt>
                <c:pt idx="35">
                  <c:v>5989</c:v>
                </c:pt>
                <c:pt idx="36">
                  <c:v>5791</c:v>
                </c:pt>
                <c:pt idx="37">
                  <c:v>4477</c:v>
                </c:pt>
              </c:numCache>
            </c:numRef>
          </c:val>
          <c:extLst>
            <c:ext xmlns:c16="http://schemas.microsoft.com/office/drawing/2014/chart" uri="{C3380CC4-5D6E-409C-BE32-E72D297353CC}">
              <c16:uniqueId val="{00000001-110C-4AC1-BA43-D7A91A815301}"/>
            </c:ext>
          </c:extLst>
        </c:ser>
        <c:dLbls>
          <c:dLblPos val="outEnd"/>
          <c:showLegendKey val="0"/>
          <c:showVal val="1"/>
          <c:showCatName val="0"/>
          <c:showSerName val="0"/>
          <c:showPercent val="0"/>
          <c:showBubbleSize val="0"/>
        </c:dLbls>
        <c:gapWidth val="444"/>
        <c:overlap val="-90"/>
        <c:axId val="475761576"/>
        <c:axId val="475763216"/>
      </c:barChart>
      <c:catAx>
        <c:axId val="4757615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r>
                  <a:rPr lang="en-IN">
                    <a:solidFill>
                      <a:sysClr val="windowText" lastClr="000000"/>
                    </a:solidFill>
                  </a:rPr>
                  <a:t>ITEMS</a:t>
                </a:r>
              </a:p>
            </c:rich>
          </c:tx>
          <c:layout>
            <c:manualLayout>
              <c:xMode val="edge"/>
              <c:yMode val="edge"/>
              <c:x val="0.4609381376996749"/>
              <c:y val="0.8640527626354398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solidFill>
            <a:schemeClr val="bg1"/>
          </a:solid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75763216"/>
        <c:crosses val="autoZero"/>
        <c:auto val="1"/>
        <c:lblAlgn val="ctr"/>
        <c:lblOffset val="100"/>
        <c:noMultiLvlLbl val="0"/>
      </c:catAx>
      <c:valAx>
        <c:axId val="475763216"/>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761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SUSH EXPS -2020</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'FORMATTED DATA'!$B$3</c:f>
              <c:strCache>
                <c:ptCount val="1"/>
                <c:pt idx="0">
                  <c:v>SUSH EXPS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trendline>
            <c:spPr>
              <a:ln w="19050" cap="rnd">
                <a:solidFill>
                  <a:schemeClr val="accent1"/>
                </a:solidFill>
              </a:ln>
              <a:effectLst/>
            </c:spPr>
            <c:trendlineType val="linear"/>
            <c:dispRSqr val="0"/>
            <c:dispEq val="0"/>
          </c:trendline>
          <c:cat>
            <c:strRef>
              <c:f>'FORMATTED DATA'!$C$2:$N$2</c:f>
              <c:strCache>
                <c:ptCount val="12"/>
                <c:pt idx="0">
                  <c:v> JAN 20</c:v>
                </c:pt>
                <c:pt idx="1">
                  <c:v> FEB 20</c:v>
                </c:pt>
                <c:pt idx="2">
                  <c:v> MAR 20</c:v>
                </c:pt>
                <c:pt idx="3">
                  <c:v> APRIL 20</c:v>
                </c:pt>
                <c:pt idx="4">
                  <c:v> MAY 20</c:v>
                </c:pt>
                <c:pt idx="5">
                  <c:v> JUNE 20</c:v>
                </c:pt>
                <c:pt idx="6">
                  <c:v> JULY 20</c:v>
                </c:pt>
                <c:pt idx="7">
                  <c:v> AUG 20</c:v>
                </c:pt>
                <c:pt idx="8">
                  <c:v> SEPT 20</c:v>
                </c:pt>
                <c:pt idx="9">
                  <c:v> OCT 20</c:v>
                </c:pt>
                <c:pt idx="10">
                  <c:v> NOV 20</c:v>
                </c:pt>
                <c:pt idx="11">
                  <c:v> DEC 20</c:v>
                </c:pt>
              </c:strCache>
            </c:strRef>
          </c:cat>
          <c:val>
            <c:numRef>
              <c:f>'FORMATTED DATA'!$C$3:$N$3</c:f>
              <c:numCache>
                <c:formatCode>0.00</c:formatCode>
                <c:ptCount val="12"/>
                <c:pt idx="0">
                  <c:v>2795</c:v>
                </c:pt>
                <c:pt idx="2">
                  <c:v>2380</c:v>
                </c:pt>
                <c:pt idx="3">
                  <c:v>495</c:v>
                </c:pt>
                <c:pt idx="4">
                  <c:v>3100</c:v>
                </c:pt>
                <c:pt idx="5">
                  <c:v>1064</c:v>
                </c:pt>
                <c:pt idx="6">
                  <c:v>1030</c:v>
                </c:pt>
                <c:pt idx="7">
                  <c:v>45730.22</c:v>
                </c:pt>
                <c:pt idx="8">
                  <c:v>1600</c:v>
                </c:pt>
                <c:pt idx="9">
                  <c:v>3724</c:v>
                </c:pt>
                <c:pt idx="10">
                  <c:v>3560</c:v>
                </c:pt>
                <c:pt idx="11">
                  <c:v>2180</c:v>
                </c:pt>
              </c:numCache>
            </c:numRef>
          </c:val>
          <c:smooth val="0"/>
          <c:extLst>
            <c:ext xmlns:c16="http://schemas.microsoft.com/office/drawing/2014/chart" uri="{C3380CC4-5D6E-409C-BE32-E72D297353CC}">
              <c16:uniqueId val="{00000002-C289-4201-9BAA-D0D6921BF2E8}"/>
            </c:ext>
          </c:extLst>
        </c:ser>
        <c:dLbls>
          <c:dLblPos val="t"/>
          <c:showLegendKey val="0"/>
          <c:showVal val="1"/>
          <c:showCatName val="0"/>
          <c:showSerName val="0"/>
          <c:showPercent val="0"/>
          <c:showBubbleSize val="0"/>
        </c:dLbls>
        <c:smooth val="0"/>
        <c:axId val="1019545616"/>
        <c:axId val="1019544632"/>
      </c:lineChart>
      <c:catAx>
        <c:axId val="10195456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a:t>
                </a:r>
                <a:r>
                  <a:rPr lang="en-IN" baseline="0"/>
                  <a:t> 2020</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9544632"/>
        <c:crosses val="autoZero"/>
        <c:auto val="1"/>
        <c:lblAlgn val="ctr"/>
        <c:lblOffset val="100"/>
        <c:noMultiLvlLbl val="0"/>
      </c:catAx>
      <c:valAx>
        <c:axId val="101954463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954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SUSH EXPS -2021</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'FORMATTED DATA'!$B$3</c:f>
              <c:strCache>
                <c:ptCount val="1"/>
                <c:pt idx="0">
                  <c:v>SUSH EXPS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trendline>
            <c:spPr>
              <a:ln w="19050" cap="rnd">
                <a:solidFill>
                  <a:schemeClr val="accent1"/>
                </a:solidFill>
              </a:ln>
              <a:effectLst/>
            </c:spPr>
            <c:trendlineType val="linear"/>
            <c:dispRSqr val="0"/>
            <c:dispEq val="0"/>
          </c:trendline>
          <c:cat>
            <c:strRef>
              <c:f>'FORMATTED DATA'!$O$2:$Z$2</c:f>
              <c:strCache>
                <c:ptCount val="12"/>
                <c:pt idx="0">
                  <c:v> JAN 21</c:v>
                </c:pt>
                <c:pt idx="1">
                  <c:v> FEB 21</c:v>
                </c:pt>
                <c:pt idx="2">
                  <c:v> MAR 21</c:v>
                </c:pt>
                <c:pt idx="3">
                  <c:v> APRIL 21</c:v>
                </c:pt>
                <c:pt idx="4">
                  <c:v> MAY 21</c:v>
                </c:pt>
                <c:pt idx="5">
                  <c:v> JUNE 21</c:v>
                </c:pt>
                <c:pt idx="6">
                  <c:v> JULY 21</c:v>
                </c:pt>
                <c:pt idx="7">
                  <c:v> AUG 21</c:v>
                </c:pt>
                <c:pt idx="8">
                  <c:v> SEPT 21</c:v>
                </c:pt>
                <c:pt idx="9">
                  <c:v> OCT 21</c:v>
                </c:pt>
                <c:pt idx="10">
                  <c:v> NOV 21</c:v>
                </c:pt>
                <c:pt idx="11">
                  <c:v> DEC 21</c:v>
                </c:pt>
              </c:strCache>
            </c:strRef>
          </c:cat>
          <c:val>
            <c:numRef>
              <c:f>'FORMATTED DATA'!$O$3:$Z$3</c:f>
              <c:numCache>
                <c:formatCode>0.00</c:formatCode>
                <c:ptCount val="12"/>
                <c:pt idx="0">
                  <c:v>5155.38</c:v>
                </c:pt>
                <c:pt idx="1">
                  <c:v>15113</c:v>
                </c:pt>
                <c:pt idx="2">
                  <c:v>3934</c:v>
                </c:pt>
                <c:pt idx="3">
                  <c:v>4578</c:v>
                </c:pt>
                <c:pt idx="4">
                  <c:v>30241</c:v>
                </c:pt>
                <c:pt idx="5">
                  <c:v>2974</c:v>
                </c:pt>
                <c:pt idx="6">
                  <c:v>1827</c:v>
                </c:pt>
                <c:pt idx="7">
                  <c:v>15219.77</c:v>
                </c:pt>
                <c:pt idx="8">
                  <c:v>2470</c:v>
                </c:pt>
                <c:pt idx="9">
                  <c:v>52890</c:v>
                </c:pt>
                <c:pt idx="10">
                  <c:v>5862</c:v>
                </c:pt>
                <c:pt idx="11">
                  <c:v>3634</c:v>
                </c:pt>
              </c:numCache>
            </c:numRef>
          </c:val>
          <c:extLst>
            <c:ext xmlns:c16="http://schemas.microsoft.com/office/drawing/2014/chart" uri="{C3380CC4-5D6E-409C-BE32-E72D297353CC}">
              <c16:uniqueId val="{00000002-86E3-4586-9E0F-AAD2C8E7010B}"/>
            </c:ext>
          </c:extLst>
        </c:ser>
        <c:dLbls>
          <c:dLblPos val="outEnd"/>
          <c:showLegendKey val="0"/>
          <c:showVal val="1"/>
          <c:showCatName val="0"/>
          <c:showSerName val="0"/>
          <c:showPercent val="0"/>
          <c:showBubbleSize val="0"/>
        </c:dLbls>
        <c:gapWidth val="100"/>
        <c:overlap val="-24"/>
        <c:axId val="538758584"/>
        <c:axId val="538755632"/>
      </c:barChart>
      <c:catAx>
        <c:axId val="5387585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 2021</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8755632"/>
        <c:crosses val="autoZero"/>
        <c:auto val="1"/>
        <c:lblAlgn val="ctr"/>
        <c:lblOffset val="100"/>
        <c:noMultiLvlLbl val="0"/>
      </c:catAx>
      <c:valAx>
        <c:axId val="53875563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8758584"/>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SUSH EXPS-2022</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3332052785661014"/>
          <c:y val="0.23646766169154229"/>
          <c:w val="0.83337649172331341"/>
          <c:h val="0.53383907235476158"/>
        </c:manualLayout>
      </c:layout>
      <c:lineChart>
        <c:grouping val="standard"/>
        <c:varyColors val="0"/>
        <c:ser>
          <c:idx val="0"/>
          <c:order val="0"/>
          <c:tx>
            <c:strRef>
              <c:f>'FORMATTED DATA'!$B$3</c:f>
              <c:strCache>
                <c:ptCount val="1"/>
                <c:pt idx="0">
                  <c:v>SUSH EXPS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'FORMATTED DATA'!$AA$2:$AJ$2</c:f>
              <c:strCache>
                <c:ptCount val="10"/>
                <c:pt idx="0">
                  <c:v> JAN 22</c:v>
                </c:pt>
                <c:pt idx="1">
                  <c:v> FEB 22</c:v>
                </c:pt>
                <c:pt idx="2">
                  <c:v> MAR 22</c:v>
                </c:pt>
                <c:pt idx="3">
                  <c:v> APR 22</c:v>
                </c:pt>
                <c:pt idx="4">
                  <c:v> MAY 22</c:v>
                </c:pt>
                <c:pt idx="5">
                  <c:v> JUNE 22</c:v>
                </c:pt>
                <c:pt idx="6">
                  <c:v> JULY 22</c:v>
                </c:pt>
                <c:pt idx="7">
                  <c:v> AUG 22</c:v>
                </c:pt>
                <c:pt idx="8">
                  <c:v> SEPT 22</c:v>
                </c:pt>
                <c:pt idx="9">
                  <c:v> OCT 22</c:v>
                </c:pt>
              </c:strCache>
            </c:strRef>
          </c:cat>
          <c:val>
            <c:numRef>
              <c:f>'FORMATTED DATA'!$AA$3:$AJ$3</c:f>
              <c:numCache>
                <c:formatCode>0.00</c:formatCode>
                <c:ptCount val="10"/>
                <c:pt idx="0">
                  <c:v>7957.51</c:v>
                </c:pt>
                <c:pt idx="1">
                  <c:v>2160</c:v>
                </c:pt>
                <c:pt idx="2">
                  <c:v>26095</c:v>
                </c:pt>
                <c:pt idx="3">
                  <c:v>1088</c:v>
                </c:pt>
                <c:pt idx="4">
                  <c:v>36615</c:v>
                </c:pt>
                <c:pt idx="5">
                  <c:v>10919</c:v>
                </c:pt>
                <c:pt idx="6">
                  <c:v>15091</c:v>
                </c:pt>
                <c:pt idx="7">
                  <c:v>7854.0300000000007</c:v>
                </c:pt>
                <c:pt idx="8">
                  <c:v>16660</c:v>
                </c:pt>
                <c:pt idx="9">
                  <c:v>10865</c:v>
                </c:pt>
              </c:numCache>
            </c:numRef>
          </c:val>
          <c:smooth val="0"/>
          <c:extLst>
            <c:ext xmlns:c16="http://schemas.microsoft.com/office/drawing/2014/chart" uri="{C3380CC4-5D6E-409C-BE32-E72D297353CC}">
              <c16:uniqueId val="{00000001-1D2A-45B1-9F36-FAF7A9AFDEBA}"/>
            </c:ext>
          </c:extLst>
        </c:ser>
        <c:dLbls>
          <c:dLblPos val="t"/>
          <c:showLegendKey val="0"/>
          <c:showVal val="1"/>
          <c:showCatName val="0"/>
          <c:showSerName val="0"/>
          <c:showPercent val="0"/>
          <c:showBubbleSize val="0"/>
        </c:dLbls>
        <c:smooth val="0"/>
        <c:axId val="538755960"/>
        <c:axId val="538754320"/>
      </c:lineChart>
      <c:catAx>
        <c:axId val="5387559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a:t>
                </a:r>
                <a:r>
                  <a:rPr lang="en-IN" baseline="0"/>
                  <a:t> 2022</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8754320"/>
        <c:crosses val="autoZero"/>
        <c:auto val="1"/>
        <c:lblAlgn val="ctr"/>
        <c:lblOffset val="100"/>
        <c:noMultiLvlLbl val="0"/>
      </c:catAx>
      <c:valAx>
        <c:axId val="53875432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875596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absolute">
    <xdr:from>
      <xdr:col>0</xdr:col>
      <xdr:colOff>76200</xdr:colOff>
      <xdr:row>3</xdr:row>
      <xdr:rowOff>19050</xdr:rowOff>
    </xdr:from>
    <xdr:to>
      <xdr:col>0</xdr:col>
      <xdr:colOff>1447800</xdr:colOff>
      <xdr:row>13</xdr:row>
      <xdr:rowOff>66675</xdr:rowOff>
    </xdr:to>
    <mc:AlternateContent xmlns:mc="http://schemas.openxmlformats.org/markup-compatibility/2006" xmlns:sle15="http://schemas.microsoft.com/office/drawing/2012/slicer">
      <mc:Choice Requires="sle15">
        <xdr:graphicFrame macro="">
          <xdr:nvGraphicFramePr>
            <xdr:cNvPr id="2" name="ITEMS">
              <a:extLst>
                <a:ext uri="{FF2B5EF4-FFF2-40B4-BE49-F238E27FC236}">
                  <a16:creationId xmlns:a16="http://schemas.microsoft.com/office/drawing/2014/main" id="{C3C7139E-F2C9-63AE-E313-70D6DC314433}"/>
                </a:ext>
              </a:extLst>
            </xdr:cNvPr>
            <xdr:cNvGraphicFramePr/>
          </xdr:nvGraphicFramePr>
          <xdr:xfrm>
            <a:off x="0" y="0"/>
            <a:ext cx="0" cy="0"/>
          </xdr:xfrm>
          <a:graphic>
            <a:graphicData uri="http://schemas.microsoft.com/office/drawing/2010/slicer">
              <sle:slicer xmlns:sle="http://schemas.microsoft.com/office/drawing/2010/slicer" name="ITEMS"/>
            </a:graphicData>
          </a:graphic>
        </xdr:graphicFrame>
      </mc:Choice>
      <mc:Fallback xmlns="">
        <xdr:sp macro="" textlink="">
          <xdr:nvSpPr>
            <xdr:cNvPr id="0" name=""/>
            <xdr:cNvSpPr>
              <a:spLocks noTextEdit="1"/>
            </xdr:cNvSpPr>
          </xdr:nvSpPr>
          <xdr:spPr>
            <a:xfrm>
              <a:off x="76200" y="1019175"/>
              <a:ext cx="13716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85725</xdr:colOff>
      <xdr:row>3</xdr:row>
      <xdr:rowOff>9525</xdr:rowOff>
    </xdr:from>
    <xdr:to>
      <xdr:col>14</xdr:col>
      <xdr:colOff>571500</xdr:colOff>
      <xdr:row>22</xdr:row>
      <xdr:rowOff>104775</xdr:rowOff>
    </xdr:to>
    <xdr:graphicFrame macro="">
      <xdr:nvGraphicFramePr>
        <xdr:cNvPr id="2" name="3 YEAR CHART">
          <a:extLst>
            <a:ext uri="{FF2B5EF4-FFF2-40B4-BE49-F238E27FC236}">
              <a16:creationId xmlns:a16="http://schemas.microsoft.com/office/drawing/2014/main" id="{F6DDF63D-0B5D-8C82-9BEA-53C6EED30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352425</xdr:colOff>
      <xdr:row>4</xdr:row>
      <xdr:rowOff>142875</xdr:rowOff>
    </xdr:from>
    <xdr:to>
      <xdr:col>18</xdr:col>
      <xdr:colOff>352425</xdr:colOff>
      <xdr:row>18</xdr:row>
      <xdr:rowOff>0</xdr:rowOff>
    </xdr:to>
    <mc:AlternateContent xmlns:mc="http://schemas.openxmlformats.org/markup-compatibility/2006" xmlns:a14="http://schemas.microsoft.com/office/drawing/2010/main">
      <mc:Choice Requires="a14">
        <xdr:graphicFrame macro="">
          <xdr:nvGraphicFramePr>
            <xdr:cNvPr id="3" name="ITEMS 1">
              <a:extLst>
                <a:ext uri="{FF2B5EF4-FFF2-40B4-BE49-F238E27FC236}">
                  <a16:creationId xmlns:a16="http://schemas.microsoft.com/office/drawing/2014/main" id="{BB503EAD-63E0-04B1-BA3B-2A4EB1C51E26}"/>
                </a:ext>
              </a:extLst>
            </xdr:cNvPr>
            <xdr:cNvGraphicFramePr/>
          </xdr:nvGraphicFramePr>
          <xdr:xfrm>
            <a:off x="0" y="0"/>
            <a:ext cx="0" cy="0"/>
          </xdr:xfrm>
          <a:graphic>
            <a:graphicData uri="http://schemas.microsoft.com/office/drawing/2010/slicer">
              <sle:slicer xmlns:sle="http://schemas.microsoft.com/office/drawing/2010/slicer" name="ITEMS 1"/>
            </a:graphicData>
          </a:graphic>
        </xdr:graphicFrame>
      </mc:Choice>
      <mc:Fallback xmlns="">
        <xdr:sp macro="" textlink="">
          <xdr:nvSpPr>
            <xdr:cNvPr id="0" name=""/>
            <xdr:cNvSpPr>
              <a:spLocks noTextEdit="1"/>
            </xdr:cNvSpPr>
          </xdr:nvSpPr>
          <xdr:spPr>
            <a:xfrm>
              <a:off x="10258425" y="1190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933450</xdr:colOff>
      <xdr:row>2</xdr:row>
      <xdr:rowOff>28574</xdr:rowOff>
    </xdr:from>
    <xdr:to>
      <xdr:col>9</xdr:col>
      <xdr:colOff>647700</xdr:colOff>
      <xdr:row>19</xdr:row>
      <xdr:rowOff>152399</xdr:rowOff>
    </xdr:to>
    <xdr:graphicFrame macro="">
      <xdr:nvGraphicFramePr>
        <xdr:cNvPr id="2" name="Chart 1">
          <a:extLst>
            <a:ext uri="{FF2B5EF4-FFF2-40B4-BE49-F238E27FC236}">
              <a16:creationId xmlns:a16="http://schemas.microsoft.com/office/drawing/2014/main" id="{69997F15-9740-EBF8-FA06-6FF4F363B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657225</xdr:colOff>
      <xdr:row>3</xdr:row>
      <xdr:rowOff>171450</xdr:rowOff>
    </xdr:from>
    <xdr:to>
      <xdr:col>12</xdr:col>
      <xdr:colOff>571500</xdr:colOff>
      <xdr:row>17</xdr:row>
      <xdr:rowOff>28575</xdr:rowOff>
    </xdr:to>
    <mc:AlternateContent xmlns:mc="http://schemas.openxmlformats.org/markup-compatibility/2006" xmlns:a14="http://schemas.microsoft.com/office/drawing/2010/main">
      <mc:Choice Requires="a14">
        <xdr:graphicFrame macro="">
          <xdr:nvGraphicFramePr>
            <xdr:cNvPr id="3" name="ITEMS 4">
              <a:extLst>
                <a:ext uri="{FF2B5EF4-FFF2-40B4-BE49-F238E27FC236}">
                  <a16:creationId xmlns:a16="http://schemas.microsoft.com/office/drawing/2014/main" id="{3A50FAD5-A845-EA2D-71C5-3DE063E78CEE}"/>
                </a:ext>
              </a:extLst>
            </xdr:cNvPr>
            <xdr:cNvGraphicFramePr/>
          </xdr:nvGraphicFramePr>
          <xdr:xfrm>
            <a:off x="0" y="0"/>
            <a:ext cx="0" cy="0"/>
          </xdr:xfrm>
          <a:graphic>
            <a:graphicData uri="http://schemas.microsoft.com/office/drawing/2010/slicer">
              <sle:slicer xmlns:sle="http://schemas.microsoft.com/office/drawing/2010/slicer" name="ITEMS 4"/>
            </a:graphicData>
          </a:graphic>
        </xdr:graphicFrame>
      </mc:Choice>
      <mc:Fallback xmlns="">
        <xdr:sp macro="" textlink="">
          <xdr:nvSpPr>
            <xdr:cNvPr id="0" name=""/>
            <xdr:cNvSpPr>
              <a:spLocks noTextEdit="1"/>
            </xdr:cNvSpPr>
          </xdr:nvSpPr>
          <xdr:spPr>
            <a:xfrm>
              <a:off x="10210800" y="1200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3</xdr:col>
      <xdr:colOff>9525</xdr:colOff>
      <xdr:row>2</xdr:row>
      <xdr:rowOff>33337</xdr:rowOff>
    </xdr:from>
    <xdr:to>
      <xdr:col>9</xdr:col>
      <xdr:colOff>600075</xdr:colOff>
      <xdr:row>20</xdr:row>
      <xdr:rowOff>171451</xdr:rowOff>
    </xdr:to>
    <xdr:graphicFrame macro="">
      <xdr:nvGraphicFramePr>
        <xdr:cNvPr id="2" name="Chart 1">
          <a:extLst>
            <a:ext uri="{FF2B5EF4-FFF2-40B4-BE49-F238E27FC236}">
              <a16:creationId xmlns:a16="http://schemas.microsoft.com/office/drawing/2014/main" id="{B4684D0B-2E40-BE86-B2BC-123A5059C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161925</xdr:colOff>
      <xdr:row>3</xdr:row>
      <xdr:rowOff>9525</xdr:rowOff>
    </xdr:from>
    <xdr:to>
      <xdr:col>12</xdr:col>
      <xdr:colOff>76200</xdr:colOff>
      <xdr:row>16</xdr:row>
      <xdr:rowOff>57150</xdr:rowOff>
    </xdr:to>
    <mc:AlternateContent xmlns:mc="http://schemas.openxmlformats.org/markup-compatibility/2006" xmlns:a14="http://schemas.microsoft.com/office/drawing/2010/main">
      <mc:Choice Requires="a14">
        <xdr:graphicFrame macro="">
          <xdr:nvGraphicFramePr>
            <xdr:cNvPr id="3" name="ITEMS 2">
              <a:extLst>
                <a:ext uri="{FF2B5EF4-FFF2-40B4-BE49-F238E27FC236}">
                  <a16:creationId xmlns:a16="http://schemas.microsoft.com/office/drawing/2014/main" id="{44AFACFA-7323-CB01-E638-B963B56B8FAF}"/>
                </a:ext>
              </a:extLst>
            </xdr:cNvPr>
            <xdr:cNvGraphicFramePr/>
          </xdr:nvGraphicFramePr>
          <xdr:xfrm>
            <a:off x="0" y="0"/>
            <a:ext cx="0" cy="0"/>
          </xdr:xfrm>
          <a:graphic>
            <a:graphicData uri="http://schemas.microsoft.com/office/drawing/2010/slicer">
              <sle:slicer xmlns:sle="http://schemas.microsoft.com/office/drawing/2010/slicer" name="ITEMS 2"/>
            </a:graphicData>
          </a:graphic>
        </xdr:graphicFrame>
      </mc:Choice>
      <mc:Fallback xmlns="">
        <xdr:sp macro="" textlink="">
          <xdr:nvSpPr>
            <xdr:cNvPr id="0" name=""/>
            <xdr:cNvSpPr>
              <a:spLocks noTextEdit="1"/>
            </xdr:cNvSpPr>
          </xdr:nvSpPr>
          <xdr:spPr>
            <a:xfrm>
              <a:off x="9782175" y="1038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238125</xdr:colOff>
      <xdr:row>3</xdr:row>
      <xdr:rowOff>23811</xdr:rowOff>
    </xdr:from>
    <xdr:to>
      <xdr:col>8</xdr:col>
      <xdr:colOff>781050</xdr:colOff>
      <xdr:row>20</xdr:row>
      <xdr:rowOff>9524</xdr:rowOff>
    </xdr:to>
    <xdr:graphicFrame macro="">
      <xdr:nvGraphicFramePr>
        <xdr:cNvPr id="2" name="Chart 1">
          <a:extLst>
            <a:ext uri="{FF2B5EF4-FFF2-40B4-BE49-F238E27FC236}">
              <a16:creationId xmlns:a16="http://schemas.microsoft.com/office/drawing/2014/main" id="{563C7A67-7E72-1678-9FAE-AE03AEC30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514350</xdr:colOff>
      <xdr:row>3</xdr:row>
      <xdr:rowOff>9525</xdr:rowOff>
    </xdr:from>
    <xdr:to>
      <xdr:col>13</xdr:col>
      <xdr:colOff>514350</xdr:colOff>
      <xdr:row>16</xdr:row>
      <xdr:rowOff>57150</xdr:rowOff>
    </xdr:to>
    <mc:AlternateContent xmlns:mc="http://schemas.openxmlformats.org/markup-compatibility/2006" xmlns:a14="http://schemas.microsoft.com/office/drawing/2010/main">
      <mc:Choice Requires="a14">
        <xdr:graphicFrame macro="">
          <xdr:nvGraphicFramePr>
            <xdr:cNvPr id="3" name="ITEMS 3">
              <a:extLst>
                <a:ext uri="{FF2B5EF4-FFF2-40B4-BE49-F238E27FC236}">
                  <a16:creationId xmlns:a16="http://schemas.microsoft.com/office/drawing/2014/main" id="{412FB508-931C-16C8-DA53-AFD6DFEF63E7}"/>
                </a:ext>
              </a:extLst>
            </xdr:cNvPr>
            <xdr:cNvGraphicFramePr/>
          </xdr:nvGraphicFramePr>
          <xdr:xfrm>
            <a:off x="0" y="0"/>
            <a:ext cx="0" cy="0"/>
          </xdr:xfrm>
          <a:graphic>
            <a:graphicData uri="http://schemas.microsoft.com/office/drawing/2010/slicer">
              <sle:slicer xmlns:sle="http://schemas.microsoft.com/office/drawing/2010/slicer" name="ITEMS 3"/>
            </a:graphicData>
          </a:graphic>
        </xdr:graphicFrame>
      </mc:Choice>
      <mc:Fallback xmlns="">
        <xdr:sp macro="" textlink="">
          <xdr:nvSpPr>
            <xdr:cNvPr id="0" name=""/>
            <xdr:cNvSpPr>
              <a:spLocks noTextEdit="1"/>
            </xdr:cNvSpPr>
          </xdr:nvSpPr>
          <xdr:spPr>
            <a:xfrm>
              <a:off x="10001250" y="1038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295275</xdr:colOff>
      <xdr:row>0</xdr:row>
      <xdr:rowOff>185737</xdr:rowOff>
    </xdr:from>
    <xdr:to>
      <xdr:col>10</xdr:col>
      <xdr:colOff>600075</xdr:colOff>
      <xdr:row>15</xdr:row>
      <xdr:rowOff>71437</xdr:rowOff>
    </xdr:to>
    <xdr:graphicFrame macro="">
      <xdr:nvGraphicFramePr>
        <xdr:cNvPr id="3" name="Chart 2">
          <a:extLst>
            <a:ext uri="{FF2B5EF4-FFF2-40B4-BE49-F238E27FC236}">
              <a16:creationId xmlns:a16="http://schemas.microsoft.com/office/drawing/2014/main" id="{609A98FE-CEEA-5358-2403-619EC5AD6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276225</xdr:colOff>
      <xdr:row>17</xdr:row>
      <xdr:rowOff>176212</xdr:rowOff>
    </xdr:from>
    <xdr:to>
      <xdr:col>10</xdr:col>
      <xdr:colOff>581025</xdr:colOff>
      <xdr:row>32</xdr:row>
      <xdr:rowOff>61912</xdr:rowOff>
    </xdr:to>
    <xdr:graphicFrame macro="">
      <xdr:nvGraphicFramePr>
        <xdr:cNvPr id="4" name="Chart 3">
          <a:extLst>
            <a:ext uri="{FF2B5EF4-FFF2-40B4-BE49-F238E27FC236}">
              <a16:creationId xmlns:a16="http://schemas.microsoft.com/office/drawing/2014/main" id="{1B70098C-45E7-B5CF-24D2-30ECEEC46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290512</xdr:colOff>
      <xdr:row>33</xdr:row>
      <xdr:rowOff>185737</xdr:rowOff>
    </xdr:from>
    <xdr:to>
      <xdr:col>10</xdr:col>
      <xdr:colOff>595312</xdr:colOff>
      <xdr:row>48</xdr:row>
      <xdr:rowOff>71437</xdr:rowOff>
    </xdr:to>
    <xdr:graphicFrame macro="">
      <xdr:nvGraphicFramePr>
        <xdr:cNvPr id="6" name="Chart 5">
          <a:extLst>
            <a:ext uri="{FF2B5EF4-FFF2-40B4-BE49-F238E27FC236}">
              <a16:creationId xmlns:a16="http://schemas.microsoft.com/office/drawing/2014/main" id="{B24EFF9B-1DA9-7190-6CB0-578346D59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504824</xdr:colOff>
      <xdr:row>51</xdr:row>
      <xdr:rowOff>28574</xdr:rowOff>
    </xdr:from>
    <xdr:to>
      <xdr:col>14</xdr:col>
      <xdr:colOff>361950</xdr:colOff>
      <xdr:row>64</xdr:row>
      <xdr:rowOff>80961</xdr:rowOff>
    </xdr:to>
    <xdr:graphicFrame macro="">
      <xdr:nvGraphicFramePr>
        <xdr:cNvPr id="7" name="Chart 6">
          <a:extLst>
            <a:ext uri="{FF2B5EF4-FFF2-40B4-BE49-F238E27FC236}">
              <a16:creationId xmlns:a16="http://schemas.microsoft.com/office/drawing/2014/main" id="{6879E2E2-7AA0-FFF9-3A72-2353D0E47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447675</xdr:colOff>
      <xdr:row>72</xdr:row>
      <xdr:rowOff>176212</xdr:rowOff>
    </xdr:from>
    <xdr:to>
      <xdr:col>13</xdr:col>
      <xdr:colOff>9525</xdr:colOff>
      <xdr:row>87</xdr:row>
      <xdr:rowOff>61912</xdr:rowOff>
    </xdr:to>
    <xdr:graphicFrame macro="">
      <xdr:nvGraphicFramePr>
        <xdr:cNvPr id="9" name="Chart 8">
          <a:extLst>
            <a:ext uri="{FF2B5EF4-FFF2-40B4-BE49-F238E27FC236}">
              <a16:creationId xmlns:a16="http://schemas.microsoft.com/office/drawing/2014/main" id="{606E2C7D-DD3D-3A33-18CC-1291C4A61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121830</xdr:colOff>
      <xdr:row>4</xdr:row>
      <xdr:rowOff>38321</xdr:rowOff>
    </xdr:from>
    <xdr:to>
      <xdr:col>8</xdr:col>
      <xdr:colOff>465173</xdr:colOff>
      <xdr:row>19</xdr:row>
      <xdr:rowOff>161441</xdr:rowOff>
    </xdr:to>
    <xdr:graphicFrame macro="">
      <xdr:nvGraphicFramePr>
        <xdr:cNvPr id="2" name="Chart 1">
          <a:extLst>
            <a:ext uri="{FF2B5EF4-FFF2-40B4-BE49-F238E27FC236}">
              <a16:creationId xmlns:a16="http://schemas.microsoft.com/office/drawing/2014/main" id="{62C91B11-C761-4C6F-9A8A-181E06F0A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515899</xdr:colOff>
      <xdr:row>4</xdr:row>
      <xdr:rowOff>38321</xdr:rowOff>
    </xdr:from>
    <xdr:to>
      <xdr:col>20</xdr:col>
      <xdr:colOff>80719</xdr:colOff>
      <xdr:row>19</xdr:row>
      <xdr:rowOff>161440</xdr:rowOff>
    </xdr:to>
    <xdr:graphicFrame macro="">
      <xdr:nvGraphicFramePr>
        <xdr:cNvPr id="3" name="Chart 2">
          <a:extLst>
            <a:ext uri="{FF2B5EF4-FFF2-40B4-BE49-F238E27FC236}">
              <a16:creationId xmlns:a16="http://schemas.microsoft.com/office/drawing/2014/main" id="{1978E14B-0B47-4A6E-802F-C3EDE82A0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285723</xdr:colOff>
      <xdr:row>20</xdr:row>
      <xdr:rowOff>51382</xdr:rowOff>
    </xdr:from>
    <xdr:to>
      <xdr:col>14</xdr:col>
      <xdr:colOff>49370</xdr:colOff>
      <xdr:row>37</xdr:row>
      <xdr:rowOff>161441</xdr:rowOff>
    </xdr:to>
    <xdr:graphicFrame macro="">
      <xdr:nvGraphicFramePr>
        <xdr:cNvPr id="4" name="Chart 3">
          <a:extLst>
            <a:ext uri="{FF2B5EF4-FFF2-40B4-BE49-F238E27FC236}">
              <a16:creationId xmlns:a16="http://schemas.microsoft.com/office/drawing/2014/main" id="{EB881EE9-46E6-43F4-8DA8-21FF63DF7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527050</xdr:colOff>
      <xdr:row>5</xdr:row>
      <xdr:rowOff>41276</xdr:rowOff>
    </xdr:from>
    <xdr:to>
      <xdr:col>12</xdr:col>
      <xdr:colOff>584200</xdr:colOff>
      <xdr:row>19</xdr:row>
      <xdr:rowOff>127000</xdr:rowOff>
    </xdr:to>
    <xdr:graphicFrame macro="">
      <xdr:nvGraphicFramePr>
        <xdr:cNvPr id="2" name="Chart 1">
          <a:extLst>
            <a:ext uri="{FF2B5EF4-FFF2-40B4-BE49-F238E27FC236}">
              <a16:creationId xmlns:a16="http://schemas.microsoft.com/office/drawing/2014/main" id="{46CB304E-5340-4548-B728-907C8D5F6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31749</xdr:colOff>
      <xdr:row>5</xdr:row>
      <xdr:rowOff>19050</xdr:rowOff>
    </xdr:from>
    <xdr:to>
      <xdr:col>21</xdr:col>
      <xdr:colOff>22224</xdr:colOff>
      <xdr:row>19</xdr:row>
      <xdr:rowOff>127000</xdr:rowOff>
    </xdr:to>
    <xdr:graphicFrame macro="">
      <xdr:nvGraphicFramePr>
        <xdr:cNvPr id="3" name="Chart 2">
          <a:extLst>
            <a:ext uri="{FF2B5EF4-FFF2-40B4-BE49-F238E27FC236}">
              <a16:creationId xmlns:a16="http://schemas.microsoft.com/office/drawing/2014/main" id="{E9A51351-7223-4610-AED5-8A944F4CB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549274</xdr:colOff>
      <xdr:row>19</xdr:row>
      <xdr:rowOff>168275</xdr:rowOff>
    </xdr:from>
    <xdr:to>
      <xdr:col>21</xdr:col>
      <xdr:colOff>25399</xdr:colOff>
      <xdr:row>32</xdr:row>
      <xdr:rowOff>177800</xdr:rowOff>
    </xdr:to>
    <xdr:graphicFrame macro="">
      <xdr:nvGraphicFramePr>
        <xdr:cNvPr id="4" name="Chart 3">
          <a:extLst>
            <a:ext uri="{FF2B5EF4-FFF2-40B4-BE49-F238E27FC236}">
              <a16:creationId xmlns:a16="http://schemas.microsoft.com/office/drawing/2014/main" id="{498049F4-3851-4964-87F1-894FBC103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101600</xdr:colOff>
      <xdr:row>5</xdr:row>
      <xdr:rowOff>69850</xdr:rowOff>
    </xdr:from>
    <xdr:to>
      <xdr:col>4</xdr:col>
      <xdr:colOff>469900</xdr:colOff>
      <xdr:row>32</xdr:row>
      <xdr:rowOff>76200</xdr:rowOff>
    </xdr:to>
    <mc:AlternateContent xmlns:mc="http://schemas.openxmlformats.org/markup-compatibility/2006" xmlns:a14="http://schemas.microsoft.com/office/drawing/2010/main">
      <mc:Choice Requires="a14">
        <xdr:graphicFrame macro="">
          <xdr:nvGraphicFramePr>
            <xdr:cNvPr id="6" name="ITEMS 5">
              <a:extLst>
                <a:ext uri="{FF2B5EF4-FFF2-40B4-BE49-F238E27FC236}">
                  <a16:creationId xmlns:a16="http://schemas.microsoft.com/office/drawing/2014/main" id="{636A8BE9-0418-795A-E1B9-8D523C601D3F}"/>
                </a:ext>
              </a:extLst>
            </xdr:cNvPr>
            <xdr:cNvGraphicFramePr/>
          </xdr:nvGraphicFramePr>
          <xdr:xfrm>
            <a:off x="0" y="0"/>
            <a:ext cx="0" cy="0"/>
          </xdr:xfrm>
          <a:graphic>
            <a:graphicData uri="http://schemas.microsoft.com/office/drawing/2010/slicer">
              <sle:slicer xmlns:sle="http://schemas.microsoft.com/office/drawing/2010/slicer" name="ITEMS 5"/>
            </a:graphicData>
          </a:graphic>
        </xdr:graphicFrame>
      </mc:Choice>
      <mc:Fallback xmlns="">
        <xdr:sp macro="" textlink="">
          <xdr:nvSpPr>
            <xdr:cNvPr id="0" name=""/>
            <xdr:cNvSpPr>
              <a:spLocks noTextEdit="1"/>
            </xdr:cNvSpPr>
          </xdr:nvSpPr>
          <xdr:spPr>
            <a:xfrm>
              <a:off x="101600" y="857250"/>
              <a:ext cx="2806700" cy="5149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xdr:col>
      <xdr:colOff>228600</xdr:colOff>
      <xdr:row>5</xdr:row>
      <xdr:rowOff>85725</xdr:rowOff>
    </xdr:from>
    <xdr:to>
      <xdr:col>15</xdr:col>
      <xdr:colOff>219075</xdr:colOff>
      <xdr:row>24</xdr:row>
      <xdr:rowOff>19050</xdr:rowOff>
    </xdr:to>
    <xdr:graphicFrame macro="">
      <xdr:nvGraphicFramePr>
        <xdr:cNvPr id="2" name="Chart 1">
          <a:extLst>
            <a:ext uri="{FF2B5EF4-FFF2-40B4-BE49-F238E27FC236}">
              <a16:creationId xmlns:a16="http://schemas.microsoft.com/office/drawing/2014/main" id="{BB2063B7-8058-44DB-8E20-735B343B4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28</xdr:row>
      <xdr:rowOff>123825</xdr:rowOff>
    </xdr:from>
    <xdr:to>
      <xdr:col>12</xdr:col>
      <xdr:colOff>428625</xdr:colOff>
      <xdr:row>43</xdr:row>
      <xdr:rowOff>9525</xdr:rowOff>
    </xdr:to>
    <xdr:graphicFrame macro="">
      <xdr:nvGraphicFramePr>
        <xdr:cNvPr id="3" name="Chart 2">
          <a:extLst>
            <a:ext uri="{FF2B5EF4-FFF2-40B4-BE49-F238E27FC236}">
              <a16:creationId xmlns:a16="http://schemas.microsoft.com/office/drawing/2014/main" id="{9F0F2A40-BF20-4069-921F-3F5C1BBDC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257175</xdr:colOff>
      <xdr:row>47</xdr:row>
      <xdr:rowOff>142875</xdr:rowOff>
    </xdr:from>
    <xdr:to>
      <xdr:col>14</xdr:col>
      <xdr:colOff>542925</xdr:colOff>
      <xdr:row>67</xdr:row>
      <xdr:rowOff>47625</xdr:rowOff>
    </xdr:to>
    <xdr:graphicFrame macro="">
      <xdr:nvGraphicFramePr>
        <xdr:cNvPr id="4" name="3 YEAR CHART">
          <a:extLst>
            <a:ext uri="{FF2B5EF4-FFF2-40B4-BE49-F238E27FC236}">
              <a16:creationId xmlns:a16="http://schemas.microsoft.com/office/drawing/2014/main" id="{ECF4BD1F-D7E5-45D9-842A-1D6052F62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76199</xdr:colOff>
      <xdr:row>71</xdr:row>
      <xdr:rowOff>38100</xdr:rowOff>
    </xdr:from>
    <xdr:to>
      <xdr:col>8</xdr:col>
      <xdr:colOff>171449</xdr:colOff>
      <xdr:row>86</xdr:row>
      <xdr:rowOff>19050</xdr:rowOff>
    </xdr:to>
    <xdr:graphicFrame macro="">
      <xdr:nvGraphicFramePr>
        <xdr:cNvPr id="5" name="Chart 4">
          <a:extLst>
            <a:ext uri="{FF2B5EF4-FFF2-40B4-BE49-F238E27FC236}">
              <a16:creationId xmlns:a16="http://schemas.microsoft.com/office/drawing/2014/main" id="{2D6AF27A-001E-4FCB-BAED-D50F3E065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190500</xdr:colOff>
      <xdr:row>71</xdr:row>
      <xdr:rowOff>28576</xdr:rowOff>
    </xdr:from>
    <xdr:to>
      <xdr:col>16</xdr:col>
      <xdr:colOff>419100</xdr:colOff>
      <xdr:row>86</xdr:row>
      <xdr:rowOff>19050</xdr:rowOff>
    </xdr:to>
    <xdr:graphicFrame macro="">
      <xdr:nvGraphicFramePr>
        <xdr:cNvPr id="6" name="Chart 5">
          <a:extLst>
            <a:ext uri="{FF2B5EF4-FFF2-40B4-BE49-F238E27FC236}">
              <a16:creationId xmlns:a16="http://schemas.microsoft.com/office/drawing/2014/main" id="{78B823F1-2AE3-41AC-AAB1-317EC4BEC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609600</xdr:colOff>
      <xdr:row>86</xdr:row>
      <xdr:rowOff>47625</xdr:rowOff>
    </xdr:from>
    <xdr:to>
      <xdr:col>12</xdr:col>
      <xdr:colOff>609599</xdr:colOff>
      <xdr:row>99</xdr:row>
      <xdr:rowOff>180975</xdr:rowOff>
    </xdr:to>
    <xdr:graphicFrame macro="">
      <xdr:nvGraphicFramePr>
        <xdr:cNvPr id="7" name="Chart 6">
          <a:extLst>
            <a:ext uri="{FF2B5EF4-FFF2-40B4-BE49-F238E27FC236}">
              <a16:creationId xmlns:a16="http://schemas.microsoft.com/office/drawing/2014/main" id="{749D65B6-FC87-4AF7-9B6E-CB43B0A25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219075</xdr:colOff>
      <xdr:row>50</xdr:row>
      <xdr:rowOff>0</xdr:rowOff>
    </xdr:from>
    <xdr:to>
      <xdr:col>18</xdr:col>
      <xdr:colOff>219075</xdr:colOff>
      <xdr:row>63</xdr:row>
      <xdr:rowOff>47625</xdr:rowOff>
    </xdr:to>
    <mc:AlternateContent xmlns:mc="http://schemas.openxmlformats.org/markup-compatibility/2006" xmlns:a14="http://schemas.microsoft.com/office/drawing/2010/main">
      <mc:Choice Requires="a14">
        <xdr:graphicFrame macro="">
          <xdr:nvGraphicFramePr>
            <xdr:cNvPr id="8" name="ITEMS 6">
              <a:extLst>
                <a:ext uri="{FF2B5EF4-FFF2-40B4-BE49-F238E27FC236}">
                  <a16:creationId xmlns:a16="http://schemas.microsoft.com/office/drawing/2014/main" id="{01E3C116-3E86-A72E-D8EF-FA853A1EBD69}"/>
                </a:ext>
              </a:extLst>
            </xdr:cNvPr>
            <xdr:cNvGraphicFramePr/>
          </xdr:nvGraphicFramePr>
          <xdr:xfrm>
            <a:off x="0" y="0"/>
            <a:ext cx="0" cy="0"/>
          </xdr:xfrm>
          <a:graphic>
            <a:graphicData uri="http://schemas.microsoft.com/office/drawing/2010/slicer">
              <sle:slicer xmlns:sle="http://schemas.microsoft.com/office/drawing/2010/slicer" name="ITEMS 6"/>
            </a:graphicData>
          </a:graphic>
        </xdr:graphicFrame>
      </mc:Choice>
      <mc:Fallback xmlns="">
        <xdr:sp macro="" textlink="">
          <xdr:nvSpPr>
            <xdr:cNvPr id="0" name=""/>
            <xdr:cNvSpPr>
              <a:spLocks noTextEdit="1"/>
            </xdr:cNvSpPr>
          </xdr:nvSpPr>
          <xdr:spPr>
            <a:xfrm>
              <a:off x="9982200" y="9525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persons/person4.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MITHA R" refreshedDate="44882.680892592594" createdVersion="8" refreshedVersion="8" minRefreshableVersion="3" recordCount="13" xr:uid="{715AC0B1-BB8A-4CD8-8EE5-5CA87A93F24A}">
  <cacheSource type="worksheet">
    <worksheetSource ref="A50:AO58" sheet="worksheet"/>
  </cacheSource>
  <cacheFields count="41">
    <cacheField name="MONTH" numFmtId="0">
      <sharedItems count="13">
        <s v=" JAN 20"/>
        <s v=" FEB 20"/>
        <s v=" MAR 20"/>
        <s v=" APRIL 20"/>
        <s v=" MAY 20"/>
        <s v=" JUNE 20"/>
        <s v=" JULY 20"/>
        <s v=" AUG 20"/>
        <s v=" SEPT 20"/>
        <s v=" OCT 20"/>
        <s v=" NOV 20"/>
        <s v=" DEC 20"/>
        <s v="Total"/>
      </sharedItems>
    </cacheField>
    <cacheField name="INCOME" numFmtId="0">
      <sharedItems containsSemiMixedTypes="0" containsString="0" containsNumber="1" minValue="1095" maxValue="662372.53"/>
    </cacheField>
    <cacheField name="RICE" numFmtId="0">
      <sharedItems containsSemiMixedTypes="0" containsString="0" containsNumber="1" containsInteger="1" minValue="0" maxValue="4961"/>
    </cacheField>
    <cacheField name="ATTA" numFmtId="0">
      <sharedItems containsSemiMixedTypes="0" containsString="0" containsNumber="1" containsInteger="1" minValue="0" maxValue="1641"/>
    </cacheField>
    <cacheField name="SUGAR" numFmtId="0">
      <sharedItems containsSemiMixedTypes="0" containsString="0" containsNumber="1" containsInteger="1" minValue="0" maxValue="1395"/>
    </cacheField>
    <cacheField name="TUVAR DAL" numFmtId="0">
      <sharedItems containsSemiMixedTypes="0" containsString="0" containsNumber="1" containsInteger="1" minValue="0" maxValue="1036"/>
    </cacheField>
    <cacheField name="G.OIL" numFmtId="0">
      <sharedItems containsSemiMixedTypes="0" containsString="0" containsNumber="1" containsInteger="1" minValue="0" maxValue="4303"/>
    </cacheField>
    <cacheField name="TEA/COF POW" numFmtId="0">
      <sharedItems containsSemiMixedTypes="0" containsString="0" containsNumber="1" containsInteger="1" minValue="0" maxValue="2359"/>
    </cacheField>
    <cacheField name="MILK/CURD" numFmtId="0">
      <sharedItems containsSemiMixedTypes="0" containsString="0" containsNumber="1" containsInteger="1" minValue="0" maxValue="8362"/>
    </cacheField>
    <cacheField name="D WATER" numFmtId="0">
      <sharedItems containsSemiMixedTypes="0" containsString="0" containsNumber="1" containsInteger="1" minValue="0" maxValue="3070"/>
    </cacheField>
    <cacheField name="BUT/GHEE" numFmtId="0">
      <sharedItems containsSemiMixedTypes="0" containsString="0" containsNumber="1" containsInteger="1" minValue="0" maxValue="3895"/>
    </cacheField>
    <cacheField name="HOTEL/SNACKS" numFmtId="0">
      <sharedItems containsSemiMixedTypes="0" containsString="0" containsNumber="1" containsInteger="1" minValue="0" maxValue="14303"/>
    </cacheField>
    <cacheField name="VEGETABLE" numFmtId="0">
      <sharedItems containsSemiMixedTypes="0" containsString="0" containsNumber="1" containsInteger="1" minValue="0" maxValue="9813"/>
    </cacheField>
    <cacheField name="FRUITS" numFmtId="0">
      <sharedItems containsSemiMixedTypes="0" containsString="0" containsNumber="1" containsInteger="1" minValue="0" maxValue="6043"/>
    </cacheField>
    <cacheField name="SOAP/TOILETRIES" numFmtId="0">
      <sharedItems containsSemiMixedTypes="0" containsString="0" containsNumber="1" containsInteger="1" minValue="0" maxValue="4894"/>
    </cacheField>
    <cacheField name="RAVI EXPS" numFmtId="0">
      <sharedItems containsSemiMixedTypes="0" containsString="0" containsNumber="1" containsInteger="1" minValue="0" maxValue="7765"/>
    </cacheField>
    <cacheField name="DAL/SPICES" numFmtId="0">
      <sharedItems containsSemiMixedTypes="0" containsString="0" containsNumber="1" containsInteger="1" minValue="0" maxValue="16448"/>
    </cacheField>
    <cacheField name="FISH/CHI" numFmtId="0">
      <sharedItems containsSemiMixedTypes="0" containsString="0" containsNumber="1" containsInteger="1" minValue="0" maxValue="10884"/>
    </cacheField>
    <cacheField name="Aquarium" numFmtId="0">
      <sharedItems containsSemiMixedTypes="0" containsString="0" containsNumber="1" containsInteger="1" minValue="0" maxValue="0"/>
    </cacheField>
    <cacheField name="GAS" numFmtId="0">
      <sharedItems containsSemiMixedTypes="0" containsString="0" containsNumber="1" containsInteger="1" minValue="0" maxValue="6260"/>
    </cacheField>
    <cacheField name="PHONE REC" numFmtId="0">
      <sharedItems containsSemiMixedTypes="0" containsString="0" containsNumber="1" containsInteger="1" minValue="49" maxValue="4198"/>
    </cacheField>
    <cacheField name="EB BILL" numFmtId="0">
      <sharedItems containsSemiMixedTypes="0" containsString="0" containsNumber="1" containsInteger="1" minValue="506" maxValue="7338"/>
    </cacheField>
    <cacheField name="AIRTEL/JIO" numFmtId="0">
      <sharedItems containsSemiMixedTypes="0" containsString="0" containsNumber="1" minValue="706.82" maxValue="16482.18"/>
    </cacheField>
    <cacheField name="JAYA DOC/SIP" numFmtId="0">
      <sharedItems containsSemiMixedTypes="0" containsString="0" containsNumber="1" containsInteger="1" minValue="0" maxValue="0"/>
    </cacheField>
    <cacheField name="BUS/AUTO" numFmtId="0">
      <sharedItems containsMixedTypes="1" containsNumber="1" minValue="0" maxValue="8825.17"/>
    </cacheField>
    <cacheField name="JAYA EXPS" numFmtId="0">
      <sharedItems containsSemiMixedTypes="0" containsString="0" containsNumber="1" containsInteger="1" minValue="0" maxValue="0"/>
    </cacheField>
    <cacheField name="HO POOJA" numFmtId="0">
      <sharedItems containsSemiMixedTypes="0" containsString="0" containsNumber="1" minValue="0" maxValue="28898.019999999997"/>
    </cacheField>
    <cacheField name="VEH EXPS" numFmtId="0">
      <sharedItems containsSemiMixedTypes="0" containsString="0" containsNumber="1" containsInteger="1" minValue="0" maxValue="0"/>
    </cacheField>
    <cacheField name="SUSH EXPS" numFmtId="0">
      <sharedItems containsSemiMixedTypes="0" containsString="0" containsNumber="1" minValue="0" maxValue="67658.22"/>
    </cacheField>
    <cacheField name="SUSH SIP/DOC" numFmtId="0">
      <sharedItems containsSemiMixedTypes="0" containsString="0" containsNumber="1" containsInteger="1" minValue="0" maxValue="1000"/>
    </cacheField>
    <cacheField name="AYYA A/C" numFmtId="0">
      <sharedItems containsSemiMixedTypes="0" containsString="0" containsNumber="1" containsInteger="1" minValue="0" maxValue="9590"/>
    </cacheField>
    <cacheField name="MEDICINE" numFmtId="0">
      <sharedItems containsSemiMixedTypes="0" containsString="0" containsNumber="1" containsInteger="1" minValue="0" maxValue="14409"/>
    </cacheField>
    <cacheField name="MUM AYYA" numFmtId="0">
      <sharedItems containsSemiMixedTypes="0" containsString="0" containsNumber="1" containsInteger="1" minValue="0" maxValue="5000"/>
    </cacheField>
    <cacheField name="MISC EXPS" numFmtId="0">
      <sharedItems containsSemiMixedTypes="0" containsString="0" containsNumber="1" containsInteger="1" minValue="305" maxValue="68023"/>
    </cacheField>
    <cacheField name="HO RENT" numFmtId="0">
      <sharedItems containsSemiMixedTypes="0" containsString="0" containsNumber="1" containsInteger="1" minValue="9500" maxValue="114000"/>
    </cacheField>
    <cacheField name="GOLDCHIT" numFmtId="0">
      <sharedItems containsSemiMixedTypes="0" containsString="0" containsNumber="1" containsInteger="1" minValue="0" maxValue="25430"/>
    </cacheField>
    <cacheField name="PETROL EXPS" numFmtId="0">
      <sharedItems containsSemiMixedTypes="0" containsString="0" containsNumber="1" containsInteger="1" minValue="0" maxValue="0"/>
    </cacheField>
    <cacheField name="KITCHEN APP" numFmtId="0">
      <sharedItems containsSemiMixedTypes="0" containsString="0" containsNumber="1" containsInteger="1" minValue="0" maxValue="0"/>
    </cacheField>
    <cacheField name="PLANTS" numFmtId="0">
      <sharedItems containsSemiMixedTypes="0" containsString="0" containsNumber="1" containsInteger="1" minValue="0" maxValue="0"/>
    </cacheField>
    <cacheField name="DONATION" numFmtId="0">
      <sharedItems containsSemiMixedTypes="0" containsString="0" containsNumber="1" containsInteger="1" minValue="0" maxValue="0" count="1">
        <n v="0"/>
      </sharedItems>
    </cacheField>
    <cacheField name="TOTAL" numFmtId="0">
      <sharedItems containsSemiMixedTypes="0" containsString="0" containsNumber="1" minValue="25995.82" maxValue="478283.949999999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MITHA R" refreshedDate="44882.792608680553" createdVersion="8" refreshedVersion="8" minRefreshableVersion="3" recordCount="11" xr:uid="{49D51E80-BDF9-448F-B100-68F485FED428}">
  <cacheSource type="worksheet">
    <worksheetSource ref="A38:AO49" sheet="worksheet"/>
  </cacheSource>
  <cacheFields count="41">
    <cacheField name="MONTH" numFmtId="14">
      <sharedItems count="11">
        <s v=" JAN 22"/>
        <s v=" FEB 22"/>
        <s v=" MAR 22"/>
        <s v=" APR 22"/>
        <s v=" MAY 22"/>
        <s v=" JUNE 22"/>
        <s v=" JULY 22"/>
        <s v=" AUG 22"/>
        <s v=" SEPT 22"/>
        <s v=" OCT 22"/>
        <s v="Total"/>
      </sharedItems>
    </cacheField>
    <cacheField name="INCOME" numFmtId="0">
      <sharedItems containsSemiMixedTypes="0" containsString="0" containsNumber="1" containsInteger="1" minValue="60000" maxValue="905000"/>
    </cacheField>
    <cacheField name="RICE" numFmtId="0">
      <sharedItems containsSemiMixedTypes="0" containsString="0" containsNumber="1" containsInteger="1" minValue="250" maxValue="6736"/>
    </cacheField>
    <cacheField name="ATTA" numFmtId="0">
      <sharedItems containsSemiMixedTypes="0" containsString="0" containsNumber="1" containsInteger="1" minValue="0" maxValue="1790"/>
    </cacheField>
    <cacheField name="SUGAR" numFmtId="0">
      <sharedItems containsSemiMixedTypes="0" containsString="0" containsNumber="1" containsInteger="1" minValue="0" maxValue="947"/>
    </cacheField>
    <cacheField name="TUVAR DAL" numFmtId="0">
      <sharedItems containsSemiMixedTypes="0" containsString="0" containsNumber="1" containsInteger="1" minValue="130" maxValue="2509"/>
    </cacheField>
    <cacheField name="G.OIL" numFmtId="0">
      <sharedItems containsSemiMixedTypes="0" containsString="0" containsNumber="1" containsInteger="1" minValue="380" maxValue="6493"/>
    </cacheField>
    <cacheField name="TEA/COF POW" numFmtId="0">
      <sharedItems containsSemiMixedTypes="0" containsString="0" containsNumber="1" containsInteger="1" minValue="40" maxValue="1198"/>
    </cacheField>
    <cacheField name="MILK/CURD" numFmtId="0">
      <sharedItems containsSemiMixedTypes="0" containsString="0" containsNumber="1" containsInteger="1" minValue="657" maxValue="11049"/>
    </cacheField>
    <cacheField name="D WATER" numFmtId="0">
      <sharedItems containsSemiMixedTypes="0" containsString="0" containsNumber="1" containsInteger="1" minValue="120" maxValue="2980"/>
    </cacheField>
    <cacheField name="BUT/GHEE" numFmtId="0">
      <sharedItems containsSemiMixedTypes="0" containsString="0" containsNumber="1" containsInteger="1" minValue="0" maxValue="3610"/>
    </cacheField>
    <cacheField name="HOTEL/SNACKS" numFmtId="0">
      <sharedItems containsSemiMixedTypes="0" containsString="0" containsNumber="1" minValue="1681" maxValue="53885.32"/>
    </cacheField>
    <cacheField name="VEGETABLE" numFmtId="0">
      <sharedItems containsSemiMixedTypes="0" containsString="0" containsNumber="1" containsInteger="1" minValue="605" maxValue="9245"/>
    </cacheField>
    <cacheField name="FRUITS" numFmtId="0">
      <sharedItems containsSemiMixedTypes="0" containsString="0" containsNumber="1" containsInteger="1" minValue="695" maxValue="12205"/>
    </cacheField>
    <cacheField name="SOAP/TOILETRIES" numFmtId="0">
      <sharedItems containsSemiMixedTypes="0" containsString="0" containsNumber="1" containsInteger="1" minValue="265" maxValue="9297"/>
    </cacheField>
    <cacheField name="RAVI EXPS" numFmtId="0">
      <sharedItems containsSemiMixedTypes="0" containsString="0" containsNumber="1" containsInteger="1" minValue="740" maxValue="124586"/>
    </cacheField>
    <cacheField name="DAL/SPICES" numFmtId="0">
      <sharedItems containsSemiMixedTypes="0" containsString="0" containsNumber="1" containsInteger="1" minValue="171" maxValue="12192"/>
    </cacheField>
    <cacheField name="FISH/CHI" numFmtId="0">
      <sharedItems containsSemiMixedTypes="0" containsString="0" containsNumber="1" containsInteger="1" minValue="493" maxValue="11881"/>
    </cacheField>
    <cacheField name="Aquarium" numFmtId="0">
      <sharedItems containsSemiMixedTypes="0" containsString="0" containsNumber="1" containsInteger="1" minValue="0" maxValue="1509"/>
    </cacheField>
    <cacheField name="GAS" numFmtId="0">
      <sharedItems containsSemiMixedTypes="0" containsString="0" containsNumber="1" containsInteger="1" minValue="0" maxValue="8300"/>
    </cacheField>
    <cacheField name="PHONE REC" numFmtId="0">
      <sharedItems containsSemiMixedTypes="0" containsString="0" containsNumber="1" containsInteger="1" minValue="398" maxValue="6462"/>
    </cacheField>
    <cacheField name="EB BILL" numFmtId="0">
      <sharedItems containsSemiMixedTypes="0" containsString="0" containsNumber="1" containsInteger="1" minValue="776" maxValue="10150"/>
    </cacheField>
    <cacheField name="AIRTEL/JIO" numFmtId="0">
      <sharedItems containsSemiMixedTypes="0" containsString="0" containsNumber="1" minValue="1178.82" maxValue="11788.199999999999"/>
    </cacheField>
    <cacheField name="JAYA DOC/SIP" numFmtId="0">
      <sharedItems containsSemiMixedTypes="0" containsString="0" containsNumber="1" containsInteger="1" minValue="0" maxValue="87900"/>
    </cacheField>
    <cacheField name="BUS/AUTO" numFmtId="0">
      <sharedItems containsSemiMixedTypes="0" containsString="0" containsNumber="1" minValue="0" maxValue="38323.699999999997"/>
    </cacheField>
    <cacheField name="JAYA EXPS" numFmtId="0">
      <sharedItems containsSemiMixedTypes="0" containsString="0" containsNumber="1" minValue="0" maxValue="72319.61"/>
    </cacheField>
    <cacheField name="HO POOJA" numFmtId="0">
      <sharedItems containsSemiMixedTypes="0" containsString="0" containsNumber="1" containsInteger="1" minValue="370" maxValue="19057"/>
    </cacheField>
    <cacheField name="VEH EXPS" numFmtId="0">
      <sharedItems containsSemiMixedTypes="0" containsString="0" containsNumber="1" containsInteger="1" minValue="0" maxValue="1486"/>
    </cacheField>
    <cacheField name="SUSH EXPS" numFmtId="0">
      <sharedItems containsSemiMixedTypes="0" containsString="0" containsNumber="1" minValue="1088" maxValue="135304.54"/>
    </cacheField>
    <cacheField name="SUSH SIP/DOC" numFmtId="0">
      <sharedItems containsSemiMixedTypes="0" containsString="0" containsNumber="1" containsInteger="1" minValue="0" maxValue="25500"/>
    </cacheField>
    <cacheField name="AYYA A/C" numFmtId="0">
      <sharedItems containsSemiMixedTypes="0" containsString="0" containsNumber="1" minValue="3000" maxValue="39536.800000000003"/>
    </cacheField>
    <cacheField name="MEDICINE" numFmtId="0">
      <sharedItems containsSemiMixedTypes="0" containsString="0" containsNumber="1" containsInteger="1" minValue="0" maxValue="4501"/>
    </cacheField>
    <cacheField name="MUM AYYA" numFmtId="0">
      <sharedItems containsSemiMixedTypes="0" containsString="0" containsNumber="1" containsInteger="1" minValue="3000" maxValue="111000"/>
    </cacheField>
    <cacheField name="MISC EXPS" numFmtId="0">
      <sharedItems containsSemiMixedTypes="0" containsString="0" containsNumber="1" minValue="1695" maxValue="70129.78"/>
    </cacheField>
    <cacheField name="HO RENT" numFmtId="0">
      <sharedItems containsSemiMixedTypes="0" containsString="0" containsNumber="1" containsInteger="1" minValue="9500" maxValue="95000"/>
    </cacheField>
    <cacheField name="GOLDCHIT" numFmtId="0">
      <sharedItems containsSemiMixedTypes="0" containsString="0" containsNumber="1" containsInteger="1" minValue="5000" maxValue="50000"/>
    </cacheField>
    <cacheField name="PETROL EXPS" numFmtId="0">
      <sharedItems containsSemiMixedTypes="0" containsString="0" containsNumber="1" minValue="0" maxValue="4785.09"/>
    </cacheField>
    <cacheField name="KITCHEN APP" numFmtId="0">
      <sharedItems containsSemiMixedTypes="0" containsString="0" containsNumber="1" containsInteger="1" minValue="0" maxValue="17469"/>
    </cacheField>
    <cacheField name="PLANTS" numFmtId="0">
      <sharedItems containsSemiMixedTypes="0" containsString="0" containsNumber="1" containsInteger="1" minValue="0" maxValue="7413"/>
    </cacheField>
    <cacheField name="DONATION" numFmtId="0">
      <sharedItems containsSemiMixedTypes="0" containsString="0" containsNumber="1" containsInteger="1" minValue="0" maxValue="2911"/>
    </cacheField>
    <cacheField name="TOTAL" numFmtId="0">
      <sharedItems containsSemiMixedTypes="0" containsString="0" containsNumber="1" minValue="66813.600000000006" maxValue="3608629.92999999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MITHA R" refreshedDate="44882.792609143522" createdVersion="8" refreshedVersion="8" minRefreshableVersion="3" recordCount="38" xr:uid="{97512A15-2FB7-4D9A-B9C2-A105243C99DF}">
  <cacheSource type="worksheet">
    <worksheetSource ref="B2:AJ40" sheet="FORMATTED DATA"/>
  </cacheSource>
  <cacheFields count="35">
    <cacheField name="ITEMS" numFmtId="0">
      <sharedItems count="38">
        <s v="SUSH EXPS"/>
        <s v="HO RENT"/>
        <s v="MISC EXPS"/>
        <s v="JAYA DOC/SIP"/>
        <s v="RAVI EXPS"/>
        <s v="MUM AYYA"/>
        <s v="GOLDCHIT"/>
        <s v="JAYA EXPS"/>
        <s v="VEH EXPS"/>
        <s v="HOTEL/SNACKS"/>
        <s v="HO POOJA"/>
        <s v="AYYA A/C"/>
        <s v="BUS/AUTO"/>
        <s v="SUSH SIP/DOC"/>
        <s v="DAL/SPICES"/>
        <s v="AIRTEL/JIO"/>
        <s v="FISH/CHI"/>
        <s v="MEDICINE"/>
        <s v="MILK/CURD"/>
        <s v="VEGETABLE"/>
        <s v="FRUITS"/>
        <s v="KITCHEN APP"/>
        <s v="EB BILL"/>
        <s v="GAS"/>
        <s v="SOAP/TOILETRIES"/>
        <s v="Aquarium"/>
        <s v="RICE"/>
        <s v="G.OIL"/>
        <s v="PLANTS"/>
        <s v="PHONE REC"/>
        <s v="BUT/GHEE"/>
        <s v="D WATER"/>
        <s v="PETROL EXPS"/>
        <s v="TEA/COF POW"/>
        <s v="DONATION"/>
        <s v="ATTA"/>
        <s v="TUVAR DAL"/>
        <s v="SUGAR"/>
      </sharedItems>
    </cacheField>
    <cacheField name=" JAN 20" numFmtId="2">
      <sharedItems containsString="0" containsBlank="1" containsNumber="1" minValue="438" maxValue="23369"/>
    </cacheField>
    <cacheField name=" FEB 20" numFmtId="2">
      <sharedItems containsString="0" containsBlank="1" containsNumber="1" minValue="438" maxValue="18520"/>
    </cacheField>
    <cacheField name=" MAR 20" numFmtId="2">
      <sharedItems containsString="0" containsBlank="1" containsNumber="1" minValue="135" maxValue="9500"/>
    </cacheField>
    <cacheField name=" APRIL 20" numFmtId="2">
      <sharedItems containsString="0" containsBlank="1" containsNumber="1" minValue="80" maxValue="9500"/>
    </cacheField>
    <cacheField name=" MAY 20" numFmtId="2">
      <sharedItems containsString="0" containsBlank="1" containsNumber="1" containsInteger="1" minValue="0" maxValue="10944"/>
    </cacheField>
    <cacheField name=" JUNE 20" numFmtId="2">
      <sharedItems containsString="0" containsBlank="1" containsNumber="1" minValue="112" maxValue="9500"/>
    </cacheField>
    <cacheField name=" JULY 20" numFmtId="2">
      <sharedItems containsBlank="1" containsMixedTypes="1" containsNumber="1" minValue="200" maxValue="9500"/>
    </cacheField>
    <cacheField name=" AUG 20" numFmtId="2">
      <sharedItems containsString="0" containsBlank="1" containsNumber="1" minValue="117" maxValue="45730.22"/>
    </cacheField>
    <cacheField name=" SEPT 20" numFmtId="2">
      <sharedItems containsString="0" containsBlank="1" containsNumber="1" minValue="0" maxValue="9500"/>
    </cacheField>
    <cacheField name=" OCT 20" numFmtId="2">
      <sharedItems containsBlank="1" containsMixedTypes="1" containsNumber="1" minValue="0" maxValue="9500"/>
    </cacheField>
    <cacheField name=" NOV 20" numFmtId="2">
      <sharedItems containsString="0" containsBlank="1" containsNumber="1" minValue="49" maxValue="9500"/>
    </cacheField>
    <cacheField name=" DEC 20" numFmtId="2">
      <sharedItems containsBlank="1" containsMixedTypes="1" containsNumber="1" minValue="60" maxValue="9500"/>
    </cacheField>
    <cacheField name=" JAN 21" numFmtId="2">
      <sharedItems containsString="0" containsBlank="1" containsNumber="1" minValue="105" maxValue="99540"/>
    </cacheField>
    <cacheField name=" FEB 21" numFmtId="2">
      <sharedItems containsString="0" containsBlank="1" containsNumber="1" minValue="0" maxValue="36897"/>
    </cacheField>
    <cacheField name=" MAR 21" numFmtId="2">
      <sharedItems containsBlank="1" containsMixedTypes="1" containsNumber="1" minValue="0" maxValue="16060.7"/>
    </cacheField>
    <cacheField name=" APRIL 21" numFmtId="2">
      <sharedItems containsString="0" containsBlank="1" containsNumber="1" minValue="0" maxValue="9500"/>
    </cacheField>
    <cacheField name=" MAY 21" numFmtId="2">
      <sharedItems containsBlank="1" containsMixedTypes="1" containsNumber="1" minValue="0" maxValue="30241"/>
    </cacheField>
    <cacheField name=" JUNE 21" numFmtId="2">
      <sharedItems containsString="0" containsBlank="1" containsNumber="1" minValue="0" maxValue="13400"/>
    </cacheField>
    <cacheField name=" JULY 21" numFmtId="2">
      <sharedItems containsSemiMixedTypes="0" containsString="0" containsNumber="1" minValue="0" maxValue="16000"/>
    </cacheField>
    <cacheField name=" AUG 21" numFmtId="2">
      <sharedItems containsSemiMixedTypes="0" containsString="0" containsNumber="1" minValue="0" maxValue="15219.77"/>
    </cacheField>
    <cacheField name=" SEPT 21" numFmtId="2">
      <sharedItems containsSemiMixedTypes="0" containsString="0" containsNumber="1" minValue="0" maxValue="19050"/>
    </cacheField>
    <cacheField name=" OCT 21" numFmtId="2">
      <sharedItems containsSemiMixedTypes="0" containsString="0" containsNumber="1" minValue="0" maxValue="52890"/>
    </cacheField>
    <cacheField name=" NOV 21" numFmtId="2">
      <sharedItems containsSemiMixedTypes="0" containsString="0" containsNumber="1" minValue="0" maxValue="9500"/>
    </cacheField>
    <cacheField name=" DEC 21" numFmtId="2">
      <sharedItems containsSemiMixedTypes="0" containsString="0" containsNumber="1" minValue="0" maxValue="9500"/>
    </cacheField>
    <cacheField name=" JAN 22" numFmtId="2">
      <sharedItems containsSemiMixedTypes="0" containsString="0" containsNumber="1" minValue="0" maxValue="9500"/>
    </cacheField>
    <cacheField name=" FEB 22" numFmtId="2">
      <sharedItems containsSemiMixedTypes="0" containsString="0" containsNumber="1" minValue="0" maxValue="46850"/>
    </cacheField>
    <cacheField name=" MAR 22" numFmtId="2">
      <sharedItems containsSemiMixedTypes="0" containsString="0" containsNumber="1" minValue="0" maxValue="26095"/>
    </cacheField>
    <cacheField name=" APR 22" numFmtId="2">
      <sharedItems containsSemiMixedTypes="0" containsString="0" containsNumber="1" minValue="0" maxValue="13000"/>
    </cacheField>
    <cacheField name=" MAY 22" numFmtId="2">
      <sharedItems containsSemiMixedTypes="0" containsString="0" containsNumber="1" minValue="0" maxValue="36615"/>
    </cacheField>
    <cacheField name=" JUNE 22" numFmtId="2">
      <sharedItems containsSemiMixedTypes="0" containsString="0" containsNumber="1" minValue="0" maxValue="96233"/>
    </cacheField>
    <cacheField name=" JULY 22" numFmtId="2">
      <sharedItems containsSemiMixedTypes="0" containsString="0" containsNumber="1" minValue="0" maxValue="15091"/>
    </cacheField>
    <cacheField name=" AUG 22" numFmtId="2">
      <sharedItems containsSemiMixedTypes="0" containsString="0" containsNumber="1" minValue="0" maxValue="10000"/>
    </cacheField>
    <cacheField name=" SEPT 22" numFmtId="2">
      <sharedItems containsSemiMixedTypes="0" containsString="0" containsNumber="1" minValue="0" maxValue="20000"/>
    </cacheField>
    <cacheField name=" OCT 22" numFmtId="2">
      <sharedItems containsSemiMixedTypes="0" containsString="0" containsNumber="1" minValue="0" maxValue="17900"/>
    </cacheField>
  </cacheFields>
  <extLst>
    <ext xmlns:x14="http://schemas.microsoft.com/office/spreadsheetml/2009/9/main" uri="{725AE2AE-9491-48be-B2B4-4EB974FC3084}">
      <x14:pivotCacheDefinition pivotCacheId="82151107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MITHA R" refreshedDate="44882.792609837961" createdVersion="8" refreshedVersion="8" minRefreshableVersion="3" recordCount="39" xr:uid="{B2960F86-8854-440D-8294-D28FEECD05E5}">
  <cacheSource type="worksheet">
    <worksheetSource name="Table2"/>
  </cacheSource>
  <cacheFields count="36">
    <cacheField name="ITEMS" numFmtId="0">
      <sharedItems count="39">
        <s v="SUSH EXPS"/>
        <s v="HO RENT"/>
        <s v="MISC EXPS"/>
        <s v="JAYA DOC/SIP"/>
        <s v="RAVI EXPS"/>
        <s v="MUM AYYA"/>
        <s v="GOLDCHIT"/>
        <s v="JAYA EXPS"/>
        <s v="VEH EXPS"/>
        <s v="HOTEL/SNACKS"/>
        <s v="HO POOJA"/>
        <s v="AYYA A/C"/>
        <s v="BUS/AUTO"/>
        <s v="SUSH SIP/DOC"/>
        <s v="DAL/SPICES"/>
        <s v="AIRTEL/JIO"/>
        <s v="FISH/CHI"/>
        <s v="MEDICINE"/>
        <s v="MILK/CURD"/>
        <s v="VEGETABLE"/>
        <s v="FRUITS"/>
        <s v="KITCHEN APP"/>
        <s v="EB BILL"/>
        <s v="GAS"/>
        <s v="SOAP/TOILETRIES"/>
        <s v="Aquarium"/>
        <s v="RICE"/>
        <s v="G.OIL"/>
        <s v="PLANTS"/>
        <s v="PHONE REC"/>
        <s v="BUT/GHEE"/>
        <s v="D WATER"/>
        <s v="PETROL EXPS"/>
        <s v="TEA/COF POW"/>
        <s v="DONATION"/>
        <s v="ATTA"/>
        <s v="TUVAR DAL"/>
        <s v="SUGAR"/>
        <s v="TOTAL"/>
      </sharedItems>
    </cacheField>
    <cacheField name=" JAN 20" numFmtId="2">
      <sharedItems containsString="0" containsBlank="1" containsNumber="1" minValue="438" maxValue="37330.82"/>
    </cacheField>
    <cacheField name=" FEB 20" numFmtId="2">
      <sharedItems containsString="0" containsBlank="1" containsNumber="1" minValue="438" maxValue="37956.82"/>
    </cacheField>
    <cacheField name=" MAR 20" numFmtId="2">
      <sharedItems containsString="0" containsBlank="1" containsNumber="1" minValue="135" maxValue="34048.17"/>
    </cacheField>
    <cacheField name=" APRIL 20" numFmtId="2">
      <sharedItems containsString="0" containsBlank="1" containsNumber="1" minValue="80" maxValue="25995.82"/>
    </cacheField>
    <cacheField name=" MAY 20" numFmtId="2">
      <sharedItems containsString="0" containsBlank="1" containsNumber="1" containsInteger="1" minValue="0" maxValue="28162"/>
    </cacheField>
    <cacheField name=" JUNE 20" numFmtId="2">
      <sharedItems containsString="0" containsBlank="1" containsNumber="1" minValue="112" maxValue="35813.82"/>
    </cacheField>
    <cacheField name=" JULY 20" numFmtId="2">
      <sharedItems containsBlank="1" containsMixedTypes="1" containsNumber="1" minValue="200" maxValue="27682.82"/>
    </cacheField>
    <cacheField name=" AUG 20" numFmtId="2">
      <sharedItems containsString="0" containsBlank="1" containsNumber="1" minValue="117" maxValue="77564.040000000008"/>
    </cacheField>
    <cacheField name=" SEPT 20" numFmtId="2">
      <sharedItems containsString="0" containsBlank="1" containsNumber="1" minValue="0" maxValue="33706.619999999995"/>
    </cacheField>
    <cacheField name=" OCT 20" numFmtId="2">
      <sharedItems containsBlank="1" containsMixedTypes="1" containsNumber="1" minValue="0" maxValue="51809.760000000002"/>
    </cacheField>
    <cacheField name=" NOV 20" numFmtId="2">
      <sharedItems containsString="0" containsBlank="1" containsNumber="1" minValue="49" maxValue="53161.56"/>
    </cacheField>
    <cacheField name=" DEC 20" numFmtId="2">
      <sharedItems containsBlank="1" containsMixedTypes="1" containsNumber="1" minValue="60" maxValue="35051.339999999997"/>
    </cacheField>
    <cacheField name=" JAN 21" numFmtId="2">
      <sharedItems containsString="0" containsBlank="1" containsNumber="1" minValue="105" maxValue="161367.36000000002"/>
    </cacheField>
    <cacheField name=" FEB 21" numFmtId="2">
      <sharedItems containsString="0" containsBlank="1" containsNumber="1" minValue="0" maxValue="103525.22"/>
    </cacheField>
    <cacheField name=" MAR 21" numFmtId="2">
      <sharedItems containsBlank="1" containsMixedTypes="1" containsNumber="1" minValue="0" maxValue="73522.67"/>
    </cacheField>
    <cacheField name=" APRIL 21" numFmtId="2">
      <sharedItems containsString="0" containsBlank="1" containsNumber="1" minValue="0" maxValue="48819.82"/>
    </cacheField>
    <cacheField name=" MAY 21" numFmtId="2">
      <sharedItems containsBlank="1" containsMixedTypes="1" containsNumber="1" minValue="0" maxValue="64608.82"/>
    </cacheField>
    <cacheField name=" JUNE 21" numFmtId="2">
      <sharedItems containsString="0" containsBlank="1" containsNumber="1" minValue="0" maxValue="94943.99"/>
    </cacheField>
    <cacheField name=" JULY 21" numFmtId="2">
      <sharedItems containsSemiMixedTypes="0" containsString="0" containsNumber="1" minValue="0" maxValue="69363.820000000007"/>
    </cacheField>
    <cacheField name=" AUG 21" numFmtId="2">
      <sharedItems containsSemiMixedTypes="0" containsString="0" containsNumber="1" minValue="0" maxValue="79252.39"/>
    </cacheField>
    <cacheField name=" SEPT 21" numFmtId="2">
      <sharedItems containsSemiMixedTypes="0" containsString="0" containsNumber="1" minValue="0" maxValue="71191.520000000004"/>
    </cacheField>
    <cacheField name=" OCT 21" numFmtId="2">
      <sharedItems containsSemiMixedTypes="0" containsString="0" containsNumber="1" minValue="0" maxValue="102890.02"/>
    </cacheField>
    <cacheField name=" NOV 21" numFmtId="2">
      <sharedItems containsSemiMixedTypes="0" containsString="0" containsNumber="1" minValue="0" maxValue="64116.659999999996"/>
    </cacheField>
    <cacheField name=" DEC 21" numFmtId="2">
      <sharedItems containsSemiMixedTypes="0" containsString="0" containsNumber="1" minValue="0" maxValue="50789.47"/>
    </cacheField>
    <cacheField name=" JAN 22" numFmtId="2">
      <sharedItems containsSemiMixedTypes="0" containsString="0" containsNumber="1" minValue="0" maxValue="67027.11"/>
    </cacheField>
    <cacheField name=" FEB 22" numFmtId="2">
      <sharedItems containsSemiMixedTypes="0" containsString="0" containsNumber="1" minValue="0" maxValue="115392.82"/>
    </cacheField>
    <cacheField name=" MAR 22" numFmtId="2">
      <sharedItems containsSemiMixedTypes="0" containsString="0" containsNumber="1" minValue="0" maxValue="81899.12"/>
    </cacheField>
    <cacheField name=" APR 22" numFmtId="2">
      <sharedItems containsSemiMixedTypes="0" containsString="0" containsNumber="1" minValue="0" maxValue="71790.17"/>
    </cacheField>
    <cacheField name=" MAY 22" numFmtId="2">
      <sharedItems containsSemiMixedTypes="0" containsString="0" containsNumber="1" minValue="0" maxValue="135050.23999999999"/>
    </cacheField>
    <cacheField name=" JUNE 22" numFmtId="2">
      <sharedItems containsSemiMixedTypes="0" containsString="0" containsNumber="1" minValue="0" maxValue="246557.17"/>
    </cacheField>
    <cacheField name=" JULY 22" numFmtId="2">
      <sharedItems containsSemiMixedTypes="0" containsString="0" containsNumber="1" minValue="0" maxValue="107832.97"/>
    </cacheField>
    <cacheField name=" AUG 22" numFmtId="2">
      <sharedItems containsSemiMixedTypes="0" containsString="0" containsNumber="1" minValue="0" maxValue="66813.600000000006"/>
    </cacheField>
    <cacheField name=" SEPT 22" numFmtId="2">
      <sharedItems containsSemiMixedTypes="0" containsString="0" containsNumber="1" minValue="0" maxValue="111727.02"/>
    </cacheField>
    <cacheField name=" OCT 22" numFmtId="2">
      <sharedItems containsSemiMixedTypes="0" containsString="0" containsNumber="1" minValue="0" maxValue="87358.82"/>
    </cacheField>
    <cacheField name="TOTAL" numFmtId="2">
      <sharedItems containsSemiMixedTypes="0" containsString="0" containsNumber="1" minValue="4477" maxValue="2554124.39"/>
    </cacheField>
  </cacheFields>
  <extLst>
    <ext xmlns:x14="http://schemas.microsoft.com/office/spreadsheetml/2009/9/main" uri="{725AE2AE-9491-48be-B2B4-4EB974FC3084}">
      <x14:pivotCacheDefinition pivotCacheId="16873614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MITHA R" refreshedDate="44882.792610069446" createdVersion="8" refreshedVersion="8" minRefreshableVersion="3" recordCount="13" xr:uid="{A92F5855-FF5B-4844-9A89-24E3759D9678}">
  <cacheSource type="worksheet">
    <worksheetSource ref="A20:AO33" sheet="worksheet"/>
  </cacheSource>
  <cacheFields count="41">
    <cacheField name="MONTH" numFmtId="14">
      <sharedItems count="13">
        <s v=" JAN 21"/>
        <s v=" FEB 21"/>
        <s v=" MAR 21"/>
        <s v=" APRIL 21"/>
        <s v=" MAY 21"/>
        <s v=" JUNE 21"/>
        <s v=" JULY 21"/>
        <s v=" AUG 21"/>
        <s v=" SEPT 21"/>
        <s v=" OCT 21"/>
        <s v=" NOV 21"/>
        <s v=" DEC 21"/>
        <s v="Total"/>
      </sharedItems>
    </cacheField>
    <cacheField name="INCOME" numFmtId="0">
      <sharedItems containsSemiMixedTypes="0" containsString="0" containsNumber="1" containsInteger="1" minValue="60000" maxValue="916934"/>
    </cacheField>
    <cacheField name="RICE" numFmtId="0">
      <sharedItems containsSemiMixedTypes="0" containsString="0" containsNumber="1" containsInteger="1" minValue="517" maxValue="8225"/>
    </cacheField>
    <cacheField name="ATTA" numFmtId="0">
      <sharedItems containsSemiMixedTypes="0" containsString="0" containsNumber="1" containsInteger="1" minValue="0" maxValue="2558"/>
    </cacheField>
    <cacheField name="SUGAR" numFmtId="0">
      <sharedItems containsSemiMixedTypes="0" containsString="0" containsNumber="1" containsInteger="1" minValue="118" maxValue="2135"/>
    </cacheField>
    <cacheField name="TUVAR DAL" numFmtId="0">
      <sharedItems containsSemiMixedTypes="0" containsString="0" containsNumber="1" containsInteger="1" minValue="118" maxValue="2246"/>
    </cacheField>
    <cacheField name="G.OIL" numFmtId="0">
      <sharedItems containsSemiMixedTypes="0" containsString="0" containsNumber="1" containsInteger="1" minValue="410" maxValue="8968"/>
    </cacheField>
    <cacheField name="TEA/COF POW" numFmtId="0">
      <sharedItems containsSemiMixedTypes="0" containsString="0" containsNumber="1" containsInteger="1" minValue="170" maxValue="3372"/>
    </cacheField>
    <cacheField name="MILK/CURD" numFmtId="0">
      <sharedItems containsSemiMixedTypes="0" containsString="0" containsNumber="1" containsInteger="1" minValue="875" maxValue="13696"/>
    </cacheField>
    <cacheField name="D WATER" numFmtId="0">
      <sharedItems containsSemiMixedTypes="0" containsString="0" containsNumber="1" containsInteger="1" minValue="120" maxValue="4960"/>
    </cacheField>
    <cacheField name="BUT/GHEE" numFmtId="0">
      <sharedItems containsSemiMixedTypes="0" containsString="0" containsNumber="1" containsInteger="1" minValue="0" maxValue="5867"/>
    </cacheField>
    <cacheField name="HOTEL/SNACKS" numFmtId="0">
      <sharedItems containsSemiMixedTypes="0" containsString="0" containsNumber="1" minValue="832" maxValue="32831.35"/>
    </cacheField>
    <cacheField name="VEGETABLE" numFmtId="0">
      <sharedItems containsSemiMixedTypes="0" containsString="0" containsNumber="1" containsInteger="1" minValue="750" maxValue="13485"/>
    </cacheField>
    <cacheField name="FRUITS" numFmtId="0">
      <sharedItems containsSemiMixedTypes="0" containsString="0" containsNumber="1" containsInteger="1" minValue="488" maxValue="12635"/>
    </cacheField>
    <cacheField name="SOAP/TOILETRIES" numFmtId="0">
      <sharedItems containsSemiMixedTypes="0" containsString="0" containsNumber="1" containsInteger="1" minValue="475" maxValue="10337"/>
    </cacheField>
    <cacheField name="RAVI EXPS" numFmtId="0">
      <sharedItems containsSemiMixedTypes="0" containsString="0" containsNumber="1" containsInteger="1" minValue="660" maxValue="15197"/>
    </cacheField>
    <cacheField name="DAL/SPICES" numFmtId="0">
      <sharedItems containsSemiMixedTypes="0" containsString="0" containsNumber="1" containsInteger="1" minValue="820" maxValue="18762"/>
    </cacheField>
    <cacheField name="FISH/CHI" numFmtId="0">
      <sharedItems containsSemiMixedTypes="0" containsString="0" containsNumber="1" containsInteger="1" minValue="580" maxValue="18132"/>
    </cacheField>
    <cacheField name="Aquarium" numFmtId="0">
      <sharedItems containsSemiMixedTypes="0" containsString="0" containsNumber="1" containsInteger="1" minValue="0" maxValue="20255"/>
    </cacheField>
    <cacheField name="GAS" numFmtId="0">
      <sharedItems containsSemiMixedTypes="0" containsString="0" containsNumber="1" containsInteger="1" minValue="0" maxValue="10690"/>
    </cacheField>
    <cacheField name="PHONE REC" numFmtId="0">
      <sharedItems containsSemiMixedTypes="0" containsString="0" containsNumber="1" containsInteger="1" minValue="268" maxValue="4044"/>
    </cacheField>
    <cacheField name="EB BILL" numFmtId="0">
      <sharedItems containsSemiMixedTypes="0" containsString="0" containsNumber="1" containsInteger="1" minValue="648" maxValue="11716"/>
    </cacheField>
    <cacheField name="AIRTEL/JIO" numFmtId="0">
      <sharedItems containsSemiMixedTypes="0" containsString="0" containsNumber="1" minValue="1112.82" maxValue="16015.479999999998"/>
    </cacheField>
    <cacheField name="JAYA DOC/SIP" numFmtId="0">
      <sharedItems containsSemiMixedTypes="0" containsString="0" containsNumber="1" containsInteger="1" minValue="0" maxValue="63970"/>
    </cacheField>
    <cacheField name="BUS/AUTO" numFmtId="0">
      <sharedItems containsMixedTypes="1" containsNumber="1" minValue="340" maxValue="12292.34"/>
    </cacheField>
    <cacheField name="JAYA EXPS" numFmtId="0">
      <sharedItems containsMixedTypes="1" containsNumber="1" containsInteger="1" minValue="0" maxValue="49177"/>
    </cacheField>
    <cacheField name="HO POOJA" numFmtId="0">
      <sharedItems containsSemiMixedTypes="0" containsString="0" containsNumber="1" containsInteger="1" minValue="1440" maxValue="37213"/>
    </cacheField>
    <cacheField name="VEH EXPS" numFmtId="0">
      <sharedItems containsSemiMixedTypes="0" containsString="0" containsNumber="1" containsInteger="1" minValue="0" maxValue="100820"/>
    </cacheField>
    <cacheField name="SUSH EXPS" numFmtId="0">
      <sharedItems containsSemiMixedTypes="0" containsString="0" containsNumber="1" minValue="1827" maxValue="143898.15000000002"/>
    </cacheField>
    <cacheField name="SUSH SIP/DOC" numFmtId="0">
      <sharedItems containsSemiMixedTypes="0" containsString="0" containsNumber="1" containsInteger="1" minValue="0" maxValue="25400"/>
    </cacheField>
    <cacheField name="AYYA A/C" numFmtId="0">
      <sharedItems containsSemiMixedTypes="0" containsString="0" containsNumber="1" minValue="2000" maxValue="35100.33"/>
    </cacheField>
    <cacheField name="MEDICINE" numFmtId="0">
      <sharedItems containsSemiMixedTypes="0" containsString="0" containsNumber="1" containsInteger="1" minValue="75" maxValue="16683"/>
    </cacheField>
    <cacheField name="MUM AYYA" numFmtId="0">
      <sharedItems containsSemiMixedTypes="0" containsString="0" containsNumber="1" containsInteger="1" minValue="0" maxValue="26100"/>
    </cacheField>
    <cacheField name="MISC EXPS" numFmtId="0">
      <sharedItems containsSemiMixedTypes="0" containsString="0" containsNumber="1" minValue="312" maxValue="34880.450000000004"/>
    </cacheField>
    <cacheField name="HO RENT" numFmtId="0">
      <sharedItems containsSemiMixedTypes="0" containsString="0" containsNumber="1" containsInteger="1" minValue="9500" maxValue="114000"/>
    </cacheField>
    <cacheField name="GOLDCHIT" numFmtId="0">
      <sharedItems containsSemiMixedTypes="0" containsString="0" containsNumber="1" containsInteger="1" minValue="0" maxValue="60050"/>
    </cacheField>
    <cacheField name="PETROL EXPS" numFmtId="0">
      <sharedItems containsSemiMixedTypes="0" containsString="0" containsNumber="1" containsInteger="1" minValue="0" maxValue="2820"/>
    </cacheField>
    <cacheField name="KITCHEN APP" numFmtId="0">
      <sharedItems containsSemiMixedTypes="0" containsString="0" containsNumber="1" minValue="0" maxValue="12020.64"/>
    </cacheField>
    <cacheField name="PLANTS" numFmtId="0">
      <sharedItems containsSemiMixedTypes="0" containsString="0" containsNumber="1" containsInteger="1" minValue="0" maxValue="9825"/>
    </cacheField>
    <cacheField name="DONATION" numFmtId="0">
      <sharedItems containsSemiMixedTypes="0" containsString="0" containsNumber="1" minValue="0" maxValue="4015.02"/>
    </cacheField>
    <cacheField name="TOTAL" numFmtId="0">
      <sharedItems containsSemiMixedTypes="0" containsString="0" containsNumber="1" minValue="48819.82" maxValue="912135.26"/>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MITHA R" refreshedDate="44882.792610879631" createdVersion="8" refreshedVersion="8" minRefreshableVersion="3" recordCount="12" xr:uid="{3D76B4DB-D02F-4906-9D82-7D74DB63550B}">
  <cacheSource type="worksheet">
    <worksheetSource ref="A2:AN14" sheet="worksheet"/>
  </cacheSource>
  <cacheFields count="40">
    <cacheField name="MONTH" numFmtId="0">
      <sharedItems/>
    </cacheField>
    <cacheField name="INCOME" numFmtId="0">
      <sharedItems containsSemiMixedTypes="0" containsString="0" containsNumber="1" minValue="1095" maxValue="152703.84"/>
    </cacheField>
    <cacheField name="RICE" numFmtId="0">
      <sharedItems containsSemiMixedTypes="0" containsString="0" containsNumber="1" containsInteger="1" minValue="0" maxValue="900"/>
    </cacheField>
    <cacheField name="ATTA" numFmtId="0">
      <sharedItems containsSemiMixedTypes="0" containsString="0" containsNumber="1" containsInteger="1" minValue="0" maxValue="540"/>
    </cacheField>
    <cacheField name="SUGAR" numFmtId="0">
      <sharedItems containsSemiMixedTypes="0" containsString="0" containsNumber="1" containsInteger="1" minValue="0" maxValue="245"/>
    </cacheField>
    <cacheField name="TUVAR DAL" numFmtId="0">
      <sharedItems containsSemiMixedTypes="0" containsString="0" containsNumber="1" containsInteger="1" minValue="0" maxValue="220"/>
    </cacheField>
    <cacheField name="G.OIL" numFmtId="0">
      <sharedItems containsSemiMixedTypes="0" containsString="0" containsNumber="1" containsInteger="1" minValue="0" maxValue="620"/>
    </cacheField>
    <cacheField name="TEA/COF POW" numFmtId="0">
      <sharedItems containsSemiMixedTypes="0" containsString="0" containsNumber="1" containsInteger="1" minValue="0" maxValue="335"/>
    </cacheField>
    <cacheField name="MILK/CURD" numFmtId="0">
      <sharedItems containsSemiMixedTypes="0" containsString="0" containsNumber="1" containsInteger="1" minValue="0" maxValue="1157"/>
    </cacheField>
    <cacheField name="D WATER" numFmtId="0">
      <sharedItems containsSemiMixedTypes="0" containsString="0" containsNumber="1" containsInteger="1" minValue="0" maxValue="450"/>
    </cacheField>
    <cacheField name="BUT/GHEE" numFmtId="0">
      <sharedItems containsSemiMixedTypes="0" containsString="0" containsNumber="1" containsInteger="1" minValue="0" maxValue="725"/>
    </cacheField>
    <cacheField name="HOTEL/SNACKS" numFmtId="0">
      <sharedItems containsSemiMixedTypes="0" containsString="0" containsNumber="1" containsInteger="1" minValue="0" maxValue="2811"/>
    </cacheField>
    <cacheField name="VEGETABLE" numFmtId="0">
      <sharedItems containsSemiMixedTypes="0" containsString="0" containsNumber="1" containsInteger="1" minValue="0" maxValue="1343"/>
    </cacheField>
    <cacheField name="FRUITS" numFmtId="0">
      <sharedItems containsSemiMixedTypes="0" containsString="0" containsNumber="1" containsInteger="1" minValue="0" maxValue="1250"/>
    </cacheField>
    <cacheField name="SOAP/TOILETRIES" numFmtId="0">
      <sharedItems containsSemiMixedTypes="0" containsString="0" containsNumber="1" containsInteger="1" minValue="0" maxValue="1105"/>
    </cacheField>
    <cacheField name="RAVI EXPS" numFmtId="0">
      <sharedItems containsSemiMixedTypes="0" containsString="0" containsNumber="1" containsInteger="1" minValue="0" maxValue="2325"/>
    </cacheField>
    <cacheField name="DAL/SPICES" numFmtId="0">
      <sharedItems containsSemiMixedTypes="0" containsString="0" containsNumber="1" containsInteger="1" minValue="0" maxValue="3908"/>
    </cacheField>
    <cacheField name="FISH/CHI" numFmtId="0">
      <sharedItems containsSemiMixedTypes="0" containsString="0" containsNumber="1" containsInteger="1" minValue="0" maxValue="2595"/>
    </cacheField>
    <cacheField name="Aquarium" numFmtId="0">
      <sharedItems containsSemiMixedTypes="0" containsString="0" containsNumber="1" containsInteger="1" minValue="0" maxValue="0"/>
    </cacheField>
    <cacheField name="GAS" numFmtId="0">
      <sharedItems containsSemiMixedTypes="0" containsString="0" containsNumber="1" containsInteger="1" minValue="0" maxValue="860"/>
    </cacheField>
    <cacheField name="PHONE REC" numFmtId="0">
      <sharedItems containsSemiMixedTypes="0" containsString="0" containsNumber="1" containsInteger="1" minValue="49" maxValue="657"/>
    </cacheField>
    <cacheField name="EB BILL" numFmtId="0">
      <sharedItems containsSemiMixedTypes="0" containsString="0" containsNumber="1" containsInteger="1" minValue="506" maxValue="798"/>
    </cacheField>
    <cacheField name="AIRTEL/JIO" numFmtId="0">
      <sharedItems containsSemiMixedTypes="0" containsString="0" containsNumber="1" minValue="706.82" maxValue="3306.82"/>
    </cacheField>
    <cacheField name="JAYA DOC/SIP" numFmtId="0">
      <sharedItems containsSemiMixedTypes="0" containsString="0" containsNumber="1" containsInteger="1" minValue="0" maxValue="0"/>
    </cacheField>
    <cacheField name="BUS/AUTO" numFmtId="0">
      <sharedItems containsMixedTypes="1" containsNumber="1" minValue="0" maxValue="2870"/>
    </cacheField>
    <cacheField name="JAYA EXPS" numFmtId="0">
      <sharedItems containsSemiMixedTypes="0" containsString="0" containsNumber="1" containsInteger="1" minValue="0" maxValue="0"/>
    </cacheField>
    <cacheField name="HO POOJA" numFmtId="0">
      <sharedItems containsSemiMixedTypes="0" containsString="0" containsNumber="1" minValue="0" maxValue="9470.2999999999993"/>
    </cacheField>
    <cacheField name="VEH EXPS" numFmtId="0">
      <sharedItems containsSemiMixedTypes="0" containsString="0" containsNumber="1" containsInteger="1" minValue="0" maxValue="0"/>
    </cacheField>
    <cacheField name="SUSH EXPS" numFmtId="0">
      <sharedItems containsSemiMixedTypes="0" containsString="0" containsNumber="1" minValue="0" maxValue="45730.22"/>
    </cacheField>
    <cacheField name="SUSH SIP/DOC" numFmtId="0">
      <sharedItems containsSemiMixedTypes="0" containsString="0" containsNumber="1" containsInteger="1" minValue="0" maxValue="1000"/>
    </cacheField>
    <cacheField name="AYYA A/C" numFmtId="0">
      <sharedItems containsSemiMixedTypes="0" containsString="0" containsNumber="1" containsInteger="1" minValue="0" maxValue="3000"/>
    </cacheField>
    <cacheField name="MEDICINE" numFmtId="0">
      <sharedItems containsSemiMixedTypes="0" containsString="0" containsNumber="1" containsInteger="1" minValue="0" maxValue="4040"/>
    </cacheField>
    <cacheField name="MUM AYYA" numFmtId="0">
      <sharedItems containsSemiMixedTypes="0" containsString="0" containsNumber="1" containsInteger="1" minValue="0" maxValue="5000"/>
    </cacheField>
    <cacheField name="MISC EXPS" numFmtId="0">
      <sharedItems containsSemiMixedTypes="0" containsString="0" containsNumber="1" containsInteger="1" minValue="305" maxValue="23369"/>
    </cacheField>
    <cacheField name="HO RENT" numFmtId="0">
      <sharedItems containsSemiMixedTypes="0" containsString="0" containsNumber="1" containsInteger="1" minValue="9500" maxValue="9500"/>
    </cacheField>
    <cacheField name="GOLDCHIT" numFmtId="0">
      <sharedItems containsSemiMixedTypes="0" containsString="0" containsNumber="1" containsInteger="1" minValue="0" maxValue="8380"/>
    </cacheField>
    <cacheField name="PETROL EXPS" numFmtId="0">
      <sharedItems containsSemiMixedTypes="0" containsString="0" containsNumber="1" containsInteger="1" minValue="0" maxValue="0"/>
    </cacheField>
    <cacheField name="KITCHEN APP" numFmtId="0">
      <sharedItems containsSemiMixedTypes="0" containsString="0" containsNumber="1" containsInteger="1" minValue="0" maxValue="0"/>
    </cacheField>
    <cacheField name="PLANTS" numFmtId="0">
      <sharedItems containsSemiMixedTypes="0" containsString="0" containsNumber="1" containsInteger="1" minValue="0" maxValue="0"/>
    </cacheField>
    <cacheField name="DONATION"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MITHA R" refreshedDate="44882.792611226854" createdVersion="8" refreshedVersion="8" minRefreshableVersion="3" recordCount="12" xr:uid="{63EE582A-44D9-420D-8BB0-50C0D6C398EC}">
  <cacheSource type="worksheet">
    <worksheetSource ref="A20:AN32" sheet="worksheet"/>
  </cacheSource>
  <cacheFields count="40">
    <cacheField name="MONTH" numFmtId="14">
      <sharedItems/>
    </cacheField>
    <cacheField name="INCOME" numFmtId="0">
      <sharedItems containsSemiMixedTypes="0" containsString="0" containsNumber="1" containsInteger="1" minValue="60000" maxValue="110329"/>
    </cacheField>
    <cacheField name="RICE" numFmtId="0">
      <sharedItems containsSemiMixedTypes="0" containsString="0" containsNumber="1" containsInteger="1" minValue="517" maxValue="1030"/>
    </cacheField>
    <cacheField name="ATTA" numFmtId="0">
      <sharedItems containsSemiMixedTypes="0" containsString="0" containsNumber="1" containsInteger="1" minValue="0" maxValue="440"/>
    </cacheField>
    <cacheField name="SUGAR" numFmtId="0">
      <sharedItems containsSemiMixedTypes="0" containsString="0" containsNumber="1" containsInteger="1" minValue="118" maxValue="231"/>
    </cacheField>
    <cacheField name="TUVAR DAL" numFmtId="0">
      <sharedItems containsSemiMixedTypes="0" containsString="0" containsNumber="1" containsInteger="1" minValue="118" maxValue="260"/>
    </cacheField>
    <cacheField name="G.OIL" numFmtId="0">
      <sharedItems containsSemiMixedTypes="0" containsString="0" containsNumber="1" containsInteger="1" minValue="410" maxValue="965"/>
    </cacheField>
    <cacheField name="TEA/COF POW" numFmtId="0">
      <sharedItems containsSemiMixedTypes="0" containsString="0" containsNumber="1" containsInteger="1" minValue="170" maxValue="447"/>
    </cacheField>
    <cacheField name="MILK/CURD" numFmtId="0">
      <sharedItems containsSemiMixedTypes="0" containsString="0" containsNumber="1" containsInteger="1" minValue="875" maxValue="1485"/>
    </cacheField>
    <cacheField name="D WATER" numFmtId="0">
      <sharedItems containsSemiMixedTypes="0" containsString="0" containsNumber="1" containsInteger="1" minValue="120" maxValue="900"/>
    </cacheField>
    <cacheField name="BUT/GHEE" numFmtId="0">
      <sharedItems containsSemiMixedTypes="0" containsString="0" containsNumber="1" containsInteger="1" minValue="0" maxValue="917"/>
    </cacheField>
    <cacheField name="HOTEL/SNACKS" numFmtId="0">
      <sharedItems containsSemiMixedTypes="0" containsString="0" containsNumber="1" minValue="832" maxValue="5235.2"/>
    </cacheField>
    <cacheField name="VEGETABLE" numFmtId="0">
      <sharedItems containsSemiMixedTypes="0" containsString="0" containsNumber="1" containsInteger="1" minValue="750" maxValue="1537"/>
    </cacheField>
    <cacheField name="FRUITS" numFmtId="0">
      <sharedItems containsSemiMixedTypes="0" containsString="0" containsNumber="1" containsInteger="1" minValue="488" maxValue="2390"/>
    </cacheField>
    <cacheField name="SOAP/TOILETRIES" numFmtId="0">
      <sharedItems containsSemiMixedTypes="0" containsString="0" containsNumber="1" containsInteger="1" minValue="475" maxValue="2138"/>
    </cacheField>
    <cacheField name="RAVI EXPS" numFmtId="0">
      <sharedItems containsSemiMixedTypes="0" containsString="0" containsNumber="1" containsInteger="1" minValue="660" maxValue="4550"/>
    </cacheField>
    <cacheField name="DAL/SPICES" numFmtId="0">
      <sharedItems containsSemiMixedTypes="0" containsString="0" containsNumber="1" containsInteger="1" minValue="820" maxValue="2842"/>
    </cacheField>
    <cacheField name="FISH/CHI" numFmtId="0">
      <sharedItems containsSemiMixedTypes="0" containsString="0" containsNumber="1" containsInteger="1" minValue="580" maxValue="2364"/>
    </cacheField>
    <cacheField name="Aquarium" numFmtId="0">
      <sharedItems containsSemiMixedTypes="0" containsString="0" containsNumber="1" containsInteger="1" minValue="0" maxValue="8039"/>
    </cacheField>
    <cacheField name="GAS" numFmtId="0">
      <sharedItems containsSemiMixedTypes="0" containsString="0" containsNumber="1" containsInteger="1" minValue="0" maxValue="1720"/>
    </cacheField>
    <cacheField name="PHONE REC" numFmtId="0">
      <sharedItems containsSemiMixedTypes="0" containsString="0" containsNumber="1" containsInteger="1" minValue="268" maxValue="537"/>
    </cacheField>
    <cacheField name="EB BILL" numFmtId="0">
      <sharedItems containsSemiMixedTypes="0" containsString="0" containsNumber="1" containsInteger="1" minValue="648" maxValue="1212"/>
    </cacheField>
    <cacheField name="AIRTEL/JIO" numFmtId="0">
      <sharedItems containsSemiMixedTypes="0" containsString="0" containsNumber="1" minValue="1112.82" maxValue="2357.64"/>
    </cacheField>
    <cacheField name="JAYA DOC/SIP" numFmtId="0">
      <sharedItems containsSemiMixedTypes="0" containsString="0" containsNumber="1" containsInteger="1" minValue="0" maxValue="19050"/>
    </cacheField>
    <cacheField name="BUS/AUTO" numFmtId="0">
      <sharedItems containsMixedTypes="1" containsNumber="1" minValue="340" maxValue="3557.34"/>
    </cacheField>
    <cacheField name="JAYA EXPS" numFmtId="0">
      <sharedItems containsMixedTypes="1" containsNumber="1" containsInteger="1" minValue="0" maxValue="36897"/>
    </cacheField>
    <cacheField name="HO POOJA" numFmtId="0">
      <sharedItems containsSemiMixedTypes="0" containsString="0" containsNumber="1" containsInteger="1" minValue="1440" maxValue="6101"/>
    </cacheField>
    <cacheField name="VEH EXPS" numFmtId="0">
      <sharedItems containsSemiMixedTypes="0" containsString="0" containsNumber="1" containsInteger="1" minValue="0" maxValue="99540"/>
    </cacheField>
    <cacheField name="SUSH EXPS" numFmtId="0">
      <sharedItems containsSemiMixedTypes="0" containsString="0" containsNumber="1" minValue="1827" maxValue="52890"/>
    </cacheField>
    <cacheField name="SUSH SIP/DOC" numFmtId="0">
      <sharedItems containsSemiMixedTypes="0" containsString="0" containsNumber="1" containsInteger="1" minValue="0" maxValue="6750"/>
    </cacheField>
    <cacheField name="AYYA A/C" numFmtId="0">
      <sharedItems containsSemiMixedTypes="0" containsString="0" containsNumber="1" minValue="2000" maxValue="5000"/>
    </cacheField>
    <cacheField name="MEDICINE" numFmtId="0">
      <sharedItems containsSemiMixedTypes="0" containsString="0" containsNumber="1" containsInteger="1" minValue="75" maxValue="2925"/>
    </cacheField>
    <cacheField name="MUM AYYA" numFmtId="0">
      <sharedItems containsSemiMixedTypes="0" containsString="0" containsNumber="1" containsInteger="1" minValue="0" maxValue="5000"/>
    </cacheField>
    <cacheField name="MISC EXPS" numFmtId="0">
      <sharedItems containsSemiMixedTypes="0" containsString="0" containsNumber="1" minValue="312" maxValue="16060.7"/>
    </cacheField>
    <cacheField name="HO RENT" numFmtId="0">
      <sharedItems containsSemiMixedTypes="0" containsString="0" containsNumber="1" containsInteger="1" minValue="9500" maxValue="9500"/>
    </cacheField>
    <cacheField name="GOLDCHIT" numFmtId="0">
      <sharedItems containsSemiMixedTypes="0" containsString="0" containsNumber="1" containsInteger="1" minValue="0" maxValue="10050"/>
    </cacheField>
    <cacheField name="PETROL EXPS" numFmtId="0">
      <sharedItems containsSemiMixedTypes="0" containsString="0" containsNumber="1" containsInteger="1" minValue="0" maxValue="660"/>
    </cacheField>
    <cacheField name="KITCHEN APP" numFmtId="0">
      <sharedItems containsSemiMixedTypes="0" containsString="0" containsNumber="1" minValue="0" maxValue="10792"/>
    </cacheField>
    <cacheField name="PLANTS" numFmtId="0">
      <sharedItems containsSemiMixedTypes="0" containsString="0" containsNumber="1" containsInteger="1" minValue="0" maxValue="3535"/>
    </cacheField>
    <cacheField name="DONATION" numFmtId="0">
      <sharedItems containsSemiMixedTypes="0" containsString="0" containsNumber="1" minValue="0" maxValue="3065.0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MITHA R" refreshedDate="44882.792611574077" createdVersion="8" refreshedVersion="8" minRefreshableVersion="3" recordCount="10" xr:uid="{E08C0A92-3F72-4F37-828E-A003FC4E48F8}">
  <cacheSource type="worksheet">
    <worksheetSource ref="A38:AN48" sheet="worksheet"/>
  </cacheSource>
  <cacheFields count="40">
    <cacheField name="MONTH" numFmtId="14">
      <sharedItems/>
    </cacheField>
    <cacheField name="INCOME" numFmtId="0">
      <sharedItems containsSemiMixedTypes="0" containsString="0" containsNumber="1" containsInteger="1" minValue="60000" maxValue="210000"/>
    </cacheField>
    <cacheField name="RICE" numFmtId="0">
      <sharedItems containsSemiMixedTypes="0" containsString="0" containsNumber="1" containsInteger="1" minValue="250" maxValue="1096"/>
    </cacheField>
    <cacheField name="ATTA" numFmtId="0">
      <sharedItems containsSemiMixedTypes="0" containsString="0" containsNumber="1" containsInteger="1" minValue="0" maxValue="420"/>
    </cacheField>
    <cacheField name="SUGAR" numFmtId="0">
      <sharedItems containsSemiMixedTypes="0" containsString="0" containsNumber="1" containsInteger="1" minValue="0" maxValue="181"/>
    </cacheField>
    <cacheField name="TUVAR DAL" numFmtId="0">
      <sharedItems containsSemiMixedTypes="0" containsString="0" containsNumber="1" containsInteger="1" minValue="130" maxValue="502"/>
    </cacheField>
    <cacheField name="G.OIL" numFmtId="0">
      <sharedItems containsSemiMixedTypes="0" containsString="0" containsNumber="1" containsInteger="1" minValue="380" maxValue="845"/>
    </cacheField>
    <cacheField name="TEA/COF POW" numFmtId="0">
      <sharedItems containsSemiMixedTypes="0" containsString="0" containsNumber="1" containsInteger="1" minValue="40" maxValue="218"/>
    </cacheField>
    <cacheField name="MILK/CURD" numFmtId="0">
      <sharedItems containsSemiMixedTypes="0" containsString="0" containsNumber="1" containsInteger="1" minValue="657" maxValue="1430"/>
    </cacheField>
    <cacheField name="D WATER" numFmtId="0">
      <sharedItems containsSemiMixedTypes="0" containsString="0" containsNumber="1" containsInteger="1" minValue="120" maxValue="420"/>
    </cacheField>
    <cacheField name="BUT/GHEE" numFmtId="0">
      <sharedItems containsSemiMixedTypes="0" containsString="0" containsNumber="1" containsInteger="1" minValue="0" maxValue="670"/>
    </cacheField>
    <cacheField name="HOTEL/SNACKS" numFmtId="0">
      <sharedItems containsSemiMixedTypes="0" containsString="0" containsNumber="1" minValue="1681" maxValue="13036.65"/>
    </cacheField>
    <cacheField name="VEGETABLE" numFmtId="0">
      <sharedItems containsSemiMixedTypes="0" containsString="0" containsNumber="1" containsInteger="1" minValue="605" maxValue="1400"/>
    </cacheField>
    <cacheField name="FRUITS" numFmtId="0">
      <sharedItems containsSemiMixedTypes="0" containsString="0" containsNumber="1" containsInteger="1" minValue="695" maxValue="2085"/>
    </cacheField>
    <cacheField name="SOAP/TOILETRIES" numFmtId="0">
      <sharedItems containsSemiMixedTypes="0" containsString="0" containsNumber="1" containsInteger="1" minValue="265" maxValue="2652"/>
    </cacheField>
    <cacheField name="RAVI EXPS" numFmtId="0">
      <sharedItems containsSemiMixedTypes="0" containsString="0" containsNumber="1" containsInteger="1" minValue="740" maxValue="96233"/>
    </cacheField>
    <cacheField name="DAL/SPICES" numFmtId="0">
      <sharedItems containsSemiMixedTypes="0" containsString="0" containsNumber="1" containsInteger="1" minValue="171" maxValue="2723"/>
    </cacheField>
    <cacheField name="FISH/CHI" numFmtId="0">
      <sharedItems containsSemiMixedTypes="0" containsString="0" containsNumber="1" containsInteger="1" minValue="493" maxValue="2128"/>
    </cacheField>
    <cacheField name="Aquarium" numFmtId="0">
      <sharedItems containsSemiMixedTypes="0" containsString="0" containsNumber="1" containsInteger="1" minValue="0" maxValue="529"/>
    </cacheField>
    <cacheField name="GAS" numFmtId="0">
      <sharedItems containsSemiMixedTypes="0" containsString="0" containsNumber="1" containsInteger="1" minValue="0" maxValue="1100"/>
    </cacheField>
    <cacheField name="PHONE REC" numFmtId="0">
      <sharedItems containsSemiMixedTypes="0" containsString="0" containsNumber="1" containsInteger="1" minValue="398" maxValue="750"/>
    </cacheField>
    <cacheField name="EB BILL" numFmtId="0">
      <sharedItems containsSemiMixedTypes="0" containsString="0" containsNumber="1" containsInteger="1" minValue="776" maxValue="1278"/>
    </cacheField>
    <cacheField name="AIRTEL/JIO" numFmtId="0">
      <sharedItems containsSemiMixedTypes="0" containsString="0" containsNumber="1" minValue="1178.82" maxValue="1178.82"/>
    </cacheField>
    <cacheField name="JAYA DOC/SIP" numFmtId="0">
      <sharedItems containsSemiMixedTypes="0" containsString="0" containsNumber="1" containsInteger="1" minValue="0" maxValue="20000"/>
    </cacheField>
    <cacheField name="BUS/AUTO" numFmtId="0">
      <sharedItems containsSemiMixedTypes="0" containsString="0" containsNumber="1" minValue="0" maxValue="14178"/>
    </cacheField>
    <cacheField name="JAYA EXPS" numFmtId="0">
      <sharedItems containsSemiMixedTypes="0" containsString="0" containsNumber="1" minValue="0" maxValue="46850"/>
    </cacheField>
    <cacheField name="HO POOJA" numFmtId="0">
      <sharedItems containsSemiMixedTypes="0" containsString="0" containsNumber="1" containsInteger="1" minValue="370" maxValue="3815"/>
    </cacheField>
    <cacheField name="VEH EXPS" numFmtId="0">
      <sharedItems containsSemiMixedTypes="0" containsString="0" containsNumber="1" containsInteger="1" minValue="0" maxValue="1486"/>
    </cacheField>
    <cacheField name="SUSH EXPS" numFmtId="0">
      <sharedItems containsSemiMixedTypes="0" containsString="0" containsNumber="1" minValue="1088" maxValue="36615"/>
    </cacheField>
    <cacheField name="SUSH SIP/DOC" numFmtId="0">
      <sharedItems containsSemiMixedTypes="0" containsString="0" containsNumber="1" containsInteger="1" minValue="0" maxValue="3000"/>
    </cacheField>
    <cacheField name="AYYA A/C" numFmtId="0">
      <sharedItems containsSemiMixedTypes="0" containsString="0" containsNumber="1" minValue="3000" maxValue="6936.8"/>
    </cacheField>
    <cacheField name="MEDICINE" numFmtId="0">
      <sharedItems containsSemiMixedTypes="0" containsString="0" containsNumber="1" containsInteger="1" minValue="0" maxValue="1213"/>
    </cacheField>
    <cacheField name="MUM AYYA" numFmtId="0">
      <sharedItems containsSemiMixedTypes="0" containsString="0" containsNumber="1" containsInteger="1" minValue="3000" maxValue="44000"/>
    </cacheField>
    <cacheField name="MISC EXPS" numFmtId="0">
      <sharedItems containsSemiMixedTypes="0" containsString="0" containsNumber="1" minValue="1695" maxValue="17491.7"/>
    </cacheField>
    <cacheField name="HO RENT" numFmtId="0">
      <sharedItems containsSemiMixedTypes="0" containsString="0" containsNumber="1" containsInteger="1" minValue="9500" maxValue="9500"/>
    </cacheField>
    <cacheField name="GOLDCHIT" numFmtId="0">
      <sharedItems containsSemiMixedTypes="0" containsString="0" containsNumber="1" containsInteger="1" minValue="5000" maxValue="5000"/>
    </cacheField>
    <cacheField name="PETROL EXPS" numFmtId="0">
      <sharedItems containsSemiMixedTypes="0" containsString="0" containsNumber="1" minValue="0" maxValue="1540.14"/>
    </cacheField>
    <cacheField name="KITCHEN APP" numFmtId="0">
      <sharedItems containsSemiMixedTypes="0" containsString="0" containsNumber="1" containsInteger="1" minValue="0" maxValue="15067"/>
    </cacheField>
    <cacheField name="PLANTS" numFmtId="0">
      <sharedItems containsSemiMixedTypes="0" containsString="0" containsNumber="1" containsInteger="1" minValue="0" maxValue="3943"/>
    </cacheField>
    <cacheField name="DONATION" numFmtId="0">
      <sharedItems containsSemiMixedTypes="0" containsString="0" containsNumber="1" containsInteger="1" minValue="0" maxValue="22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52622.27"/>
    <n v="0"/>
    <n v="0"/>
    <n v="0"/>
    <n v="0"/>
    <n v="0"/>
    <n v="0"/>
    <n v="0"/>
    <n v="0"/>
    <n v="0"/>
    <n v="0"/>
    <n v="0"/>
    <n v="0"/>
    <n v="0"/>
    <n v="0"/>
    <n v="0"/>
    <n v="0"/>
    <n v="0"/>
    <n v="0"/>
    <n v="438"/>
    <n v="522"/>
    <n v="706.82"/>
    <n v="0"/>
    <n v="0"/>
    <n v="0"/>
    <n v="0"/>
    <n v="0"/>
    <n v="2795"/>
    <n v="0"/>
    <n v="0"/>
    <n v="0"/>
    <n v="0"/>
    <n v="23369"/>
    <n v="9500"/>
    <n v="0"/>
    <n v="0"/>
    <n v="0"/>
    <n v="0"/>
    <x v="0"/>
    <n v="37331"/>
  </r>
  <r>
    <x v="1"/>
    <n v="46780.61"/>
    <n v="0"/>
    <n v="0"/>
    <n v="0"/>
    <n v="0"/>
    <n v="0"/>
    <n v="0"/>
    <n v="0"/>
    <n v="0"/>
    <n v="0"/>
    <n v="0"/>
    <n v="0"/>
    <n v="0"/>
    <n v="0"/>
    <n v="0"/>
    <n v="0"/>
    <n v="0"/>
    <n v="0"/>
    <n v="0"/>
    <n v="438"/>
    <n v="528"/>
    <n v="706.82"/>
    <n v="0"/>
    <n v="2264"/>
    <n v="0"/>
    <n v="0"/>
    <n v="0"/>
    <n v="0"/>
    <n v="0"/>
    <n v="0"/>
    <n v="0"/>
    <n v="0"/>
    <n v="18520"/>
    <n v="9500"/>
    <n v="6000"/>
    <n v="0"/>
    <n v="0"/>
    <n v="0"/>
    <x v="0"/>
    <n v="37957"/>
  </r>
  <r>
    <x v="2"/>
    <n v="74321.820000000007"/>
    <n v="900"/>
    <n v="135"/>
    <n v="245"/>
    <n v="150"/>
    <n v="505"/>
    <n v="202"/>
    <n v="604"/>
    <n v="370"/>
    <n v="155"/>
    <n v="2000"/>
    <n v="1130"/>
    <n v="570"/>
    <n v="555"/>
    <n v="430"/>
    <n v="934"/>
    <n v="555"/>
    <n v="0"/>
    <n v="860"/>
    <n v="368"/>
    <n v="522"/>
    <n v="707"/>
    <n v="0"/>
    <n v="2051.17"/>
    <n v="0"/>
    <n v="730"/>
    <n v="0"/>
    <n v="2380"/>
    <n v="1000"/>
    <n v="2090"/>
    <n v="960"/>
    <n v="0"/>
    <n v="440"/>
    <n v="9500"/>
    <n v="3000"/>
    <n v="0"/>
    <n v="0"/>
    <n v="0"/>
    <x v="0"/>
    <n v="34048.17"/>
  </r>
  <r>
    <x v="3"/>
    <n v="1095"/>
    <n v="510"/>
    <n v="540"/>
    <n v="80"/>
    <n v="120"/>
    <n v="360"/>
    <n v="205"/>
    <n v="562"/>
    <n v="450"/>
    <n v="690"/>
    <n v="500"/>
    <n v="1005"/>
    <n v="780"/>
    <n v="368"/>
    <n v="450"/>
    <n v="3665"/>
    <n v="287"/>
    <n v="0"/>
    <n v="800"/>
    <n v="438"/>
    <n v="506"/>
    <n v="1105.82"/>
    <n v="0"/>
    <n v="0"/>
    <n v="0"/>
    <n v="898"/>
    <n v="0"/>
    <n v="495"/>
    <n v="0"/>
    <n v="0"/>
    <n v="915"/>
    <n v="0"/>
    <n v="766"/>
    <n v="9500"/>
    <n v="0"/>
    <n v="0"/>
    <n v="0"/>
    <n v="0"/>
    <x v="0"/>
    <n v="25995.82"/>
  </r>
  <r>
    <x v="4"/>
    <n v="37416.910000000003"/>
    <n v="0"/>
    <n v="0"/>
    <n v="0"/>
    <n v="0"/>
    <n v="0"/>
    <n v="0"/>
    <n v="0"/>
    <n v="0"/>
    <n v="0"/>
    <n v="0"/>
    <n v="0"/>
    <n v="0"/>
    <n v="0"/>
    <n v="0"/>
    <n v="0"/>
    <n v="0"/>
    <n v="0"/>
    <n v="0"/>
    <n v="219"/>
    <n v="692"/>
    <n v="707"/>
    <n v="0"/>
    <n v="0"/>
    <n v="0"/>
    <n v="0"/>
    <n v="0"/>
    <n v="3100"/>
    <n v="0"/>
    <n v="0"/>
    <n v="0"/>
    <n v="0"/>
    <n v="10944"/>
    <n v="9500"/>
    <n v="3000"/>
    <n v="0"/>
    <n v="0"/>
    <n v="0"/>
    <x v="0"/>
    <n v="28162"/>
  </r>
  <r>
    <x v="5"/>
    <n v="37750"/>
    <n v="560"/>
    <n v="198"/>
    <n v="156"/>
    <n v="112"/>
    <n v="438"/>
    <n v="220"/>
    <n v="907"/>
    <n v="360"/>
    <n v="660"/>
    <n v="2811"/>
    <n v="1085"/>
    <n v="1171"/>
    <n v="443"/>
    <n v="690"/>
    <n v="1590"/>
    <n v="2595"/>
    <n v="0"/>
    <n v="650"/>
    <n v="438"/>
    <n v="577"/>
    <n v="706.82"/>
    <n v="0"/>
    <n v="2870"/>
    <n v="0"/>
    <n v="1048"/>
    <n v="0"/>
    <n v="1064"/>
    <n v="0"/>
    <n v="500"/>
    <n v="1334"/>
    <n v="0"/>
    <n v="3130"/>
    <n v="9500"/>
    <n v="0"/>
    <n v="0"/>
    <n v="0"/>
    <n v="0"/>
    <x v="0"/>
    <n v="35813.82"/>
  </r>
  <r>
    <x v="6"/>
    <n v="38111.83"/>
    <n v="670"/>
    <n v="200"/>
    <n v="205"/>
    <n v="220"/>
    <n v="620"/>
    <n v="285"/>
    <n v="925"/>
    <n v="300"/>
    <n v="725"/>
    <n v="810"/>
    <n v="966"/>
    <n v="685"/>
    <n v="526"/>
    <n v="910"/>
    <n v="2222"/>
    <n v="950"/>
    <n v="0"/>
    <n v="650"/>
    <n v="657"/>
    <n v="589"/>
    <n v="706.82"/>
    <n v="0"/>
    <s v=" "/>
    <n v="0"/>
    <n v="1088"/>
    <n v="0"/>
    <n v="1030"/>
    <n v="0"/>
    <n v="0"/>
    <n v="1295"/>
    <n v="0"/>
    <n v="948"/>
    <n v="9500"/>
    <n v="0"/>
    <n v="0"/>
    <n v="0"/>
    <n v="0"/>
    <x v="0"/>
    <n v="27682.82"/>
  </r>
  <r>
    <x v="7"/>
    <n v="83091.839999999997"/>
    <n v="310"/>
    <n v="250"/>
    <n v="117"/>
    <n v="204"/>
    <n v="548"/>
    <n v="310"/>
    <n v="947"/>
    <n v="300"/>
    <n v="320"/>
    <n v="760"/>
    <n v="1130"/>
    <n v="150"/>
    <n v="897"/>
    <n v="2325"/>
    <n v="3908"/>
    <n v="1675"/>
    <n v="0"/>
    <n v="650"/>
    <n v="438"/>
    <n v="644"/>
    <n v="706.82"/>
    <n v="0"/>
    <n v="530"/>
    <n v="0"/>
    <n v="3429"/>
    <n v="0"/>
    <n v="45730.22"/>
    <n v="0"/>
    <n v="0"/>
    <n v="835"/>
    <n v="0"/>
    <n v="950"/>
    <n v="9500"/>
    <n v="0"/>
    <n v="0"/>
    <n v="0"/>
    <n v="0"/>
    <x v="0"/>
    <n v="77564.039999999994"/>
  </r>
  <r>
    <x v="8"/>
    <n v="38407.01"/>
    <n v="535"/>
    <n v="15"/>
    <n v="200"/>
    <n v="0"/>
    <n v="547"/>
    <n v="335"/>
    <n v="952"/>
    <n v="360"/>
    <n v="155"/>
    <n v="1330"/>
    <n v="1120"/>
    <n v="380"/>
    <n v="210"/>
    <n v="930"/>
    <n v="534"/>
    <n v="1255"/>
    <n v="0"/>
    <n v="650"/>
    <n v="100"/>
    <n v="636"/>
    <n v="3306.82"/>
    <n v="0"/>
    <n v="580"/>
    <n v="0"/>
    <n v="4987.8"/>
    <n v="0"/>
    <n v="1600"/>
    <n v="0"/>
    <n v="0"/>
    <n v="1660"/>
    <n v="0"/>
    <n v="1828"/>
    <n v="9500"/>
    <n v="0"/>
    <n v="0"/>
    <n v="0"/>
    <n v="0"/>
    <x v="0"/>
    <n v="33706.620000000003"/>
  </r>
  <r>
    <x v="9"/>
    <n v="152703.84"/>
    <n v="470"/>
    <n v="0"/>
    <n v="120"/>
    <n v="0"/>
    <n v="372"/>
    <n v="281"/>
    <n v="1152"/>
    <n v="330"/>
    <n v="220"/>
    <n v="2748"/>
    <n v="1075"/>
    <n v="738"/>
    <n v="275"/>
    <n v="810"/>
    <n v="1161"/>
    <n v="268"/>
    <n v="0"/>
    <n v="650"/>
    <n v="98"/>
    <n v="663"/>
    <n v="3064.46"/>
    <n v="0"/>
    <s v=" "/>
    <n v="0"/>
    <n v="9470.2999999999993"/>
    <n v="0"/>
    <n v="3724"/>
    <n v="0"/>
    <n v="2000"/>
    <n v="2820"/>
    <n v="0"/>
    <n v="1420"/>
    <n v="9500"/>
    <n v="8380"/>
    <n v="0"/>
    <n v="0"/>
    <n v="0"/>
    <x v="0"/>
    <n v="51809.760000000002"/>
  </r>
  <r>
    <x v="10"/>
    <n v="50071.4"/>
    <n v="451"/>
    <n v="150"/>
    <n v="154"/>
    <n v="170"/>
    <n v="440"/>
    <n v="284"/>
    <n v="1157"/>
    <n v="360"/>
    <n v="325"/>
    <n v="2278"/>
    <n v="1343"/>
    <n v="1250"/>
    <n v="1105"/>
    <n v="620"/>
    <n v="1769"/>
    <n v="1755"/>
    <n v="0"/>
    <n v="650"/>
    <n v="49"/>
    <n v="798"/>
    <n v="2153.64"/>
    <n v="0"/>
    <n v="530"/>
    <n v="0"/>
    <n v="4816.92"/>
    <n v="0"/>
    <n v="3560"/>
    <n v="0"/>
    <n v="3000"/>
    <n v="4040"/>
    <n v="0"/>
    <n v="5403"/>
    <n v="9500"/>
    <n v="5050"/>
    <n v="0"/>
    <n v="0"/>
    <n v="0"/>
    <x v="0"/>
    <n v="53161.56"/>
  </r>
  <r>
    <x v="11"/>
    <n v="50000"/>
    <n v="555"/>
    <n v="153"/>
    <n v="118"/>
    <n v="60"/>
    <n v="473"/>
    <n v="237"/>
    <n v="1156"/>
    <n v="240"/>
    <n v="645"/>
    <n v="1066"/>
    <n v="959"/>
    <n v="319"/>
    <n v="515"/>
    <n v="600"/>
    <n v="665"/>
    <n v="1544"/>
    <n v="0"/>
    <n v="700"/>
    <n v="517"/>
    <n v="661"/>
    <n v="1903.34"/>
    <n v="0"/>
    <s v=" "/>
    <n v="0"/>
    <n v="2430"/>
    <n v="0"/>
    <n v="2180"/>
    <n v="0"/>
    <n v="2000"/>
    <n v="550"/>
    <n v="5000"/>
    <n v="305"/>
    <n v="9500"/>
    <n v="0"/>
    <n v="0"/>
    <n v="0"/>
    <n v="0"/>
    <x v="0"/>
    <n v="35051.339999999997"/>
  </r>
  <r>
    <x v="12"/>
    <n v="662372.53"/>
    <n v="4961"/>
    <n v="1641"/>
    <n v="1395"/>
    <n v="1036"/>
    <n v="4303"/>
    <n v="2359"/>
    <n v="8362"/>
    <n v="3070"/>
    <n v="3895"/>
    <n v="14303"/>
    <n v="9813"/>
    <n v="6043"/>
    <n v="4894"/>
    <n v="7765"/>
    <n v="16448"/>
    <n v="10884"/>
    <n v="0"/>
    <n v="6260"/>
    <n v="4198"/>
    <n v="7338"/>
    <n v="16482.18"/>
    <n v="0"/>
    <n v="8825.17"/>
    <n v="0"/>
    <n v="28898.019999999997"/>
    <n v="0"/>
    <n v="67658.22"/>
    <n v="1000"/>
    <n v="9590"/>
    <n v="14409"/>
    <n v="5000"/>
    <n v="68023"/>
    <n v="114000"/>
    <n v="25430"/>
    <n v="0"/>
    <n v="0"/>
    <n v="0"/>
    <x v="0"/>
    <n v="478283.949999999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60000"/>
    <n v="855"/>
    <n v="0"/>
    <n v="181"/>
    <n v="240"/>
    <n v="700"/>
    <n v="200"/>
    <n v="1111"/>
    <n v="120"/>
    <n v="660"/>
    <n v="3439.2"/>
    <n v="1400"/>
    <n v="1165"/>
    <n v="700"/>
    <n v="2230"/>
    <n v="1301"/>
    <n v="2128"/>
    <n v="0"/>
    <n v="1050"/>
    <n v="639"/>
    <n v="920"/>
    <n v="1178.82"/>
    <n v="0"/>
    <n v="2959"/>
    <n v="4000"/>
    <n v="1090"/>
    <n v="1486"/>
    <n v="7957.51"/>
    <n v="1500"/>
    <n v="6936.8"/>
    <n v="550"/>
    <n v="3000"/>
    <n v="2069.7800000000002"/>
    <n v="9500"/>
    <n v="5000"/>
    <n v="260"/>
    <n v="0"/>
    <n v="500"/>
    <n v="0"/>
    <n v="119392.82"/>
  </r>
  <r>
    <x v="1"/>
    <n v="75000"/>
    <n v="500"/>
    <n v="0"/>
    <n v="141"/>
    <n v="130"/>
    <n v="815"/>
    <n v="218"/>
    <n v="1092"/>
    <n v="370"/>
    <n v="460"/>
    <n v="4011"/>
    <n v="810"/>
    <n v="815"/>
    <n v="752"/>
    <n v="12078"/>
    <n v="1260"/>
    <n v="1368"/>
    <n v="529"/>
    <n v="950"/>
    <n v="398"/>
    <n v="804"/>
    <n v="1178.82"/>
    <n v="0"/>
    <n v="4260"/>
    <n v="46850"/>
    <n v="1376"/>
    <n v="0"/>
    <n v="2160"/>
    <n v="0"/>
    <n v="3000"/>
    <n v="180"/>
    <n v="3000"/>
    <n v="9645"/>
    <n v="9500"/>
    <n v="5000"/>
    <n v="320"/>
    <n v="332"/>
    <n v="540"/>
    <n v="550"/>
    <n v="81899.12000000001"/>
  </r>
  <r>
    <x v="2"/>
    <n v="85000"/>
    <n v="1096"/>
    <n v="320"/>
    <n v="180"/>
    <n v="502"/>
    <n v="803"/>
    <n v="105"/>
    <n v="1373"/>
    <n v="360"/>
    <n v="662"/>
    <n v="5280.7"/>
    <n v="632"/>
    <n v="1100"/>
    <n v="2652"/>
    <n v="2090"/>
    <n v="2723"/>
    <n v="1024"/>
    <n v="0"/>
    <n v="950"/>
    <n v="637"/>
    <n v="835"/>
    <n v="1178.82"/>
    <n v="0"/>
    <n v="120"/>
    <n v="1000"/>
    <n v="2709"/>
    <n v="0"/>
    <n v="26095"/>
    <n v="3000"/>
    <n v="3500"/>
    <n v="350"/>
    <n v="3000"/>
    <n v="2751.6"/>
    <n v="9500"/>
    <n v="5000"/>
    <n v="370"/>
    <n v="0"/>
    <n v="0"/>
    <n v="0"/>
    <n v="71790.17"/>
  </r>
  <r>
    <x v="3"/>
    <n v="60000"/>
    <n v="820"/>
    <n v="0"/>
    <n v="85"/>
    <n v="260"/>
    <n v="540"/>
    <n v="60"/>
    <n v="1430"/>
    <n v="360"/>
    <n v="0"/>
    <n v="4127.3500000000004"/>
    <n v="765"/>
    <n v="1335"/>
    <n v="265"/>
    <n v="740"/>
    <n v="435"/>
    <n v="715"/>
    <n v="500"/>
    <n v="1000"/>
    <n v="637"/>
    <n v="1230"/>
    <n v="1178.82"/>
    <n v="10000"/>
    <n v="0"/>
    <n v="354"/>
    <n v="1585"/>
    <n v="0"/>
    <n v="1088"/>
    <n v="3000"/>
    <n v="6000"/>
    <n v="0"/>
    <n v="13000"/>
    <n v="4270"/>
    <n v="9500"/>
    <n v="5000"/>
    <n v="250"/>
    <n v="640"/>
    <n v="620"/>
    <n v="0"/>
    <n v="135050.23999999999"/>
  </r>
  <r>
    <x v="4"/>
    <n v="105000"/>
    <n v="785"/>
    <n v="270"/>
    <n v="90"/>
    <n v="240"/>
    <n v="535"/>
    <n v="130"/>
    <n v="1247"/>
    <n v="420"/>
    <n v="345"/>
    <n v="8983.42"/>
    <n v="1155"/>
    <n v="1200"/>
    <n v="760"/>
    <n v="2180"/>
    <n v="1260"/>
    <n v="1308"/>
    <n v="0"/>
    <n v="1050"/>
    <n v="642"/>
    <n v="1278"/>
    <n v="1178.82"/>
    <n v="10000"/>
    <n v="2610"/>
    <n v="520"/>
    <n v="2460"/>
    <n v="0"/>
    <n v="36615"/>
    <n v="3000"/>
    <n v="3000"/>
    <n v="438"/>
    <n v="23000"/>
    <n v="9807"/>
    <n v="9500"/>
    <n v="5000"/>
    <n v="0"/>
    <n v="0"/>
    <n v="3943"/>
    <n v="100"/>
    <n v="246557.17000000004"/>
  </r>
  <r>
    <x v="5"/>
    <n v="210000"/>
    <n v="250"/>
    <n v="150"/>
    <n v="0"/>
    <n v="130"/>
    <n v="470"/>
    <n v="40"/>
    <n v="657"/>
    <n v="150"/>
    <n v="250"/>
    <n v="13036.65"/>
    <n v="605"/>
    <n v="1450"/>
    <n v="1388"/>
    <n v="96233"/>
    <n v="171"/>
    <n v="493"/>
    <n v="0"/>
    <n v="0"/>
    <n v="723"/>
    <n v="1033"/>
    <n v="1178.82"/>
    <n v="10000"/>
    <n v="14178"/>
    <n v="7330"/>
    <n v="370"/>
    <n v="0"/>
    <n v="10919"/>
    <n v="3000"/>
    <n v="3500"/>
    <n v="230"/>
    <n v="44000"/>
    <n v="17491.7"/>
    <n v="9500"/>
    <n v="5000"/>
    <n v="350"/>
    <n v="1430"/>
    <n v="850"/>
    <n v="0"/>
    <n v="107832.97"/>
  </r>
  <r>
    <x v="6"/>
    <n v="70000"/>
    <n v="570"/>
    <n v="310"/>
    <n v="0"/>
    <n v="257"/>
    <n v="380"/>
    <n v="40"/>
    <n v="1075"/>
    <n v="300"/>
    <n v="330"/>
    <n v="4953"/>
    <n v="895"/>
    <n v="2085"/>
    <n v="555"/>
    <n v="5680"/>
    <n v="740"/>
    <n v="1620"/>
    <n v="480"/>
    <n v="1100"/>
    <n v="542"/>
    <n v="776"/>
    <n v="1178.82"/>
    <n v="10000"/>
    <n v="6553.4"/>
    <n v="9986.61"/>
    <n v="1670"/>
    <n v="0"/>
    <n v="15091"/>
    <n v="3000"/>
    <n v="4000"/>
    <n v="100"/>
    <n v="3000"/>
    <n v="12124"/>
    <n v="9500"/>
    <n v="5000"/>
    <n v="1540.14"/>
    <n v="0"/>
    <n v="200"/>
    <n v="2201"/>
    <n v="66813.600000000006"/>
  </r>
  <r>
    <x v="7"/>
    <n v="60000"/>
    <n v="915"/>
    <n v="420"/>
    <n v="90"/>
    <n v="250"/>
    <n v="845"/>
    <n v="80"/>
    <n v="1129"/>
    <n v="360"/>
    <n v="68"/>
    <n v="1681"/>
    <n v="1088"/>
    <n v="1050"/>
    <n v="570"/>
    <n v="1150"/>
    <n v="1427"/>
    <n v="1165"/>
    <n v="0"/>
    <n v="0"/>
    <n v="747"/>
    <n v="1116"/>
    <n v="1178.82"/>
    <n v="10000"/>
    <n v="666.8"/>
    <n v="0"/>
    <n v="2332"/>
    <n v="0"/>
    <n v="7854.0300000000007"/>
    <n v="3000"/>
    <n v="3200"/>
    <n v="1213"/>
    <n v="6000"/>
    <n v="1695"/>
    <n v="9500"/>
    <n v="5000"/>
    <n v="1022.95"/>
    <n v="0"/>
    <n v="0"/>
    <n v="0"/>
    <n v="111727.02"/>
  </r>
  <r>
    <x v="8"/>
    <n v="90000"/>
    <n v="330"/>
    <n v="195"/>
    <n v="90"/>
    <n v="240"/>
    <n v="690"/>
    <n v="175"/>
    <n v="905"/>
    <n v="300"/>
    <n v="670"/>
    <n v="4346"/>
    <n v="820"/>
    <n v="695"/>
    <n v="525"/>
    <n v="1025"/>
    <n v="1130"/>
    <n v="1350"/>
    <n v="0"/>
    <n v="1100"/>
    <n v="747"/>
    <n v="1197"/>
    <n v="1178.82"/>
    <n v="20000"/>
    <n v="3541.5"/>
    <n v="880"/>
    <n v="1650"/>
    <n v="0"/>
    <n v="16660"/>
    <n v="3000"/>
    <n v="3000"/>
    <n v="720"/>
    <n v="10000"/>
    <n v="4067.7"/>
    <n v="9500"/>
    <n v="5000"/>
    <n v="672"/>
    <n v="15067"/>
    <n v="200"/>
    <n v="60"/>
    <n v="87358.82"/>
  </r>
  <r>
    <x v="9"/>
    <n v="90000"/>
    <n v="615"/>
    <n v="125"/>
    <n v="90"/>
    <n v="260"/>
    <n v="715"/>
    <n v="150"/>
    <n v="1030"/>
    <n v="240"/>
    <n v="165"/>
    <n v="4027"/>
    <n v="1075"/>
    <n v="1310"/>
    <n v="1130"/>
    <n v="1180"/>
    <n v="1745"/>
    <n v="710"/>
    <n v="0"/>
    <n v="1100"/>
    <n v="750"/>
    <n v="961"/>
    <n v="1178.82"/>
    <n v="17900"/>
    <n v="3435"/>
    <n v="1399"/>
    <n v="3815"/>
    <n v="0"/>
    <n v="10865"/>
    <n v="3000"/>
    <n v="3400"/>
    <n v="720"/>
    <n v="3000"/>
    <n v="6208"/>
    <n v="9500"/>
    <n v="5000"/>
    <n v="0"/>
    <n v="0"/>
    <n v="560"/>
    <n v="0"/>
    <n v="2580208"/>
  </r>
  <r>
    <x v="10"/>
    <n v="905000"/>
    <n v="6736"/>
    <n v="1790"/>
    <n v="947"/>
    <n v="2509"/>
    <n v="6493"/>
    <n v="1198"/>
    <n v="11049"/>
    <n v="2980"/>
    <n v="3610"/>
    <n v="53885.32"/>
    <n v="9245"/>
    <n v="12205"/>
    <n v="9297"/>
    <n v="124586"/>
    <n v="12192"/>
    <n v="11881"/>
    <n v="1509"/>
    <n v="8300"/>
    <n v="6462"/>
    <n v="10150"/>
    <n v="11788.199999999999"/>
    <n v="87900"/>
    <n v="38323.699999999997"/>
    <n v="72319.61"/>
    <n v="19057"/>
    <n v="1486"/>
    <n v="135304.54"/>
    <n v="25500"/>
    <n v="39536.800000000003"/>
    <n v="4501"/>
    <n v="111000"/>
    <n v="70129.78"/>
    <n v="95000"/>
    <n v="50000"/>
    <n v="4785.09"/>
    <n v="17469"/>
    <n v="7413"/>
    <n v="2911"/>
    <n v="3608629.929999999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n v="2795"/>
    <m/>
    <n v="2380"/>
    <n v="495"/>
    <n v="3100"/>
    <n v="1064"/>
    <n v="1030"/>
    <n v="45730.22"/>
    <n v="1600"/>
    <n v="3724"/>
    <n v="3560"/>
    <n v="2180"/>
    <n v="5155.38"/>
    <n v="15113"/>
    <n v="3934"/>
    <n v="4578"/>
    <n v="30241"/>
    <n v="2974"/>
    <n v="1827"/>
    <n v="15219.77"/>
    <n v="2470"/>
    <n v="52890"/>
    <n v="5862"/>
    <n v="3634"/>
    <n v="7957.51"/>
    <n v="2160"/>
    <n v="26095"/>
    <n v="1088"/>
    <n v="36615"/>
    <n v="10919"/>
    <n v="15091"/>
    <n v="7854.0300000000007"/>
    <n v="16660"/>
    <n v="10865"/>
  </r>
  <r>
    <x v="1"/>
    <n v="9500"/>
    <n v="9500"/>
    <n v="9500"/>
    <n v="9500"/>
    <n v="9500"/>
    <n v="9500"/>
    <n v="9500"/>
    <n v="9500"/>
    <n v="9500"/>
    <n v="9500"/>
    <n v="9500"/>
    <n v="9500"/>
    <n v="9500"/>
    <n v="9500"/>
    <n v="9500"/>
    <n v="9500"/>
    <n v="9500"/>
    <n v="9500"/>
    <n v="9500"/>
    <n v="9500"/>
    <n v="9500"/>
    <n v="9500"/>
    <n v="9500"/>
    <n v="9500"/>
    <n v="9500"/>
    <n v="9500"/>
    <n v="9500"/>
    <n v="9500"/>
    <n v="9500"/>
    <n v="9500"/>
    <n v="9500"/>
    <n v="9500"/>
    <n v="9500"/>
    <n v="9500"/>
  </r>
  <r>
    <x v="2"/>
    <n v="23369"/>
    <n v="18520"/>
    <n v="440"/>
    <n v="766"/>
    <n v="10944"/>
    <n v="3130"/>
    <n v="948"/>
    <n v="950"/>
    <n v="1828"/>
    <n v="1420"/>
    <n v="5403"/>
    <n v="305"/>
    <n v="611"/>
    <n v="2336.4"/>
    <n v="16060.7"/>
    <n v="2933"/>
    <n v="312"/>
    <n v="2337.6999999999998"/>
    <n v="2030"/>
    <n v="2133.8000000000002"/>
    <n v="3383.9"/>
    <n v="672.2"/>
    <n v="1281"/>
    <n v="788.75"/>
    <n v="2069.7800000000002"/>
    <n v="9645"/>
    <n v="2751.6"/>
    <n v="4270"/>
    <n v="9807"/>
    <n v="17491.7"/>
    <n v="12124"/>
    <n v="1695"/>
    <n v="4067.7"/>
    <n v="6208"/>
  </r>
  <r>
    <x v="3"/>
    <m/>
    <m/>
    <m/>
    <m/>
    <m/>
    <m/>
    <m/>
    <m/>
    <m/>
    <m/>
    <m/>
    <m/>
    <m/>
    <m/>
    <m/>
    <m/>
    <m/>
    <n v="13400"/>
    <n v="16000"/>
    <n v="13000"/>
    <n v="19050"/>
    <n v="2520"/>
    <n v="0"/>
    <n v="0"/>
    <n v="0"/>
    <n v="0"/>
    <n v="0"/>
    <n v="10000"/>
    <n v="10000"/>
    <n v="10000"/>
    <n v="10000"/>
    <n v="10000"/>
    <n v="20000"/>
    <n v="17900"/>
  </r>
  <r>
    <x v="4"/>
    <m/>
    <m/>
    <n v="430"/>
    <n v="450"/>
    <n v="0"/>
    <n v="690"/>
    <n v="910"/>
    <n v="2325"/>
    <n v="930"/>
    <n v="810"/>
    <n v="620"/>
    <n v="600"/>
    <n v="660"/>
    <n v="2265"/>
    <n v="680"/>
    <n v="745"/>
    <n v="777"/>
    <n v="690"/>
    <n v="760"/>
    <n v="780"/>
    <n v="810"/>
    <n v="860"/>
    <n v="4550"/>
    <n v="1620"/>
    <n v="2230"/>
    <n v="12078"/>
    <n v="2090"/>
    <n v="740"/>
    <n v="2180"/>
    <n v="96233"/>
    <n v="5680"/>
    <n v="1150"/>
    <n v="1025"/>
    <n v="1180"/>
  </r>
  <r>
    <x v="5"/>
    <m/>
    <m/>
    <m/>
    <m/>
    <m/>
    <m/>
    <m/>
    <m/>
    <m/>
    <m/>
    <m/>
    <n v="5000"/>
    <n v="3000"/>
    <n v="0"/>
    <n v="0"/>
    <n v="0"/>
    <n v="0"/>
    <n v="3000"/>
    <n v="3000"/>
    <n v="3000"/>
    <n v="3100"/>
    <n v="3000"/>
    <n v="3000"/>
    <n v="5000"/>
    <n v="3000"/>
    <n v="3000"/>
    <n v="3000"/>
    <n v="13000"/>
    <n v="23000"/>
    <n v="44000"/>
    <n v="3000"/>
    <n v="6000"/>
    <n v="10000"/>
    <n v="3000"/>
  </r>
  <r>
    <x v="6"/>
    <m/>
    <n v="6000"/>
    <n v="3000"/>
    <m/>
    <n v="3000"/>
    <m/>
    <m/>
    <m/>
    <m/>
    <n v="8380"/>
    <n v="5050"/>
    <m/>
    <n v="5000"/>
    <n v="5000"/>
    <n v="5000"/>
    <n v="5000"/>
    <n v="0"/>
    <n v="10050"/>
    <n v="5000"/>
    <n v="5000"/>
    <n v="5000"/>
    <n v="5000"/>
    <n v="5000"/>
    <n v="5000"/>
    <n v="5000"/>
    <n v="5000"/>
    <n v="5000"/>
    <n v="5000"/>
    <n v="5000"/>
    <n v="5000"/>
    <n v="5000"/>
    <n v="5000"/>
    <n v="5000"/>
    <n v="5000"/>
  </r>
  <r>
    <x v="7"/>
    <m/>
    <m/>
    <m/>
    <m/>
    <m/>
    <m/>
    <m/>
    <m/>
    <m/>
    <m/>
    <m/>
    <m/>
    <m/>
    <n v="36897"/>
    <s v=" "/>
    <n v="100"/>
    <n v="100"/>
    <n v="5800"/>
    <n v="0"/>
    <n v="500"/>
    <n v="700"/>
    <n v="1330"/>
    <n v="2900"/>
    <n v="850"/>
    <n v="4000"/>
    <n v="46850"/>
    <n v="1000"/>
    <n v="354"/>
    <n v="520"/>
    <n v="7330"/>
    <n v="9986.61"/>
    <n v="0"/>
    <n v="880"/>
    <n v="1399"/>
  </r>
  <r>
    <x v="8"/>
    <m/>
    <m/>
    <m/>
    <m/>
    <m/>
    <m/>
    <m/>
    <m/>
    <m/>
    <m/>
    <m/>
    <m/>
    <n v="99540"/>
    <n v="200"/>
    <n v="500"/>
    <n v="0"/>
    <n v="0"/>
    <n v="470"/>
    <n v="0"/>
    <n v="110"/>
    <n v="0"/>
    <n v="0"/>
    <n v="0"/>
    <n v="0"/>
    <n v="1486"/>
    <n v="0"/>
    <n v="0"/>
    <n v="0"/>
    <n v="0"/>
    <n v="0"/>
    <n v="0"/>
    <n v="0"/>
    <n v="0"/>
    <n v="0"/>
  </r>
  <r>
    <x v="9"/>
    <m/>
    <m/>
    <n v="2000"/>
    <n v="500"/>
    <n v="0"/>
    <n v="2811"/>
    <n v="810"/>
    <n v="760"/>
    <n v="1330"/>
    <n v="2748"/>
    <n v="2278"/>
    <n v="1066"/>
    <n v="4121"/>
    <n v="4458"/>
    <n v="2252"/>
    <n v="1858"/>
    <n v="832"/>
    <n v="2460.4499999999998"/>
    <n v="1608"/>
    <n v="1991"/>
    <n v="1902.8"/>
    <n v="2767"/>
    <n v="5235.2"/>
    <n v="3345.9"/>
    <n v="3439.2"/>
    <n v="4011"/>
    <n v="5280.7"/>
    <n v="4127.3500000000004"/>
    <n v="8983.42"/>
    <n v="13036.65"/>
    <n v="4953"/>
    <n v="1681"/>
    <n v="4346"/>
    <n v="4027"/>
  </r>
  <r>
    <x v="10"/>
    <m/>
    <m/>
    <n v="730"/>
    <n v="898"/>
    <n v="0"/>
    <n v="1048"/>
    <n v="1088"/>
    <n v="3429"/>
    <n v="4987.8"/>
    <n v="9470.2999999999993"/>
    <n v="4816.92"/>
    <n v="2430"/>
    <n v="3830"/>
    <n v="5032"/>
    <n v="6101"/>
    <n v="2490"/>
    <n v="1440"/>
    <n v="1953"/>
    <n v="3163"/>
    <n v="4337"/>
    <n v="2526"/>
    <n v="1900"/>
    <n v="2469"/>
    <n v="1972"/>
    <n v="1090"/>
    <n v="1376"/>
    <n v="2709"/>
    <n v="1585"/>
    <n v="2460"/>
    <n v="370"/>
    <n v="1670"/>
    <n v="2332"/>
    <n v="1650"/>
    <n v="3815"/>
  </r>
  <r>
    <x v="11"/>
    <m/>
    <m/>
    <n v="2090"/>
    <m/>
    <m/>
    <n v="500"/>
    <m/>
    <m/>
    <m/>
    <n v="2000"/>
    <n v="3000"/>
    <n v="2000"/>
    <n v="2000"/>
    <n v="2000"/>
    <n v="4400.33"/>
    <n v="2000"/>
    <n v="2000"/>
    <n v="2500"/>
    <n v="5000"/>
    <n v="3000"/>
    <n v="3000"/>
    <n v="3200"/>
    <n v="3000"/>
    <n v="3000"/>
    <n v="6936.8"/>
    <n v="3000"/>
    <n v="3500"/>
    <n v="6000"/>
    <n v="3000"/>
    <n v="3500"/>
    <n v="4000"/>
    <n v="3200"/>
    <n v="3000"/>
    <n v="3400"/>
  </r>
  <r>
    <x v="12"/>
    <m/>
    <n v="2264"/>
    <n v="2051.17"/>
    <m/>
    <m/>
    <n v="2870"/>
    <s v=" "/>
    <n v="530"/>
    <n v="580"/>
    <s v=" "/>
    <n v="530"/>
    <s v=" "/>
    <n v="3557.34"/>
    <n v="620"/>
    <n v="1030"/>
    <n v="540"/>
    <s v=" "/>
    <n v="700"/>
    <n v="1195"/>
    <n v="885"/>
    <n v="945"/>
    <n v="340"/>
    <n v="2100"/>
    <n v="380"/>
    <n v="2959"/>
    <n v="4260"/>
    <n v="120"/>
    <n v="0"/>
    <n v="2610"/>
    <n v="14178"/>
    <n v="6553.4"/>
    <n v="666.8"/>
    <n v="3541.5"/>
    <n v="3435"/>
  </r>
  <r>
    <x v="13"/>
    <m/>
    <m/>
    <n v="1000"/>
    <m/>
    <m/>
    <m/>
    <m/>
    <m/>
    <m/>
    <m/>
    <m/>
    <m/>
    <n v="1150"/>
    <n v="6750"/>
    <n v="2000"/>
    <n v="2000"/>
    <n v="0"/>
    <n v="2000"/>
    <n v="3000"/>
    <n v="3000"/>
    <n v="5500"/>
    <n v="0"/>
    <n v="0"/>
    <n v="0"/>
    <n v="1500"/>
    <n v="0"/>
    <n v="3000"/>
    <n v="3000"/>
    <n v="3000"/>
    <n v="3000"/>
    <n v="3000"/>
    <n v="3000"/>
    <n v="3000"/>
    <n v="3000"/>
  </r>
  <r>
    <x v="14"/>
    <m/>
    <m/>
    <n v="934"/>
    <n v="3665"/>
    <n v="0"/>
    <n v="1590"/>
    <n v="2222"/>
    <n v="3908"/>
    <n v="534"/>
    <n v="1161"/>
    <n v="1769"/>
    <n v="665"/>
    <n v="1936"/>
    <n v="914"/>
    <n v="820"/>
    <n v="1969"/>
    <n v="1966"/>
    <n v="2059"/>
    <n v="1503"/>
    <n v="871"/>
    <n v="1120"/>
    <n v="1312"/>
    <n v="1450"/>
    <n v="2842"/>
    <n v="1301"/>
    <n v="1260"/>
    <n v="2723"/>
    <n v="435"/>
    <n v="1260"/>
    <n v="171"/>
    <n v="740"/>
    <n v="1427"/>
    <n v="1130"/>
    <n v="1745"/>
  </r>
  <r>
    <x v="15"/>
    <n v="706.82"/>
    <n v="706.82"/>
    <n v="707"/>
    <n v="1105.82"/>
    <n v="707"/>
    <n v="706.82"/>
    <n v="706.82"/>
    <n v="706.82"/>
    <n v="3306.82"/>
    <n v="3064.46"/>
    <n v="2153.64"/>
    <n v="1903.34"/>
    <n v="1935.64"/>
    <n v="1112.82"/>
    <n v="2357.64"/>
    <n v="1178.82"/>
    <n v="1178.82"/>
    <n v="1178.82"/>
    <n v="1178.82"/>
    <n v="1178.82"/>
    <n v="1178.82"/>
    <n v="1178.82"/>
    <n v="1178.82"/>
    <n v="1178.82"/>
    <n v="1178.82"/>
    <n v="1178.82"/>
    <n v="1178.82"/>
    <n v="1178.82"/>
    <n v="1178.82"/>
    <n v="1178.82"/>
    <n v="1178.82"/>
    <n v="1178.82"/>
    <n v="1178.82"/>
    <n v="1178.82"/>
  </r>
  <r>
    <x v="16"/>
    <m/>
    <m/>
    <n v="555"/>
    <n v="287"/>
    <n v="0"/>
    <n v="2595"/>
    <n v="950"/>
    <n v="1675"/>
    <n v="1255"/>
    <n v="268"/>
    <n v="1755"/>
    <n v="1544"/>
    <n v="866"/>
    <n v="2178"/>
    <n v="1648"/>
    <n v="580"/>
    <n v="1662"/>
    <n v="2187"/>
    <n v="2364"/>
    <n v="1281"/>
    <n v="1137"/>
    <n v="1470"/>
    <n v="1623"/>
    <n v="1136"/>
    <n v="2128"/>
    <n v="1368"/>
    <n v="1024"/>
    <n v="715"/>
    <n v="1308"/>
    <n v="493"/>
    <n v="1620"/>
    <n v="1165"/>
    <n v="1350"/>
    <n v="710"/>
  </r>
  <r>
    <x v="17"/>
    <m/>
    <m/>
    <n v="960"/>
    <n v="915"/>
    <n v="0"/>
    <n v="1334"/>
    <n v="1295"/>
    <n v="835"/>
    <n v="1660"/>
    <n v="2820"/>
    <n v="4040"/>
    <n v="550"/>
    <n v="502"/>
    <n v="1300"/>
    <n v="480"/>
    <n v="2679"/>
    <n v="2925"/>
    <n v="1240"/>
    <n v="1159"/>
    <n v="1840"/>
    <n v="75"/>
    <n v="2045"/>
    <n v="1963"/>
    <n v="475"/>
    <n v="550"/>
    <n v="180"/>
    <n v="350"/>
    <n v="0"/>
    <n v="438"/>
    <n v="230"/>
    <n v="100"/>
    <n v="1213"/>
    <n v="720"/>
    <n v="720"/>
  </r>
  <r>
    <x v="18"/>
    <m/>
    <m/>
    <n v="604"/>
    <n v="562"/>
    <n v="0"/>
    <n v="907"/>
    <n v="925"/>
    <n v="947"/>
    <n v="952"/>
    <n v="1152"/>
    <n v="1157"/>
    <n v="1156"/>
    <n v="1102"/>
    <n v="1080"/>
    <n v="1275"/>
    <n v="1095"/>
    <n v="1220"/>
    <n v="1095"/>
    <n v="1485"/>
    <n v="1169"/>
    <n v="875"/>
    <n v="1012"/>
    <n v="1023"/>
    <n v="1265"/>
    <n v="1111"/>
    <n v="1092"/>
    <n v="1373"/>
    <n v="1430"/>
    <n v="1247"/>
    <n v="657"/>
    <n v="1075"/>
    <n v="1129"/>
    <n v="905"/>
    <n v="1030"/>
  </r>
  <r>
    <x v="19"/>
    <m/>
    <m/>
    <n v="1130"/>
    <n v="1005"/>
    <n v="0"/>
    <n v="1085"/>
    <n v="966"/>
    <n v="1130"/>
    <n v="1120"/>
    <n v="1075"/>
    <n v="1343"/>
    <n v="959"/>
    <n v="789"/>
    <n v="1068"/>
    <n v="1268"/>
    <n v="802"/>
    <n v="1537"/>
    <n v="1337"/>
    <n v="1100"/>
    <n v="1111"/>
    <n v="750"/>
    <n v="1213"/>
    <n v="1270"/>
    <n v="1240"/>
    <n v="1400"/>
    <n v="810"/>
    <n v="632"/>
    <n v="765"/>
    <n v="1155"/>
    <n v="605"/>
    <n v="895"/>
    <n v="1088"/>
    <n v="820"/>
    <n v="1075"/>
  </r>
  <r>
    <x v="20"/>
    <m/>
    <m/>
    <n v="570"/>
    <n v="780"/>
    <n v="0"/>
    <n v="1171"/>
    <n v="685"/>
    <n v="150"/>
    <n v="380"/>
    <n v="738"/>
    <n v="1250"/>
    <n v="319"/>
    <n v="563"/>
    <n v="488"/>
    <n v="1059"/>
    <n v="1288"/>
    <n v="2390"/>
    <n v="1573"/>
    <n v="804"/>
    <n v="536"/>
    <n v="692"/>
    <n v="1372"/>
    <n v="1170"/>
    <n v="700"/>
    <n v="1165"/>
    <n v="815"/>
    <n v="1100"/>
    <n v="1335"/>
    <n v="1200"/>
    <n v="1450"/>
    <n v="2085"/>
    <n v="1050"/>
    <n v="695"/>
    <n v="1310"/>
  </r>
  <r>
    <x v="21"/>
    <m/>
    <m/>
    <m/>
    <m/>
    <m/>
    <m/>
    <m/>
    <m/>
    <m/>
    <m/>
    <m/>
    <m/>
    <m/>
    <m/>
    <m/>
    <m/>
    <m/>
    <n v="10792"/>
    <n v="0"/>
    <n v="300"/>
    <n v="400"/>
    <n v="0"/>
    <n v="528.64"/>
    <n v="0"/>
    <n v="0"/>
    <n v="332"/>
    <n v="0"/>
    <n v="640"/>
    <n v="0"/>
    <n v="1430"/>
    <n v="0"/>
    <n v="0"/>
    <n v="15067"/>
    <n v="0"/>
  </r>
  <r>
    <x v="22"/>
    <n v="522"/>
    <n v="528"/>
    <n v="522"/>
    <n v="506"/>
    <n v="692"/>
    <n v="577"/>
    <n v="589"/>
    <n v="644"/>
    <n v="636"/>
    <n v="663"/>
    <n v="798"/>
    <n v="661"/>
    <n v="702"/>
    <n v="702"/>
    <n v="648"/>
    <n v="968"/>
    <n v="1181"/>
    <n v="1212"/>
    <n v="890"/>
    <n v="1062"/>
    <n v="1003"/>
    <n v="1160"/>
    <n v="1153"/>
    <n v="1035"/>
    <n v="920"/>
    <n v="804"/>
    <n v="835"/>
    <n v="1230"/>
    <n v="1278"/>
    <n v="1033"/>
    <n v="776"/>
    <n v="1116"/>
    <n v="1197"/>
    <n v="961"/>
  </r>
  <r>
    <x v="23"/>
    <m/>
    <m/>
    <n v="860"/>
    <n v="800"/>
    <n v="0"/>
    <n v="650"/>
    <n v="650"/>
    <n v="650"/>
    <n v="650"/>
    <n v="650"/>
    <n v="650"/>
    <n v="700"/>
    <n v="750"/>
    <n v="0"/>
    <n v="870"/>
    <n v="1720"/>
    <n v="880"/>
    <n v="860"/>
    <n v="900"/>
    <n v="910"/>
    <n v="950"/>
    <n v="950"/>
    <n v="950"/>
    <n v="950"/>
    <n v="1050"/>
    <n v="950"/>
    <n v="950"/>
    <n v="1000"/>
    <n v="1050"/>
    <n v="0"/>
    <n v="1100"/>
    <n v="0"/>
    <n v="1100"/>
    <n v="1100"/>
  </r>
  <r>
    <x v="24"/>
    <m/>
    <m/>
    <n v="555"/>
    <n v="368"/>
    <n v="0"/>
    <n v="443"/>
    <n v="526"/>
    <n v="897"/>
    <n v="210"/>
    <n v="275"/>
    <n v="1105"/>
    <n v="515"/>
    <n v="2138"/>
    <n v="875"/>
    <n v="496"/>
    <n v="707"/>
    <n v="709"/>
    <n v="720"/>
    <n v="586"/>
    <n v="987"/>
    <n v="475"/>
    <n v="948"/>
    <n v="906"/>
    <n v="790"/>
    <n v="700"/>
    <n v="752"/>
    <n v="2652"/>
    <n v="265"/>
    <n v="760"/>
    <n v="1388"/>
    <n v="555"/>
    <n v="570"/>
    <n v="525"/>
    <n v="1130"/>
  </r>
  <r>
    <x v="25"/>
    <m/>
    <m/>
    <m/>
    <m/>
    <m/>
    <m/>
    <m/>
    <m/>
    <m/>
    <m/>
    <m/>
    <m/>
    <n v="8039"/>
    <m/>
    <n v="7210"/>
    <m/>
    <n v="158"/>
    <n v="2400"/>
    <n v="448"/>
    <n v="0"/>
    <n v="0"/>
    <n v="90"/>
    <n v="1910"/>
    <n v="0"/>
    <n v="0"/>
    <n v="529"/>
    <n v="0"/>
    <n v="500"/>
    <n v="0"/>
    <n v="0"/>
    <n v="480"/>
    <n v="0"/>
    <n v="0"/>
    <n v="0"/>
  </r>
  <r>
    <x v="26"/>
    <m/>
    <m/>
    <n v="900"/>
    <n v="510"/>
    <n v="0"/>
    <n v="560"/>
    <n v="670"/>
    <n v="310"/>
    <n v="535"/>
    <n v="470"/>
    <n v="451"/>
    <n v="555"/>
    <n v="626"/>
    <n v="591"/>
    <n v="748"/>
    <n v="674"/>
    <n v="517"/>
    <n v="682"/>
    <n v="812"/>
    <n v="555"/>
    <n v="744"/>
    <n v="1030"/>
    <n v="686"/>
    <n v="560"/>
    <n v="855"/>
    <n v="500"/>
    <n v="1096"/>
    <n v="820"/>
    <n v="785"/>
    <n v="250"/>
    <n v="570"/>
    <n v="915"/>
    <n v="330"/>
    <n v="615"/>
  </r>
  <r>
    <x v="27"/>
    <m/>
    <m/>
    <n v="505"/>
    <n v="360"/>
    <n v="0"/>
    <n v="438"/>
    <n v="620"/>
    <n v="548"/>
    <n v="547"/>
    <n v="372"/>
    <n v="440"/>
    <n v="473"/>
    <n v="532"/>
    <n v="410"/>
    <n v="545"/>
    <n v="921"/>
    <n v="832"/>
    <n v="965"/>
    <n v="740"/>
    <n v="965"/>
    <n v="880"/>
    <n v="930"/>
    <n v="528"/>
    <n v="720"/>
    <n v="700"/>
    <n v="815"/>
    <n v="803"/>
    <n v="540"/>
    <n v="535"/>
    <n v="470"/>
    <n v="380"/>
    <n v="845"/>
    <n v="690"/>
    <n v="715"/>
  </r>
  <r>
    <x v="28"/>
    <m/>
    <m/>
    <m/>
    <m/>
    <m/>
    <m/>
    <m/>
    <m/>
    <m/>
    <m/>
    <m/>
    <m/>
    <m/>
    <m/>
    <m/>
    <m/>
    <m/>
    <n v="3535"/>
    <n v="800"/>
    <n v="1520"/>
    <n v="700"/>
    <n v="2370"/>
    <n v="900"/>
    <n v="0"/>
    <n v="500"/>
    <n v="540"/>
    <n v="0"/>
    <n v="620"/>
    <n v="3943"/>
    <n v="850"/>
    <n v="200"/>
    <n v="0"/>
    <n v="200"/>
    <n v="560"/>
  </r>
  <r>
    <x v="29"/>
    <n v="438"/>
    <n v="438"/>
    <n v="368"/>
    <n v="438"/>
    <n v="219"/>
    <n v="438"/>
    <n v="657"/>
    <n v="438"/>
    <n v="100"/>
    <n v="98"/>
    <n v="49"/>
    <n v="517"/>
    <n v="487"/>
    <n v="488"/>
    <n v="268"/>
    <n v="268"/>
    <n v="268"/>
    <n v="268"/>
    <n v="268"/>
    <n v="298"/>
    <n v="298"/>
    <n v="298"/>
    <n v="298"/>
    <n v="537"/>
    <n v="639"/>
    <n v="398"/>
    <n v="637"/>
    <n v="637"/>
    <n v="642"/>
    <n v="723"/>
    <n v="542"/>
    <n v="747"/>
    <n v="747"/>
    <n v="750"/>
  </r>
  <r>
    <x v="30"/>
    <m/>
    <m/>
    <n v="155"/>
    <n v="690"/>
    <n v="0"/>
    <n v="660"/>
    <n v="725"/>
    <n v="320"/>
    <n v="155"/>
    <n v="220"/>
    <n v="325"/>
    <n v="645"/>
    <n v="820"/>
    <n v="330"/>
    <n v="690"/>
    <n v="330"/>
    <n v="310"/>
    <n v="917"/>
    <n v="680"/>
    <n v="360"/>
    <n v="480"/>
    <n v="0"/>
    <n v="335"/>
    <n v="615"/>
    <n v="660"/>
    <n v="460"/>
    <n v="662"/>
    <n v="0"/>
    <n v="345"/>
    <n v="250"/>
    <n v="330"/>
    <n v="68"/>
    <n v="670"/>
    <n v="165"/>
  </r>
  <r>
    <x v="31"/>
    <m/>
    <m/>
    <n v="370"/>
    <n v="450"/>
    <n v="0"/>
    <n v="360"/>
    <n v="300"/>
    <n v="300"/>
    <n v="360"/>
    <n v="330"/>
    <n v="360"/>
    <n v="240"/>
    <n v="390"/>
    <n v="300"/>
    <n v="720"/>
    <n v="900"/>
    <n v="630"/>
    <n v="360"/>
    <n v="420"/>
    <n v="360"/>
    <n v="360"/>
    <n v="120"/>
    <n v="280"/>
    <n v="120"/>
    <n v="120"/>
    <n v="370"/>
    <n v="360"/>
    <n v="360"/>
    <n v="420"/>
    <n v="150"/>
    <n v="300"/>
    <n v="360"/>
    <n v="300"/>
    <n v="240"/>
  </r>
  <r>
    <x v="32"/>
    <m/>
    <m/>
    <m/>
    <m/>
    <m/>
    <m/>
    <m/>
    <m/>
    <m/>
    <m/>
    <m/>
    <m/>
    <n v="450"/>
    <n v="550"/>
    <m/>
    <n v="300"/>
    <m/>
    <m/>
    <n v="0"/>
    <n v="0"/>
    <n v="300"/>
    <n v="260"/>
    <n v="300"/>
    <n v="660"/>
    <n v="260"/>
    <n v="320"/>
    <n v="370"/>
    <n v="250"/>
    <n v="0"/>
    <n v="350"/>
    <n v="1540.14"/>
    <n v="1022.95"/>
    <n v="672"/>
    <n v="0"/>
  </r>
  <r>
    <x v="33"/>
    <m/>
    <m/>
    <n v="202"/>
    <n v="205"/>
    <n v="0"/>
    <n v="220"/>
    <n v="285"/>
    <n v="310"/>
    <n v="335"/>
    <n v="281"/>
    <n v="284"/>
    <n v="237"/>
    <n v="235"/>
    <n v="447"/>
    <n v="260"/>
    <n v="280"/>
    <n v="240"/>
    <n v="224"/>
    <n v="445"/>
    <n v="315"/>
    <n v="225"/>
    <n v="170"/>
    <n v="310"/>
    <n v="221"/>
    <n v="200"/>
    <n v="218"/>
    <n v="105"/>
    <n v="60"/>
    <n v="130"/>
    <n v="40"/>
    <n v="40"/>
    <n v="80"/>
    <n v="175"/>
    <n v="150"/>
  </r>
  <r>
    <x v="34"/>
    <m/>
    <m/>
    <m/>
    <m/>
    <m/>
    <m/>
    <m/>
    <m/>
    <m/>
    <m/>
    <m/>
    <m/>
    <m/>
    <m/>
    <m/>
    <m/>
    <m/>
    <n v="3065.02"/>
    <n v="100"/>
    <n v="650"/>
    <n v="0"/>
    <n v="200"/>
    <n v="0"/>
    <n v="0"/>
    <n v="0"/>
    <n v="550"/>
    <n v="0"/>
    <n v="0"/>
    <n v="100"/>
    <n v="0"/>
    <n v="2201"/>
    <n v="0"/>
    <n v="60"/>
    <n v="0"/>
  </r>
  <r>
    <x v="35"/>
    <m/>
    <m/>
    <n v="135"/>
    <n v="540"/>
    <n v="0"/>
    <n v="198"/>
    <n v="200"/>
    <n v="250"/>
    <n v="15"/>
    <n v="0"/>
    <n v="150"/>
    <n v="153"/>
    <n v="105"/>
    <n v="220"/>
    <n v="336"/>
    <n v="0"/>
    <n v="405"/>
    <n v="0"/>
    <n v="210"/>
    <n v="152"/>
    <n v="255"/>
    <n v="440"/>
    <n v="85"/>
    <n v="350"/>
    <n v="0"/>
    <n v="0"/>
    <n v="320"/>
    <n v="0"/>
    <n v="270"/>
    <n v="150"/>
    <n v="310"/>
    <n v="420"/>
    <n v="195"/>
    <n v="125"/>
  </r>
  <r>
    <x v="36"/>
    <m/>
    <m/>
    <n v="150"/>
    <n v="120"/>
    <n v="0"/>
    <n v="112"/>
    <n v="220"/>
    <n v="204"/>
    <n v="0"/>
    <n v="0"/>
    <n v="170"/>
    <n v="60"/>
    <n v="118"/>
    <n v="182"/>
    <n v="170"/>
    <n v="231"/>
    <n v="175"/>
    <n v="260"/>
    <n v="185"/>
    <n v="195"/>
    <n v="175"/>
    <n v="195"/>
    <n v="240"/>
    <n v="120"/>
    <n v="240"/>
    <n v="130"/>
    <n v="502"/>
    <n v="260"/>
    <n v="240"/>
    <n v="130"/>
    <n v="257"/>
    <n v="250"/>
    <n v="240"/>
    <n v="260"/>
  </r>
  <r>
    <x v="37"/>
    <m/>
    <m/>
    <n v="245"/>
    <n v="80"/>
    <n v="0"/>
    <n v="156"/>
    <n v="205"/>
    <n v="117"/>
    <n v="200"/>
    <n v="120"/>
    <n v="154"/>
    <n v="118"/>
    <n v="157"/>
    <n v="118"/>
    <n v="196"/>
    <n v="185"/>
    <n v="223"/>
    <n v="179"/>
    <n v="203"/>
    <n v="180"/>
    <n v="231"/>
    <n v="147"/>
    <n v="132"/>
    <n v="184"/>
    <n v="181"/>
    <n v="141"/>
    <n v="180"/>
    <n v="85"/>
    <n v="90"/>
    <n v="0"/>
    <n v="0"/>
    <n v="90"/>
    <n v="90"/>
    <n v="9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n v="2795"/>
    <m/>
    <n v="2380"/>
    <n v="495"/>
    <n v="3100"/>
    <n v="1064"/>
    <n v="1030"/>
    <n v="45730.22"/>
    <n v="1600"/>
    <n v="3724"/>
    <n v="3560"/>
    <n v="2180"/>
    <n v="5155.38"/>
    <n v="15113"/>
    <n v="3934"/>
    <n v="4578"/>
    <n v="30241"/>
    <n v="2974"/>
    <n v="1827"/>
    <n v="15219.77"/>
    <n v="2470"/>
    <n v="52890"/>
    <n v="5862"/>
    <n v="3634"/>
    <n v="7957.51"/>
    <n v="2160"/>
    <n v="26095"/>
    <n v="1088"/>
    <n v="36615"/>
    <n v="10919"/>
    <n v="15091"/>
    <n v="7854.0300000000007"/>
    <n v="16660"/>
    <n v="10865"/>
    <n v="346860.91000000003"/>
  </r>
  <r>
    <x v="1"/>
    <n v="9500"/>
    <n v="9500"/>
    <n v="9500"/>
    <n v="9500"/>
    <n v="9500"/>
    <n v="9500"/>
    <n v="9500"/>
    <n v="9500"/>
    <n v="9500"/>
    <n v="9500"/>
    <n v="9500"/>
    <n v="9500"/>
    <n v="9500"/>
    <n v="9500"/>
    <n v="9500"/>
    <n v="9500"/>
    <n v="9500"/>
    <n v="9500"/>
    <n v="9500"/>
    <n v="9500"/>
    <n v="9500"/>
    <n v="9500"/>
    <n v="9500"/>
    <n v="9500"/>
    <n v="9500"/>
    <n v="9500"/>
    <n v="9500"/>
    <n v="9500"/>
    <n v="9500"/>
    <n v="9500"/>
    <n v="9500"/>
    <n v="9500"/>
    <n v="9500"/>
    <n v="9500"/>
    <n v="323000"/>
  </r>
  <r>
    <x v="2"/>
    <n v="23369"/>
    <n v="18520"/>
    <n v="440"/>
    <n v="766"/>
    <n v="10944"/>
    <n v="3130"/>
    <n v="948"/>
    <n v="950"/>
    <n v="1828"/>
    <n v="1420"/>
    <n v="5403"/>
    <n v="305"/>
    <n v="611"/>
    <n v="2336.4"/>
    <n v="16060.7"/>
    <n v="2933"/>
    <n v="312"/>
    <n v="2337.6999999999998"/>
    <n v="2030"/>
    <n v="2133.8000000000002"/>
    <n v="3383.9"/>
    <n v="672.2"/>
    <n v="1281"/>
    <n v="788.75"/>
    <n v="2069.7800000000002"/>
    <n v="9645"/>
    <n v="2751.6"/>
    <n v="4270"/>
    <n v="9807"/>
    <n v="17491.7"/>
    <n v="12124"/>
    <n v="1695"/>
    <n v="4067.7"/>
    <n v="6208"/>
    <n v="173033.23"/>
  </r>
  <r>
    <x v="3"/>
    <m/>
    <m/>
    <m/>
    <m/>
    <m/>
    <m/>
    <m/>
    <m/>
    <m/>
    <m/>
    <m/>
    <m/>
    <m/>
    <m/>
    <m/>
    <m/>
    <m/>
    <n v="13400"/>
    <n v="16000"/>
    <n v="13000"/>
    <n v="19050"/>
    <n v="2520"/>
    <n v="0"/>
    <n v="0"/>
    <n v="0"/>
    <n v="0"/>
    <n v="0"/>
    <n v="10000"/>
    <n v="10000"/>
    <n v="10000"/>
    <n v="10000"/>
    <n v="10000"/>
    <n v="20000"/>
    <n v="17900"/>
    <n v="151870"/>
  </r>
  <r>
    <x v="4"/>
    <m/>
    <m/>
    <n v="430"/>
    <n v="450"/>
    <n v="0"/>
    <n v="690"/>
    <n v="910"/>
    <n v="2325"/>
    <n v="930"/>
    <n v="810"/>
    <n v="620"/>
    <n v="600"/>
    <n v="660"/>
    <n v="2265"/>
    <n v="680"/>
    <n v="745"/>
    <n v="777"/>
    <n v="690"/>
    <n v="760"/>
    <n v="780"/>
    <n v="810"/>
    <n v="860"/>
    <n v="4550"/>
    <n v="1620"/>
    <n v="2230"/>
    <n v="12078"/>
    <n v="2090"/>
    <n v="740"/>
    <n v="2180"/>
    <n v="96233"/>
    <n v="5680"/>
    <n v="1150"/>
    <n v="1025"/>
    <n v="1180"/>
    <n v="147548"/>
  </r>
  <r>
    <x v="5"/>
    <m/>
    <m/>
    <m/>
    <m/>
    <m/>
    <m/>
    <m/>
    <m/>
    <m/>
    <m/>
    <m/>
    <n v="5000"/>
    <n v="3000"/>
    <n v="0"/>
    <n v="0"/>
    <n v="0"/>
    <n v="0"/>
    <n v="3000"/>
    <n v="3000"/>
    <n v="3000"/>
    <n v="3100"/>
    <n v="3000"/>
    <n v="3000"/>
    <n v="5000"/>
    <n v="3000"/>
    <n v="3000"/>
    <n v="3000"/>
    <n v="13000"/>
    <n v="23000"/>
    <n v="44000"/>
    <n v="3000"/>
    <n v="6000"/>
    <n v="10000"/>
    <n v="3000"/>
    <n v="142100"/>
  </r>
  <r>
    <x v="6"/>
    <m/>
    <n v="6000"/>
    <n v="3000"/>
    <m/>
    <n v="3000"/>
    <m/>
    <m/>
    <m/>
    <m/>
    <n v="8380"/>
    <n v="5050"/>
    <m/>
    <n v="5000"/>
    <n v="5000"/>
    <n v="5000"/>
    <n v="5000"/>
    <n v="0"/>
    <n v="10050"/>
    <n v="5000"/>
    <n v="5000"/>
    <n v="5000"/>
    <n v="5000"/>
    <n v="5000"/>
    <n v="5000"/>
    <n v="5000"/>
    <n v="5000"/>
    <n v="5000"/>
    <n v="5000"/>
    <n v="5000"/>
    <n v="5000"/>
    <n v="5000"/>
    <n v="5000"/>
    <n v="5000"/>
    <n v="5000"/>
    <n v="135480"/>
  </r>
  <r>
    <x v="7"/>
    <m/>
    <m/>
    <m/>
    <m/>
    <m/>
    <m/>
    <m/>
    <m/>
    <m/>
    <m/>
    <m/>
    <m/>
    <m/>
    <n v="36897"/>
    <s v=" "/>
    <n v="100"/>
    <n v="100"/>
    <n v="5800"/>
    <n v="0"/>
    <n v="500"/>
    <n v="700"/>
    <n v="1330"/>
    <n v="2900"/>
    <n v="850"/>
    <n v="4000"/>
    <n v="46850"/>
    <n v="1000"/>
    <n v="354"/>
    <n v="520"/>
    <n v="7330"/>
    <n v="9986.61"/>
    <n v="0"/>
    <n v="880"/>
    <n v="1399"/>
    <n v="121496.61"/>
  </r>
  <r>
    <x v="8"/>
    <m/>
    <m/>
    <m/>
    <m/>
    <m/>
    <m/>
    <m/>
    <m/>
    <m/>
    <m/>
    <m/>
    <m/>
    <n v="99540"/>
    <n v="200"/>
    <n v="500"/>
    <n v="0"/>
    <n v="0"/>
    <n v="470"/>
    <n v="0"/>
    <n v="110"/>
    <n v="0"/>
    <n v="0"/>
    <n v="0"/>
    <n v="0"/>
    <n v="1486"/>
    <n v="0"/>
    <n v="0"/>
    <n v="0"/>
    <n v="0"/>
    <n v="0"/>
    <n v="0"/>
    <n v="0"/>
    <n v="0"/>
    <n v="0"/>
    <n v="102306"/>
  </r>
  <r>
    <x v="9"/>
    <m/>
    <m/>
    <n v="2000"/>
    <n v="500"/>
    <n v="0"/>
    <n v="2811"/>
    <n v="810"/>
    <n v="760"/>
    <n v="1330"/>
    <n v="2748"/>
    <n v="2278"/>
    <n v="1066"/>
    <n v="4121"/>
    <n v="4458"/>
    <n v="2252"/>
    <n v="1858"/>
    <n v="832"/>
    <n v="2460.4499999999998"/>
    <n v="1608"/>
    <n v="1991"/>
    <n v="1902.8"/>
    <n v="2767"/>
    <n v="5235.2"/>
    <n v="3345.9"/>
    <n v="3439.2"/>
    <n v="4011"/>
    <n v="5280.7"/>
    <n v="4127.3500000000004"/>
    <n v="8983.42"/>
    <n v="13036.65"/>
    <n v="4953"/>
    <n v="1681"/>
    <n v="4346"/>
    <n v="4027"/>
    <n v="101019.66999999998"/>
  </r>
  <r>
    <x v="10"/>
    <m/>
    <m/>
    <n v="730"/>
    <n v="898"/>
    <n v="0"/>
    <n v="1048"/>
    <n v="1088"/>
    <n v="3429"/>
    <n v="4987.8"/>
    <n v="9470.2999999999993"/>
    <n v="4816.92"/>
    <n v="2430"/>
    <n v="3830"/>
    <n v="5032"/>
    <n v="6101"/>
    <n v="2490"/>
    <n v="1440"/>
    <n v="1953"/>
    <n v="3163"/>
    <n v="4337"/>
    <n v="2526"/>
    <n v="1900"/>
    <n v="2469"/>
    <n v="1972"/>
    <n v="1090"/>
    <n v="1376"/>
    <n v="2709"/>
    <n v="1585"/>
    <n v="2460"/>
    <n v="370"/>
    <n v="1670"/>
    <n v="2332"/>
    <n v="1650"/>
    <n v="3815"/>
    <n v="85168.01999999999"/>
  </r>
  <r>
    <x v="11"/>
    <m/>
    <m/>
    <n v="2090"/>
    <m/>
    <m/>
    <n v="500"/>
    <m/>
    <m/>
    <m/>
    <n v="2000"/>
    <n v="3000"/>
    <n v="2000"/>
    <n v="2000"/>
    <n v="2000"/>
    <n v="4400.33"/>
    <n v="2000"/>
    <n v="2000"/>
    <n v="2500"/>
    <n v="5000"/>
    <n v="3000"/>
    <n v="3000"/>
    <n v="3200"/>
    <n v="3000"/>
    <n v="3000"/>
    <n v="6936.8"/>
    <n v="3000"/>
    <n v="3500"/>
    <n v="6000"/>
    <n v="3000"/>
    <n v="3500"/>
    <n v="4000"/>
    <n v="3200"/>
    <n v="3000"/>
    <n v="3400"/>
    <n v="84227.13"/>
  </r>
  <r>
    <x v="12"/>
    <m/>
    <n v="2264"/>
    <n v="2051.17"/>
    <m/>
    <m/>
    <n v="2870"/>
    <s v=" "/>
    <n v="530"/>
    <n v="580"/>
    <s v=" "/>
    <n v="530"/>
    <s v=" "/>
    <n v="3557.34"/>
    <n v="620"/>
    <n v="1030"/>
    <n v="540"/>
    <s v=" "/>
    <n v="700"/>
    <n v="1195"/>
    <n v="885"/>
    <n v="945"/>
    <n v="340"/>
    <n v="2100"/>
    <n v="380"/>
    <n v="2959"/>
    <n v="4260"/>
    <n v="120"/>
    <n v="0"/>
    <n v="2610"/>
    <n v="14178"/>
    <n v="6553.4"/>
    <n v="666.8"/>
    <n v="3541.5"/>
    <n v="3435"/>
    <n v="59441.210000000006"/>
  </r>
  <r>
    <x v="13"/>
    <m/>
    <m/>
    <n v="1000"/>
    <m/>
    <m/>
    <m/>
    <m/>
    <m/>
    <m/>
    <m/>
    <m/>
    <m/>
    <n v="1150"/>
    <n v="6750"/>
    <n v="2000"/>
    <n v="2000"/>
    <n v="0"/>
    <n v="2000"/>
    <n v="3000"/>
    <n v="3000"/>
    <n v="5500"/>
    <n v="0"/>
    <n v="0"/>
    <n v="0"/>
    <n v="1500"/>
    <n v="0"/>
    <n v="3000"/>
    <n v="3000"/>
    <n v="3000"/>
    <n v="3000"/>
    <n v="3000"/>
    <n v="3000"/>
    <n v="3000"/>
    <n v="3000"/>
    <n v="51900"/>
  </r>
  <r>
    <x v="14"/>
    <m/>
    <m/>
    <n v="934"/>
    <n v="3665"/>
    <n v="0"/>
    <n v="1590"/>
    <n v="2222"/>
    <n v="3908"/>
    <n v="534"/>
    <n v="1161"/>
    <n v="1769"/>
    <n v="665"/>
    <n v="1936"/>
    <n v="914"/>
    <n v="820"/>
    <n v="1969"/>
    <n v="1966"/>
    <n v="2059"/>
    <n v="1503"/>
    <n v="871"/>
    <n v="1120"/>
    <n v="1312"/>
    <n v="1450"/>
    <n v="2842"/>
    <n v="1301"/>
    <n v="1260"/>
    <n v="2723"/>
    <n v="435"/>
    <n v="1260"/>
    <n v="171"/>
    <n v="740"/>
    <n v="1427"/>
    <n v="1130"/>
    <n v="1745"/>
    <n v="47402"/>
  </r>
  <r>
    <x v="15"/>
    <n v="706.82"/>
    <n v="706.82"/>
    <n v="707"/>
    <n v="1105.82"/>
    <n v="707"/>
    <n v="706.82"/>
    <n v="706.82"/>
    <n v="706.82"/>
    <n v="3306.82"/>
    <n v="3064.46"/>
    <n v="2153.64"/>
    <n v="1903.34"/>
    <n v="1935.64"/>
    <n v="1112.82"/>
    <n v="2357.64"/>
    <n v="1178.82"/>
    <n v="1178.82"/>
    <n v="1178.82"/>
    <n v="1178.82"/>
    <n v="1178.82"/>
    <n v="1178.82"/>
    <n v="1178.82"/>
    <n v="1178.82"/>
    <n v="1178.82"/>
    <n v="1178.82"/>
    <n v="1178.82"/>
    <n v="1178.82"/>
    <n v="1178.82"/>
    <n v="1178.82"/>
    <n v="1178.82"/>
    <n v="1178.82"/>
    <n v="1178.82"/>
    <n v="1178.82"/>
    <n v="1178.82"/>
    <n v="44285.859999999993"/>
  </r>
  <r>
    <x v="16"/>
    <m/>
    <m/>
    <n v="555"/>
    <n v="287"/>
    <n v="0"/>
    <n v="2595"/>
    <n v="950"/>
    <n v="1675"/>
    <n v="1255"/>
    <n v="268"/>
    <n v="1755"/>
    <n v="1544"/>
    <n v="866"/>
    <n v="2178"/>
    <n v="1648"/>
    <n v="580"/>
    <n v="1662"/>
    <n v="2187"/>
    <n v="2364"/>
    <n v="1281"/>
    <n v="1137"/>
    <n v="1470"/>
    <n v="1623"/>
    <n v="1136"/>
    <n v="2128"/>
    <n v="1368"/>
    <n v="1024"/>
    <n v="715"/>
    <n v="1308"/>
    <n v="493"/>
    <n v="1620"/>
    <n v="1165"/>
    <n v="1350"/>
    <n v="710"/>
    <n v="40897"/>
  </r>
  <r>
    <x v="17"/>
    <m/>
    <m/>
    <n v="960"/>
    <n v="915"/>
    <n v="0"/>
    <n v="1334"/>
    <n v="1295"/>
    <n v="835"/>
    <n v="1660"/>
    <n v="2820"/>
    <n v="4040"/>
    <n v="550"/>
    <n v="502"/>
    <n v="1300"/>
    <n v="480"/>
    <n v="2679"/>
    <n v="2925"/>
    <n v="1240"/>
    <n v="1159"/>
    <n v="1840"/>
    <n v="75"/>
    <n v="2045"/>
    <n v="1963"/>
    <n v="475"/>
    <n v="550"/>
    <n v="180"/>
    <n v="350"/>
    <n v="0"/>
    <n v="438"/>
    <n v="230"/>
    <n v="100"/>
    <n v="1213"/>
    <n v="720"/>
    <n v="720"/>
    <n v="35593"/>
  </r>
  <r>
    <x v="18"/>
    <m/>
    <m/>
    <n v="604"/>
    <n v="562"/>
    <n v="0"/>
    <n v="907"/>
    <n v="925"/>
    <n v="947"/>
    <n v="952"/>
    <n v="1152"/>
    <n v="1157"/>
    <n v="1156"/>
    <n v="1102"/>
    <n v="1080"/>
    <n v="1275"/>
    <n v="1095"/>
    <n v="1220"/>
    <n v="1095"/>
    <n v="1485"/>
    <n v="1169"/>
    <n v="875"/>
    <n v="1012"/>
    <n v="1023"/>
    <n v="1265"/>
    <n v="1111"/>
    <n v="1092"/>
    <n v="1373"/>
    <n v="1430"/>
    <n v="1247"/>
    <n v="657"/>
    <n v="1075"/>
    <n v="1129"/>
    <n v="905"/>
    <n v="1030"/>
    <n v="33107"/>
  </r>
  <r>
    <x v="19"/>
    <m/>
    <m/>
    <n v="1130"/>
    <n v="1005"/>
    <n v="0"/>
    <n v="1085"/>
    <n v="966"/>
    <n v="1130"/>
    <n v="1120"/>
    <n v="1075"/>
    <n v="1343"/>
    <n v="959"/>
    <n v="789"/>
    <n v="1068"/>
    <n v="1268"/>
    <n v="802"/>
    <n v="1537"/>
    <n v="1337"/>
    <n v="1100"/>
    <n v="1111"/>
    <n v="750"/>
    <n v="1213"/>
    <n v="1270"/>
    <n v="1240"/>
    <n v="1400"/>
    <n v="810"/>
    <n v="632"/>
    <n v="765"/>
    <n v="1155"/>
    <n v="605"/>
    <n v="895"/>
    <n v="1088"/>
    <n v="820"/>
    <n v="1075"/>
    <n v="32543"/>
  </r>
  <r>
    <x v="20"/>
    <m/>
    <m/>
    <n v="570"/>
    <n v="780"/>
    <n v="0"/>
    <n v="1171"/>
    <n v="685"/>
    <n v="150"/>
    <n v="380"/>
    <n v="738"/>
    <n v="1250"/>
    <n v="319"/>
    <n v="563"/>
    <n v="488"/>
    <n v="1059"/>
    <n v="1288"/>
    <n v="2390"/>
    <n v="1573"/>
    <n v="804"/>
    <n v="536"/>
    <n v="692"/>
    <n v="1372"/>
    <n v="1170"/>
    <n v="700"/>
    <n v="1165"/>
    <n v="815"/>
    <n v="1100"/>
    <n v="1335"/>
    <n v="1200"/>
    <n v="1450"/>
    <n v="2085"/>
    <n v="1050"/>
    <n v="695"/>
    <n v="1310"/>
    <n v="30883"/>
  </r>
  <r>
    <x v="21"/>
    <m/>
    <m/>
    <m/>
    <m/>
    <m/>
    <m/>
    <m/>
    <m/>
    <m/>
    <m/>
    <m/>
    <m/>
    <m/>
    <m/>
    <m/>
    <m/>
    <m/>
    <n v="10792"/>
    <n v="0"/>
    <n v="300"/>
    <n v="400"/>
    <n v="0"/>
    <n v="528.64"/>
    <n v="0"/>
    <n v="0"/>
    <n v="332"/>
    <n v="0"/>
    <n v="640"/>
    <n v="0"/>
    <n v="1430"/>
    <n v="0"/>
    <n v="0"/>
    <n v="15067"/>
    <n v="0"/>
    <n v="29489.64"/>
  </r>
  <r>
    <x v="22"/>
    <n v="522"/>
    <n v="528"/>
    <n v="522"/>
    <n v="506"/>
    <n v="692"/>
    <n v="577"/>
    <n v="589"/>
    <n v="644"/>
    <n v="636"/>
    <n v="663"/>
    <n v="798"/>
    <n v="661"/>
    <n v="702"/>
    <n v="702"/>
    <n v="648"/>
    <n v="968"/>
    <n v="1181"/>
    <n v="1212"/>
    <n v="890"/>
    <n v="1062"/>
    <n v="1003"/>
    <n v="1160"/>
    <n v="1153"/>
    <n v="1035"/>
    <n v="920"/>
    <n v="804"/>
    <n v="835"/>
    <n v="1230"/>
    <n v="1278"/>
    <n v="1033"/>
    <n v="776"/>
    <n v="1116"/>
    <n v="1197"/>
    <n v="961"/>
    <n v="29204"/>
  </r>
  <r>
    <x v="23"/>
    <m/>
    <m/>
    <n v="860"/>
    <n v="800"/>
    <n v="0"/>
    <n v="650"/>
    <n v="650"/>
    <n v="650"/>
    <n v="650"/>
    <n v="650"/>
    <n v="650"/>
    <n v="700"/>
    <n v="750"/>
    <n v="0"/>
    <n v="870"/>
    <n v="1720"/>
    <n v="880"/>
    <n v="860"/>
    <n v="900"/>
    <n v="910"/>
    <n v="950"/>
    <n v="950"/>
    <n v="950"/>
    <n v="950"/>
    <n v="1050"/>
    <n v="950"/>
    <n v="950"/>
    <n v="1000"/>
    <n v="1050"/>
    <n v="0"/>
    <n v="1100"/>
    <n v="0"/>
    <n v="1100"/>
    <n v="1100"/>
    <n v="25250"/>
  </r>
  <r>
    <x v="24"/>
    <m/>
    <m/>
    <n v="555"/>
    <n v="368"/>
    <n v="0"/>
    <n v="443"/>
    <n v="526"/>
    <n v="897"/>
    <n v="210"/>
    <n v="275"/>
    <n v="1105"/>
    <n v="515"/>
    <n v="2138"/>
    <n v="875"/>
    <n v="496"/>
    <n v="707"/>
    <n v="709"/>
    <n v="720"/>
    <n v="586"/>
    <n v="987"/>
    <n v="475"/>
    <n v="948"/>
    <n v="906"/>
    <n v="790"/>
    <n v="700"/>
    <n v="752"/>
    <n v="2652"/>
    <n v="265"/>
    <n v="760"/>
    <n v="1388"/>
    <n v="555"/>
    <n v="570"/>
    <n v="525"/>
    <n v="1130"/>
    <n v="24528"/>
  </r>
  <r>
    <x v="25"/>
    <m/>
    <m/>
    <m/>
    <m/>
    <m/>
    <m/>
    <m/>
    <m/>
    <m/>
    <m/>
    <m/>
    <m/>
    <n v="8039"/>
    <m/>
    <n v="7210"/>
    <m/>
    <n v="158"/>
    <n v="2400"/>
    <n v="448"/>
    <n v="0"/>
    <n v="0"/>
    <n v="90"/>
    <n v="1910"/>
    <n v="0"/>
    <n v="0"/>
    <n v="529"/>
    <n v="0"/>
    <n v="500"/>
    <n v="0"/>
    <n v="0"/>
    <n v="480"/>
    <n v="0"/>
    <n v="0"/>
    <n v="0"/>
    <n v="21764"/>
  </r>
  <r>
    <x v="26"/>
    <m/>
    <m/>
    <n v="900"/>
    <n v="510"/>
    <n v="0"/>
    <n v="560"/>
    <n v="670"/>
    <n v="310"/>
    <n v="535"/>
    <n v="470"/>
    <n v="451"/>
    <n v="555"/>
    <n v="626"/>
    <n v="591"/>
    <n v="748"/>
    <n v="674"/>
    <n v="517"/>
    <n v="682"/>
    <n v="812"/>
    <n v="555"/>
    <n v="744"/>
    <n v="1030"/>
    <n v="686"/>
    <n v="560"/>
    <n v="855"/>
    <n v="500"/>
    <n v="1096"/>
    <n v="820"/>
    <n v="785"/>
    <n v="250"/>
    <n v="570"/>
    <n v="915"/>
    <n v="330"/>
    <n v="615"/>
    <n v="19922"/>
  </r>
  <r>
    <x v="27"/>
    <m/>
    <m/>
    <n v="505"/>
    <n v="360"/>
    <n v="0"/>
    <n v="438"/>
    <n v="620"/>
    <n v="548"/>
    <n v="547"/>
    <n v="372"/>
    <n v="440"/>
    <n v="473"/>
    <n v="532"/>
    <n v="410"/>
    <n v="545"/>
    <n v="921"/>
    <n v="832"/>
    <n v="965"/>
    <n v="740"/>
    <n v="965"/>
    <n v="880"/>
    <n v="930"/>
    <n v="528"/>
    <n v="720"/>
    <n v="700"/>
    <n v="815"/>
    <n v="803"/>
    <n v="540"/>
    <n v="535"/>
    <n v="470"/>
    <n v="380"/>
    <n v="845"/>
    <n v="690"/>
    <n v="715"/>
    <n v="19764"/>
  </r>
  <r>
    <x v="28"/>
    <m/>
    <m/>
    <m/>
    <m/>
    <m/>
    <m/>
    <m/>
    <m/>
    <m/>
    <m/>
    <m/>
    <m/>
    <m/>
    <m/>
    <m/>
    <m/>
    <m/>
    <n v="3535"/>
    <n v="800"/>
    <n v="1520"/>
    <n v="700"/>
    <n v="2370"/>
    <n v="900"/>
    <n v="0"/>
    <n v="500"/>
    <n v="540"/>
    <n v="0"/>
    <n v="620"/>
    <n v="3943"/>
    <n v="850"/>
    <n v="200"/>
    <n v="0"/>
    <n v="200"/>
    <n v="560"/>
    <n v="17238"/>
  </r>
  <r>
    <x v="29"/>
    <n v="438"/>
    <n v="438"/>
    <n v="368"/>
    <n v="438"/>
    <n v="219"/>
    <n v="438"/>
    <n v="657"/>
    <n v="438"/>
    <n v="100"/>
    <n v="98"/>
    <n v="49"/>
    <n v="517"/>
    <n v="487"/>
    <n v="488"/>
    <n v="268"/>
    <n v="268"/>
    <n v="268"/>
    <n v="268"/>
    <n v="268"/>
    <n v="298"/>
    <n v="298"/>
    <n v="298"/>
    <n v="298"/>
    <n v="537"/>
    <n v="639"/>
    <n v="398"/>
    <n v="637"/>
    <n v="637"/>
    <n v="642"/>
    <n v="723"/>
    <n v="542"/>
    <n v="747"/>
    <n v="747"/>
    <n v="750"/>
    <n v="14704"/>
  </r>
  <r>
    <x v="30"/>
    <m/>
    <m/>
    <n v="155"/>
    <n v="690"/>
    <n v="0"/>
    <n v="660"/>
    <n v="725"/>
    <n v="320"/>
    <n v="155"/>
    <n v="220"/>
    <n v="325"/>
    <n v="645"/>
    <n v="820"/>
    <n v="330"/>
    <n v="690"/>
    <n v="330"/>
    <n v="310"/>
    <n v="917"/>
    <n v="680"/>
    <n v="360"/>
    <n v="480"/>
    <n v="0"/>
    <n v="335"/>
    <n v="615"/>
    <n v="660"/>
    <n v="460"/>
    <n v="662"/>
    <n v="0"/>
    <n v="345"/>
    <n v="250"/>
    <n v="330"/>
    <n v="68"/>
    <n v="670"/>
    <n v="165"/>
    <n v="13372"/>
  </r>
  <r>
    <x v="31"/>
    <m/>
    <m/>
    <n v="370"/>
    <n v="450"/>
    <n v="0"/>
    <n v="360"/>
    <n v="300"/>
    <n v="300"/>
    <n v="360"/>
    <n v="330"/>
    <n v="360"/>
    <n v="240"/>
    <n v="390"/>
    <n v="300"/>
    <n v="720"/>
    <n v="900"/>
    <n v="630"/>
    <n v="360"/>
    <n v="420"/>
    <n v="360"/>
    <n v="360"/>
    <n v="120"/>
    <n v="280"/>
    <n v="120"/>
    <n v="120"/>
    <n v="370"/>
    <n v="360"/>
    <n v="360"/>
    <n v="420"/>
    <n v="150"/>
    <n v="300"/>
    <n v="360"/>
    <n v="300"/>
    <n v="240"/>
    <n v="11010"/>
  </r>
  <r>
    <x v="32"/>
    <m/>
    <m/>
    <m/>
    <m/>
    <m/>
    <m/>
    <m/>
    <m/>
    <m/>
    <m/>
    <m/>
    <m/>
    <n v="450"/>
    <n v="550"/>
    <m/>
    <n v="300"/>
    <m/>
    <m/>
    <n v="0"/>
    <n v="0"/>
    <n v="300"/>
    <n v="260"/>
    <n v="300"/>
    <n v="660"/>
    <n v="260"/>
    <n v="320"/>
    <n v="370"/>
    <n v="250"/>
    <n v="0"/>
    <n v="350"/>
    <n v="1540.14"/>
    <n v="1022.95"/>
    <n v="672"/>
    <n v="0"/>
    <n v="7605.09"/>
  </r>
  <r>
    <x v="33"/>
    <m/>
    <m/>
    <n v="202"/>
    <n v="205"/>
    <n v="0"/>
    <n v="220"/>
    <n v="285"/>
    <n v="310"/>
    <n v="335"/>
    <n v="281"/>
    <n v="284"/>
    <n v="237"/>
    <n v="235"/>
    <n v="447"/>
    <n v="260"/>
    <n v="280"/>
    <n v="240"/>
    <n v="224"/>
    <n v="445"/>
    <n v="315"/>
    <n v="225"/>
    <n v="170"/>
    <n v="310"/>
    <n v="221"/>
    <n v="200"/>
    <n v="218"/>
    <n v="105"/>
    <n v="60"/>
    <n v="130"/>
    <n v="40"/>
    <n v="40"/>
    <n v="80"/>
    <n v="175"/>
    <n v="150"/>
    <n v="6929"/>
  </r>
  <r>
    <x v="34"/>
    <m/>
    <m/>
    <m/>
    <m/>
    <m/>
    <m/>
    <m/>
    <m/>
    <m/>
    <m/>
    <m/>
    <m/>
    <m/>
    <m/>
    <m/>
    <m/>
    <m/>
    <n v="3065.02"/>
    <n v="100"/>
    <n v="650"/>
    <n v="0"/>
    <n v="200"/>
    <n v="0"/>
    <n v="0"/>
    <n v="0"/>
    <n v="550"/>
    <n v="0"/>
    <n v="0"/>
    <n v="100"/>
    <n v="0"/>
    <n v="2201"/>
    <n v="0"/>
    <n v="60"/>
    <n v="0"/>
    <n v="6926.02"/>
  </r>
  <r>
    <x v="35"/>
    <m/>
    <m/>
    <n v="135"/>
    <n v="540"/>
    <n v="0"/>
    <n v="198"/>
    <n v="200"/>
    <n v="250"/>
    <n v="15"/>
    <n v="0"/>
    <n v="150"/>
    <n v="153"/>
    <n v="105"/>
    <n v="220"/>
    <n v="336"/>
    <n v="0"/>
    <n v="405"/>
    <n v="0"/>
    <n v="210"/>
    <n v="152"/>
    <n v="255"/>
    <n v="440"/>
    <n v="85"/>
    <n v="350"/>
    <n v="0"/>
    <n v="0"/>
    <n v="320"/>
    <n v="0"/>
    <n v="270"/>
    <n v="150"/>
    <n v="310"/>
    <n v="420"/>
    <n v="195"/>
    <n v="125"/>
    <n v="5989"/>
  </r>
  <r>
    <x v="36"/>
    <m/>
    <m/>
    <n v="150"/>
    <n v="120"/>
    <n v="0"/>
    <n v="112"/>
    <n v="220"/>
    <n v="204"/>
    <n v="0"/>
    <n v="0"/>
    <n v="170"/>
    <n v="60"/>
    <n v="118"/>
    <n v="182"/>
    <n v="170"/>
    <n v="231"/>
    <n v="175"/>
    <n v="260"/>
    <n v="185"/>
    <n v="195"/>
    <n v="175"/>
    <n v="195"/>
    <n v="240"/>
    <n v="120"/>
    <n v="240"/>
    <n v="130"/>
    <n v="502"/>
    <n v="260"/>
    <n v="240"/>
    <n v="130"/>
    <n v="257"/>
    <n v="250"/>
    <n v="240"/>
    <n v="260"/>
    <n v="5791"/>
  </r>
  <r>
    <x v="37"/>
    <m/>
    <m/>
    <n v="245"/>
    <n v="80"/>
    <n v="0"/>
    <n v="156"/>
    <n v="205"/>
    <n v="117"/>
    <n v="200"/>
    <n v="120"/>
    <n v="154"/>
    <n v="118"/>
    <n v="157"/>
    <n v="118"/>
    <n v="196"/>
    <n v="185"/>
    <n v="223"/>
    <n v="179"/>
    <n v="203"/>
    <n v="180"/>
    <n v="231"/>
    <n v="147"/>
    <n v="132"/>
    <n v="184"/>
    <n v="181"/>
    <n v="141"/>
    <n v="180"/>
    <n v="85"/>
    <n v="90"/>
    <n v="0"/>
    <n v="0"/>
    <n v="90"/>
    <n v="90"/>
    <n v="90"/>
    <n v="4477"/>
  </r>
  <r>
    <x v="38"/>
    <n v="37330.82"/>
    <n v="37956.82"/>
    <n v="34048.17"/>
    <n v="25995.82"/>
    <n v="28162"/>
    <n v="35813.82"/>
    <n v="27682.82"/>
    <n v="77564.040000000008"/>
    <n v="33706.619999999995"/>
    <n v="51809.760000000002"/>
    <n v="53161.56"/>
    <n v="35051.339999999997"/>
    <n v="161367.36000000002"/>
    <n v="103525.22"/>
    <n v="73522.67"/>
    <n v="48819.82"/>
    <n v="64608.82"/>
    <n v="94943.99"/>
    <n v="69363.820000000007"/>
    <n v="79252.39"/>
    <n v="71191.520000000004"/>
    <n v="102890.02"/>
    <n v="64116.659999999996"/>
    <n v="50789.47"/>
    <n v="67027.11"/>
    <n v="115392.82"/>
    <n v="81899.12"/>
    <n v="71790.17"/>
    <n v="135050.23999999999"/>
    <n v="246557.17"/>
    <n v="107832.97"/>
    <n v="66813.600000000006"/>
    <n v="111727.02"/>
    <n v="87358.82"/>
    <n v="2554124.3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100000"/>
    <n v="626"/>
    <n v="105"/>
    <n v="157"/>
    <n v="118"/>
    <n v="532"/>
    <n v="235"/>
    <n v="1102"/>
    <n v="390"/>
    <n v="820"/>
    <n v="4121"/>
    <n v="789"/>
    <n v="563"/>
    <n v="2138"/>
    <n v="660"/>
    <n v="1936"/>
    <n v="866"/>
    <n v="8039"/>
    <n v="750"/>
    <n v="487"/>
    <n v="702"/>
    <n v="1935.64"/>
    <n v="0"/>
    <n v="3557.34"/>
    <n v="0"/>
    <n v="3830"/>
    <n v="99540"/>
    <n v="5155.38"/>
    <n v="1150"/>
    <n v="2000"/>
    <n v="502"/>
    <n v="3000"/>
    <n v="611"/>
    <n v="9500"/>
    <n v="5000"/>
    <n v="450"/>
    <n v="0"/>
    <n v="0"/>
    <n v="0"/>
    <n v="103525.22"/>
  </r>
  <r>
    <x v="1"/>
    <n v="60198"/>
    <n v="591"/>
    <n v="220"/>
    <n v="118"/>
    <n v="182"/>
    <n v="410"/>
    <n v="447"/>
    <n v="1080"/>
    <n v="300"/>
    <n v="330"/>
    <n v="4458"/>
    <n v="1068"/>
    <n v="488"/>
    <n v="875"/>
    <n v="2265"/>
    <n v="914"/>
    <n v="2178"/>
    <n v="0"/>
    <n v="0"/>
    <n v="488"/>
    <n v="702"/>
    <n v="1112.82"/>
    <n v="0"/>
    <n v="620"/>
    <n v="36897"/>
    <n v="5032"/>
    <n v="200"/>
    <n v="15113"/>
    <n v="6750"/>
    <n v="2000"/>
    <n v="1300"/>
    <n v="0"/>
    <n v="2336.4"/>
    <n v="9500"/>
    <n v="5000"/>
    <n v="550"/>
    <n v="0"/>
    <n v="0"/>
    <n v="0"/>
    <n v="83522.42"/>
  </r>
  <r>
    <x v="2"/>
    <n v="110329"/>
    <n v="748"/>
    <n v="336"/>
    <n v="196"/>
    <n v="170"/>
    <n v="545"/>
    <n v="260"/>
    <n v="1275"/>
    <n v="720"/>
    <n v="690"/>
    <n v="2252"/>
    <n v="1268"/>
    <n v="1059"/>
    <n v="496"/>
    <n v="680"/>
    <n v="820"/>
    <n v="1648"/>
    <n v="7210"/>
    <n v="870"/>
    <n v="268"/>
    <n v="648"/>
    <n v="2357.64"/>
    <n v="0"/>
    <n v="1030"/>
    <s v=" "/>
    <n v="6101"/>
    <n v="500"/>
    <n v="3934"/>
    <n v="2000"/>
    <n v="4400.33"/>
    <n v="480"/>
    <n v="0"/>
    <n v="16060.7"/>
    <n v="9500"/>
    <n v="5000"/>
    <n v="0"/>
    <n v="0"/>
    <n v="0"/>
    <n v="0"/>
    <n v="48819.82"/>
  </r>
  <r>
    <x v="3"/>
    <n v="60000"/>
    <n v="674"/>
    <n v="0"/>
    <n v="185"/>
    <n v="231"/>
    <n v="921"/>
    <n v="280"/>
    <n v="1095"/>
    <n v="900"/>
    <n v="330"/>
    <n v="1858"/>
    <n v="802"/>
    <n v="1288"/>
    <n v="707"/>
    <n v="745"/>
    <n v="1969"/>
    <n v="580"/>
    <n v="0"/>
    <n v="1720"/>
    <n v="268"/>
    <n v="968"/>
    <n v="1178.82"/>
    <n v="0"/>
    <n v="540"/>
    <n v="100"/>
    <n v="2490"/>
    <n v="0"/>
    <n v="4578"/>
    <n v="2000"/>
    <n v="2000"/>
    <n v="2679"/>
    <n v="0"/>
    <n v="2933"/>
    <n v="9500"/>
    <n v="5000"/>
    <n v="300"/>
    <n v="0"/>
    <n v="0"/>
    <n v="0"/>
    <n v="64608.82"/>
  </r>
  <r>
    <x v="4"/>
    <n v="80320"/>
    <n v="517"/>
    <n v="405"/>
    <n v="223"/>
    <n v="175"/>
    <n v="832"/>
    <n v="240"/>
    <n v="1220"/>
    <n v="630"/>
    <n v="310"/>
    <n v="832"/>
    <n v="1537"/>
    <n v="2390"/>
    <n v="709"/>
    <n v="777"/>
    <n v="1966"/>
    <n v="1662"/>
    <n v="158"/>
    <n v="880"/>
    <n v="268"/>
    <n v="1181"/>
    <n v="1178.82"/>
    <n v="0"/>
    <s v=" "/>
    <n v="100"/>
    <n v="1440"/>
    <n v="0"/>
    <n v="30241"/>
    <n v="0"/>
    <n v="2000"/>
    <n v="2925"/>
    <n v="0"/>
    <n v="312"/>
    <n v="9500"/>
    <n v="0"/>
    <n v="0"/>
    <n v="0"/>
    <n v="0"/>
    <n v="0"/>
    <n v="94944"/>
  </r>
  <r>
    <x v="5"/>
    <n v="60025"/>
    <n v="682"/>
    <n v="0"/>
    <n v="179"/>
    <n v="260"/>
    <n v="965"/>
    <n v="224"/>
    <n v="1095"/>
    <n v="360"/>
    <n v="917"/>
    <n v="2460.4499999999998"/>
    <n v="1337"/>
    <n v="1573"/>
    <n v="720"/>
    <n v="690"/>
    <n v="2059"/>
    <n v="2187"/>
    <n v="2400"/>
    <n v="860"/>
    <n v="268"/>
    <n v="1212"/>
    <n v="1178.82"/>
    <n v="13400"/>
    <n v="700"/>
    <n v="5800"/>
    <n v="1953"/>
    <n v="470"/>
    <n v="2974"/>
    <n v="2000"/>
    <n v="2500"/>
    <n v="1240"/>
    <n v="3000"/>
    <n v="2337.6999999999998"/>
    <n v="9500"/>
    <n v="10050"/>
    <n v="0"/>
    <n v="10792"/>
    <n v="3535"/>
    <n v="3065.02"/>
    <n v="72253.820000000007"/>
  </r>
  <r>
    <x v="6"/>
    <n v="65890"/>
    <n v="812"/>
    <n v="210"/>
    <n v="203"/>
    <n v="185"/>
    <n v="740"/>
    <n v="445"/>
    <n v="1485"/>
    <n v="420"/>
    <n v="680"/>
    <n v="1608"/>
    <n v="1100"/>
    <n v="804"/>
    <n v="586"/>
    <n v="760"/>
    <n v="1503"/>
    <n v="2364"/>
    <n v="448"/>
    <n v="900"/>
    <n v="268"/>
    <n v="890"/>
    <n v="1178.82"/>
    <n v="16000"/>
    <n v="1195"/>
    <n v="0"/>
    <n v="3163"/>
    <n v="0"/>
    <n v="1827"/>
    <n v="3000"/>
    <n v="5000"/>
    <n v="1159"/>
    <n v="3000"/>
    <n v="2030"/>
    <n v="9500"/>
    <n v="5000"/>
    <n v="0"/>
    <n v="0"/>
    <n v="800"/>
    <n v="100"/>
    <n v="82452.39"/>
  </r>
  <r>
    <x v="7"/>
    <n v="80172"/>
    <n v="555"/>
    <n v="152"/>
    <n v="180"/>
    <n v="195"/>
    <n v="965"/>
    <n v="315"/>
    <n v="1169"/>
    <n v="360"/>
    <n v="360"/>
    <n v="1991"/>
    <n v="1111"/>
    <n v="536"/>
    <n v="987"/>
    <n v="780"/>
    <n v="871"/>
    <n v="1281"/>
    <n v="0"/>
    <n v="910"/>
    <n v="298"/>
    <n v="1062"/>
    <n v="1178.82"/>
    <n v="13000"/>
    <n v="885"/>
    <n v="500"/>
    <n v="4337"/>
    <n v="110"/>
    <n v="15219.77"/>
    <n v="3000"/>
    <n v="3000"/>
    <n v="1840"/>
    <n v="3000"/>
    <n v="2133.8000000000002"/>
    <n v="9500"/>
    <n v="5000"/>
    <n v="0"/>
    <n v="300"/>
    <n v="1520"/>
    <n v="650"/>
    <n v="71191.520000000004"/>
  </r>
  <r>
    <x v="8"/>
    <n v="75000"/>
    <n v="744"/>
    <n v="255"/>
    <n v="231"/>
    <n v="175"/>
    <n v="880"/>
    <n v="225"/>
    <n v="875"/>
    <n v="360"/>
    <n v="480"/>
    <n v="1902.8"/>
    <n v="750"/>
    <n v="692"/>
    <n v="475"/>
    <n v="810"/>
    <n v="1120"/>
    <n v="1137"/>
    <n v="0"/>
    <n v="950"/>
    <n v="298"/>
    <n v="1003"/>
    <n v="1178.82"/>
    <n v="19050"/>
    <n v="945"/>
    <n v="700"/>
    <n v="2526"/>
    <n v="0"/>
    <n v="2470"/>
    <n v="5500"/>
    <n v="3000"/>
    <n v="75"/>
    <n v="3100"/>
    <n v="3383.9"/>
    <n v="9500"/>
    <n v="5000"/>
    <n v="300"/>
    <n v="400"/>
    <n v="700"/>
    <n v="0"/>
    <n v="105890.02"/>
  </r>
  <r>
    <x v="9"/>
    <n v="105000"/>
    <n v="1030"/>
    <n v="440"/>
    <n v="147"/>
    <n v="195"/>
    <n v="930"/>
    <n v="170"/>
    <n v="1012"/>
    <n v="120"/>
    <n v="0"/>
    <n v="2767"/>
    <n v="1213"/>
    <n v="1372"/>
    <n v="948"/>
    <n v="860"/>
    <n v="1312"/>
    <n v="1470"/>
    <n v="90"/>
    <n v="950"/>
    <n v="298"/>
    <n v="1160"/>
    <n v="1178.82"/>
    <n v="2520"/>
    <n v="340"/>
    <n v="1330"/>
    <n v="1900"/>
    <n v="0"/>
    <n v="52890"/>
    <n v="0"/>
    <n v="3200"/>
    <n v="2045"/>
    <n v="3000"/>
    <n v="672.2"/>
    <n v="9500"/>
    <n v="5000"/>
    <n v="260"/>
    <n v="0"/>
    <n v="2370"/>
    <n v="200"/>
    <n v="67116.66"/>
  </r>
  <r>
    <x v="10"/>
    <n v="60000"/>
    <n v="686"/>
    <n v="85"/>
    <n v="132"/>
    <n v="240"/>
    <n v="528"/>
    <n v="310"/>
    <n v="1023"/>
    <n v="280"/>
    <n v="335"/>
    <n v="5235.2"/>
    <n v="1270"/>
    <n v="1170"/>
    <n v="906"/>
    <n v="4550"/>
    <n v="1450"/>
    <n v="1623"/>
    <n v="1910"/>
    <n v="950"/>
    <n v="298"/>
    <n v="1153"/>
    <n v="1178.82"/>
    <n v="0"/>
    <n v="2100"/>
    <n v="2900"/>
    <n v="2469"/>
    <n v="0"/>
    <n v="5862"/>
    <n v="0"/>
    <n v="3000"/>
    <n v="1963"/>
    <n v="3000"/>
    <n v="1281"/>
    <n v="9500"/>
    <n v="5000"/>
    <n v="300"/>
    <n v="528.64"/>
    <n v="900"/>
    <n v="0"/>
    <n v="50789.47"/>
  </r>
  <r>
    <x v="11"/>
    <n v="60000"/>
    <n v="560"/>
    <n v="350"/>
    <n v="184"/>
    <n v="120"/>
    <n v="720"/>
    <n v="221"/>
    <n v="1265"/>
    <n v="120"/>
    <n v="615"/>
    <n v="3345.9"/>
    <n v="1240"/>
    <n v="700"/>
    <n v="790"/>
    <n v="1620"/>
    <n v="2842"/>
    <n v="1136"/>
    <n v="0"/>
    <n v="950"/>
    <n v="537"/>
    <n v="1035"/>
    <n v="1178.82"/>
    <n v="0"/>
    <n v="380"/>
    <n v="850"/>
    <n v="1972"/>
    <n v="0"/>
    <n v="3634"/>
    <n v="0"/>
    <n v="3000"/>
    <n v="475"/>
    <n v="5000"/>
    <n v="788.75"/>
    <n v="9500"/>
    <n v="5000"/>
    <n v="660"/>
    <n v="0"/>
    <n v="0"/>
    <n v="0"/>
    <n v="67021.100000000006"/>
  </r>
  <r>
    <x v="12"/>
    <n v="916934"/>
    <n v="8225"/>
    <n v="2558"/>
    <n v="2135"/>
    <n v="2246"/>
    <n v="8968"/>
    <n v="3372"/>
    <n v="13696"/>
    <n v="4960"/>
    <n v="5867"/>
    <n v="32831.35"/>
    <n v="13485"/>
    <n v="12635"/>
    <n v="10337"/>
    <n v="15197"/>
    <n v="18762"/>
    <n v="18132"/>
    <n v="20255"/>
    <n v="10690"/>
    <n v="4044"/>
    <n v="11716"/>
    <n v="16015.479999999998"/>
    <n v="63970"/>
    <n v="12292.34"/>
    <n v="49177"/>
    <n v="37213"/>
    <n v="100820"/>
    <n v="143898.15000000002"/>
    <n v="25400"/>
    <n v="35100.33"/>
    <n v="16683"/>
    <n v="26100"/>
    <n v="34880.450000000004"/>
    <n v="114000"/>
    <n v="60050"/>
    <n v="2820"/>
    <n v="12020.64"/>
    <n v="9825"/>
    <n v="4015.02"/>
    <n v="912135.2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 JAN 20"/>
    <n v="52622.27"/>
    <n v="0"/>
    <n v="0"/>
    <n v="0"/>
    <n v="0"/>
    <n v="0"/>
    <n v="0"/>
    <n v="0"/>
    <n v="0"/>
    <n v="0"/>
    <n v="0"/>
    <n v="0"/>
    <n v="0"/>
    <n v="0"/>
    <n v="0"/>
    <n v="0"/>
    <n v="0"/>
    <n v="0"/>
    <n v="0"/>
    <n v="438"/>
    <n v="522"/>
    <n v="706.82"/>
    <n v="0"/>
    <n v="0"/>
    <n v="0"/>
    <n v="0"/>
    <n v="0"/>
    <n v="2795"/>
    <n v="0"/>
    <n v="0"/>
    <n v="0"/>
    <n v="0"/>
    <n v="23369"/>
    <n v="9500"/>
    <n v="0"/>
    <n v="0"/>
    <n v="0"/>
    <n v="0"/>
    <n v="0"/>
  </r>
  <r>
    <s v=" FEB 20"/>
    <n v="46780.61"/>
    <n v="0"/>
    <n v="0"/>
    <n v="0"/>
    <n v="0"/>
    <n v="0"/>
    <n v="0"/>
    <n v="0"/>
    <n v="0"/>
    <n v="0"/>
    <n v="0"/>
    <n v="0"/>
    <n v="0"/>
    <n v="0"/>
    <n v="0"/>
    <n v="0"/>
    <n v="0"/>
    <n v="0"/>
    <n v="0"/>
    <n v="438"/>
    <n v="528"/>
    <n v="706.82"/>
    <n v="0"/>
    <n v="2264"/>
    <n v="0"/>
    <n v="0"/>
    <n v="0"/>
    <n v="0"/>
    <n v="0"/>
    <n v="0"/>
    <n v="0"/>
    <n v="0"/>
    <n v="18520"/>
    <n v="9500"/>
    <n v="6000"/>
    <n v="0"/>
    <n v="0"/>
    <n v="0"/>
    <n v="0"/>
  </r>
  <r>
    <s v=" MAR 20"/>
    <n v="74321.820000000007"/>
    <n v="900"/>
    <n v="135"/>
    <n v="245"/>
    <n v="150"/>
    <n v="505"/>
    <n v="202"/>
    <n v="604"/>
    <n v="370"/>
    <n v="155"/>
    <n v="2000"/>
    <n v="1130"/>
    <n v="570"/>
    <n v="555"/>
    <n v="430"/>
    <n v="934"/>
    <n v="555"/>
    <n v="0"/>
    <n v="860"/>
    <n v="368"/>
    <n v="522"/>
    <n v="707"/>
    <n v="0"/>
    <n v="2051.17"/>
    <n v="0"/>
    <n v="730"/>
    <n v="0"/>
    <n v="2380"/>
    <n v="1000"/>
    <n v="2090"/>
    <n v="960"/>
    <n v="0"/>
    <n v="440"/>
    <n v="9500"/>
    <n v="3000"/>
    <n v="0"/>
    <n v="0"/>
    <n v="0"/>
    <n v="0"/>
  </r>
  <r>
    <s v=" APRIL 20"/>
    <n v="1095"/>
    <n v="510"/>
    <n v="540"/>
    <n v="80"/>
    <n v="120"/>
    <n v="360"/>
    <n v="205"/>
    <n v="562"/>
    <n v="450"/>
    <n v="690"/>
    <n v="500"/>
    <n v="1005"/>
    <n v="780"/>
    <n v="368"/>
    <n v="450"/>
    <n v="3665"/>
    <n v="287"/>
    <n v="0"/>
    <n v="800"/>
    <n v="438"/>
    <n v="506"/>
    <n v="1105.82"/>
    <n v="0"/>
    <n v="0"/>
    <n v="0"/>
    <n v="898"/>
    <n v="0"/>
    <n v="495"/>
    <n v="0"/>
    <n v="0"/>
    <n v="915"/>
    <n v="0"/>
    <n v="766"/>
    <n v="9500"/>
    <n v="0"/>
    <n v="0"/>
    <n v="0"/>
    <n v="0"/>
    <n v="0"/>
  </r>
  <r>
    <s v=" MAY 20"/>
    <n v="37416.910000000003"/>
    <n v="0"/>
    <n v="0"/>
    <n v="0"/>
    <n v="0"/>
    <n v="0"/>
    <n v="0"/>
    <n v="0"/>
    <n v="0"/>
    <n v="0"/>
    <n v="0"/>
    <n v="0"/>
    <n v="0"/>
    <n v="0"/>
    <n v="0"/>
    <n v="0"/>
    <n v="0"/>
    <n v="0"/>
    <n v="0"/>
    <n v="219"/>
    <n v="692"/>
    <n v="707"/>
    <n v="0"/>
    <n v="0"/>
    <n v="0"/>
    <n v="0"/>
    <n v="0"/>
    <n v="3100"/>
    <n v="0"/>
    <n v="0"/>
    <n v="0"/>
    <n v="0"/>
    <n v="10944"/>
    <n v="9500"/>
    <n v="3000"/>
    <n v="0"/>
    <n v="0"/>
    <n v="0"/>
    <n v="0"/>
  </r>
  <r>
    <s v=" JUNE 20"/>
    <n v="37750"/>
    <n v="560"/>
    <n v="198"/>
    <n v="156"/>
    <n v="112"/>
    <n v="438"/>
    <n v="220"/>
    <n v="907"/>
    <n v="360"/>
    <n v="660"/>
    <n v="2811"/>
    <n v="1085"/>
    <n v="1171"/>
    <n v="443"/>
    <n v="690"/>
    <n v="1590"/>
    <n v="2595"/>
    <n v="0"/>
    <n v="650"/>
    <n v="438"/>
    <n v="577"/>
    <n v="706.82"/>
    <n v="0"/>
    <n v="2870"/>
    <n v="0"/>
    <n v="1048"/>
    <n v="0"/>
    <n v="1064"/>
    <n v="0"/>
    <n v="500"/>
    <n v="1334"/>
    <n v="0"/>
    <n v="3130"/>
    <n v="9500"/>
    <n v="0"/>
    <n v="0"/>
    <n v="0"/>
    <n v="0"/>
    <n v="0"/>
  </r>
  <r>
    <s v=" JULY 20"/>
    <n v="38111.83"/>
    <n v="670"/>
    <n v="200"/>
    <n v="205"/>
    <n v="220"/>
    <n v="620"/>
    <n v="285"/>
    <n v="925"/>
    <n v="300"/>
    <n v="725"/>
    <n v="810"/>
    <n v="966"/>
    <n v="685"/>
    <n v="526"/>
    <n v="910"/>
    <n v="2222"/>
    <n v="950"/>
    <n v="0"/>
    <n v="650"/>
    <n v="657"/>
    <n v="589"/>
    <n v="706.82"/>
    <n v="0"/>
    <s v=" "/>
    <n v="0"/>
    <n v="1088"/>
    <n v="0"/>
    <n v="1030"/>
    <n v="0"/>
    <n v="0"/>
    <n v="1295"/>
    <n v="0"/>
    <n v="948"/>
    <n v="9500"/>
    <n v="0"/>
    <n v="0"/>
    <n v="0"/>
    <n v="0"/>
    <n v="0"/>
  </r>
  <r>
    <s v=" AUG 20"/>
    <n v="83091.839999999997"/>
    <n v="310"/>
    <n v="250"/>
    <n v="117"/>
    <n v="204"/>
    <n v="548"/>
    <n v="310"/>
    <n v="947"/>
    <n v="300"/>
    <n v="320"/>
    <n v="760"/>
    <n v="1130"/>
    <n v="150"/>
    <n v="897"/>
    <n v="2325"/>
    <n v="3908"/>
    <n v="1675"/>
    <n v="0"/>
    <n v="650"/>
    <n v="438"/>
    <n v="644"/>
    <n v="706.82"/>
    <n v="0"/>
    <n v="530"/>
    <n v="0"/>
    <n v="3429"/>
    <n v="0"/>
    <n v="45730.22"/>
    <n v="0"/>
    <n v="0"/>
    <n v="835"/>
    <n v="0"/>
    <n v="950"/>
    <n v="9500"/>
    <n v="0"/>
    <n v="0"/>
    <n v="0"/>
    <n v="0"/>
    <n v="0"/>
  </r>
  <r>
    <s v=" SEPT 20"/>
    <n v="38407.01"/>
    <n v="535"/>
    <n v="15"/>
    <n v="200"/>
    <n v="0"/>
    <n v="547"/>
    <n v="335"/>
    <n v="952"/>
    <n v="360"/>
    <n v="155"/>
    <n v="1330"/>
    <n v="1120"/>
    <n v="380"/>
    <n v="210"/>
    <n v="930"/>
    <n v="534"/>
    <n v="1255"/>
    <n v="0"/>
    <n v="650"/>
    <n v="100"/>
    <n v="636"/>
    <n v="3306.82"/>
    <n v="0"/>
    <n v="580"/>
    <n v="0"/>
    <n v="4987.8"/>
    <n v="0"/>
    <n v="1600"/>
    <n v="0"/>
    <n v="0"/>
    <n v="1660"/>
    <n v="0"/>
    <n v="1828"/>
    <n v="9500"/>
    <n v="0"/>
    <n v="0"/>
    <n v="0"/>
    <n v="0"/>
    <n v="0"/>
  </r>
  <r>
    <s v=" OCT 20"/>
    <n v="152703.84"/>
    <n v="470"/>
    <n v="0"/>
    <n v="120"/>
    <n v="0"/>
    <n v="372"/>
    <n v="281"/>
    <n v="1152"/>
    <n v="330"/>
    <n v="220"/>
    <n v="2748"/>
    <n v="1075"/>
    <n v="738"/>
    <n v="275"/>
    <n v="810"/>
    <n v="1161"/>
    <n v="268"/>
    <n v="0"/>
    <n v="650"/>
    <n v="98"/>
    <n v="663"/>
    <n v="3064.46"/>
    <n v="0"/>
    <s v=" "/>
    <n v="0"/>
    <n v="9470.2999999999993"/>
    <n v="0"/>
    <n v="3724"/>
    <n v="0"/>
    <n v="2000"/>
    <n v="2820"/>
    <n v="0"/>
    <n v="1420"/>
    <n v="9500"/>
    <n v="8380"/>
    <n v="0"/>
    <n v="0"/>
    <n v="0"/>
    <n v="0"/>
  </r>
  <r>
    <s v=" NOV 20"/>
    <n v="50071.4"/>
    <n v="451"/>
    <n v="150"/>
    <n v="154"/>
    <n v="170"/>
    <n v="440"/>
    <n v="284"/>
    <n v="1157"/>
    <n v="360"/>
    <n v="325"/>
    <n v="2278"/>
    <n v="1343"/>
    <n v="1250"/>
    <n v="1105"/>
    <n v="620"/>
    <n v="1769"/>
    <n v="1755"/>
    <n v="0"/>
    <n v="650"/>
    <n v="49"/>
    <n v="798"/>
    <n v="2153.64"/>
    <n v="0"/>
    <n v="530"/>
    <n v="0"/>
    <n v="4816.92"/>
    <n v="0"/>
    <n v="3560"/>
    <n v="0"/>
    <n v="3000"/>
    <n v="4040"/>
    <n v="0"/>
    <n v="5403"/>
    <n v="9500"/>
    <n v="5050"/>
    <n v="0"/>
    <n v="0"/>
    <n v="0"/>
    <n v="0"/>
  </r>
  <r>
    <s v=" DEC 20"/>
    <n v="50000"/>
    <n v="555"/>
    <n v="153"/>
    <n v="118"/>
    <n v="60"/>
    <n v="473"/>
    <n v="237"/>
    <n v="1156"/>
    <n v="240"/>
    <n v="645"/>
    <n v="1066"/>
    <n v="959"/>
    <n v="319"/>
    <n v="515"/>
    <n v="600"/>
    <n v="665"/>
    <n v="1544"/>
    <n v="0"/>
    <n v="700"/>
    <n v="517"/>
    <n v="661"/>
    <n v="1903.34"/>
    <n v="0"/>
    <s v=" "/>
    <n v="0"/>
    <n v="2430"/>
    <n v="0"/>
    <n v="2180"/>
    <n v="0"/>
    <n v="2000"/>
    <n v="550"/>
    <n v="5000"/>
    <n v="305"/>
    <n v="9500"/>
    <n v="0"/>
    <n v="0"/>
    <n v="0"/>
    <n v="0"/>
    <n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 JAN 21"/>
    <n v="100000"/>
    <n v="626"/>
    <n v="105"/>
    <n v="157"/>
    <n v="118"/>
    <n v="532"/>
    <n v="235"/>
    <n v="1102"/>
    <n v="390"/>
    <n v="820"/>
    <n v="4121"/>
    <n v="789"/>
    <n v="563"/>
    <n v="2138"/>
    <n v="660"/>
    <n v="1936"/>
    <n v="866"/>
    <n v="8039"/>
    <n v="750"/>
    <n v="487"/>
    <n v="702"/>
    <n v="1935.64"/>
    <n v="0"/>
    <n v="3557.34"/>
    <n v="0"/>
    <n v="3830"/>
    <n v="99540"/>
    <n v="5155.38"/>
    <n v="1150"/>
    <n v="2000"/>
    <n v="502"/>
    <n v="3000"/>
    <n v="611"/>
    <n v="9500"/>
    <n v="5000"/>
    <n v="450"/>
    <n v="0"/>
    <n v="0"/>
    <n v="0"/>
  </r>
  <r>
    <s v=" FEB 21"/>
    <n v="60198"/>
    <n v="591"/>
    <n v="220"/>
    <n v="118"/>
    <n v="182"/>
    <n v="410"/>
    <n v="447"/>
    <n v="1080"/>
    <n v="300"/>
    <n v="330"/>
    <n v="4458"/>
    <n v="1068"/>
    <n v="488"/>
    <n v="875"/>
    <n v="2265"/>
    <n v="914"/>
    <n v="2178"/>
    <n v="0"/>
    <n v="0"/>
    <n v="488"/>
    <n v="702"/>
    <n v="1112.82"/>
    <n v="0"/>
    <n v="620"/>
    <n v="36897"/>
    <n v="5032"/>
    <n v="200"/>
    <n v="15113"/>
    <n v="6750"/>
    <n v="2000"/>
    <n v="1300"/>
    <n v="0"/>
    <n v="2336.4"/>
    <n v="9500"/>
    <n v="5000"/>
    <n v="550"/>
    <n v="0"/>
    <n v="0"/>
    <n v="0"/>
  </r>
  <r>
    <s v=" MAR 21"/>
    <n v="110329"/>
    <n v="748"/>
    <n v="336"/>
    <n v="196"/>
    <n v="170"/>
    <n v="545"/>
    <n v="260"/>
    <n v="1275"/>
    <n v="720"/>
    <n v="690"/>
    <n v="2252"/>
    <n v="1268"/>
    <n v="1059"/>
    <n v="496"/>
    <n v="680"/>
    <n v="820"/>
    <n v="1648"/>
    <n v="7210"/>
    <n v="870"/>
    <n v="268"/>
    <n v="648"/>
    <n v="2357.64"/>
    <n v="0"/>
    <n v="1030"/>
    <s v=" "/>
    <n v="6101"/>
    <n v="500"/>
    <n v="3934"/>
    <n v="2000"/>
    <n v="4400.33"/>
    <n v="480"/>
    <n v="0"/>
    <n v="16060.7"/>
    <n v="9500"/>
    <n v="5000"/>
    <n v="0"/>
    <n v="0"/>
    <n v="0"/>
    <n v="0"/>
  </r>
  <r>
    <s v=" APRIL 21"/>
    <n v="60000"/>
    <n v="674"/>
    <n v="0"/>
    <n v="185"/>
    <n v="231"/>
    <n v="921"/>
    <n v="280"/>
    <n v="1095"/>
    <n v="900"/>
    <n v="330"/>
    <n v="1858"/>
    <n v="802"/>
    <n v="1288"/>
    <n v="707"/>
    <n v="745"/>
    <n v="1969"/>
    <n v="580"/>
    <n v="0"/>
    <n v="1720"/>
    <n v="268"/>
    <n v="968"/>
    <n v="1178.82"/>
    <n v="0"/>
    <n v="540"/>
    <n v="100"/>
    <n v="2490"/>
    <n v="0"/>
    <n v="4578"/>
    <n v="2000"/>
    <n v="2000"/>
    <n v="2679"/>
    <n v="0"/>
    <n v="2933"/>
    <n v="9500"/>
    <n v="5000"/>
    <n v="300"/>
    <n v="0"/>
    <n v="0"/>
    <n v="0"/>
  </r>
  <r>
    <s v=" MAY 21"/>
    <n v="80320"/>
    <n v="517"/>
    <n v="405"/>
    <n v="223"/>
    <n v="175"/>
    <n v="832"/>
    <n v="240"/>
    <n v="1220"/>
    <n v="630"/>
    <n v="310"/>
    <n v="832"/>
    <n v="1537"/>
    <n v="2390"/>
    <n v="709"/>
    <n v="777"/>
    <n v="1966"/>
    <n v="1662"/>
    <n v="158"/>
    <n v="880"/>
    <n v="268"/>
    <n v="1181"/>
    <n v="1178.82"/>
    <n v="0"/>
    <s v=" "/>
    <n v="100"/>
    <n v="1440"/>
    <n v="0"/>
    <n v="30241"/>
    <n v="0"/>
    <n v="2000"/>
    <n v="2925"/>
    <n v="0"/>
    <n v="312"/>
    <n v="9500"/>
    <n v="0"/>
    <n v="0"/>
    <n v="0"/>
    <n v="0"/>
    <n v="0"/>
  </r>
  <r>
    <s v=" JUNE 21"/>
    <n v="60025"/>
    <n v="682"/>
    <n v="0"/>
    <n v="179"/>
    <n v="260"/>
    <n v="965"/>
    <n v="224"/>
    <n v="1095"/>
    <n v="360"/>
    <n v="917"/>
    <n v="2460.4499999999998"/>
    <n v="1337"/>
    <n v="1573"/>
    <n v="720"/>
    <n v="690"/>
    <n v="2059"/>
    <n v="2187"/>
    <n v="2400"/>
    <n v="860"/>
    <n v="268"/>
    <n v="1212"/>
    <n v="1178.82"/>
    <n v="13400"/>
    <n v="700"/>
    <n v="5800"/>
    <n v="1953"/>
    <n v="470"/>
    <n v="2974"/>
    <n v="2000"/>
    <n v="2500"/>
    <n v="1240"/>
    <n v="3000"/>
    <n v="2337.6999999999998"/>
    <n v="9500"/>
    <n v="10050"/>
    <n v="0"/>
    <n v="10792"/>
    <n v="3535"/>
    <n v="3065.02"/>
  </r>
  <r>
    <s v=" JULY 21"/>
    <n v="65890"/>
    <n v="812"/>
    <n v="210"/>
    <n v="203"/>
    <n v="185"/>
    <n v="740"/>
    <n v="445"/>
    <n v="1485"/>
    <n v="420"/>
    <n v="680"/>
    <n v="1608"/>
    <n v="1100"/>
    <n v="804"/>
    <n v="586"/>
    <n v="760"/>
    <n v="1503"/>
    <n v="2364"/>
    <n v="448"/>
    <n v="900"/>
    <n v="268"/>
    <n v="890"/>
    <n v="1178.82"/>
    <n v="16000"/>
    <n v="1195"/>
    <n v="0"/>
    <n v="3163"/>
    <n v="0"/>
    <n v="1827"/>
    <n v="3000"/>
    <n v="5000"/>
    <n v="1159"/>
    <n v="3000"/>
    <n v="2030"/>
    <n v="9500"/>
    <n v="5000"/>
    <n v="0"/>
    <n v="0"/>
    <n v="800"/>
    <n v="100"/>
  </r>
  <r>
    <s v=" AUG 21"/>
    <n v="80172"/>
    <n v="555"/>
    <n v="152"/>
    <n v="180"/>
    <n v="195"/>
    <n v="965"/>
    <n v="315"/>
    <n v="1169"/>
    <n v="360"/>
    <n v="360"/>
    <n v="1991"/>
    <n v="1111"/>
    <n v="536"/>
    <n v="987"/>
    <n v="780"/>
    <n v="871"/>
    <n v="1281"/>
    <n v="0"/>
    <n v="910"/>
    <n v="298"/>
    <n v="1062"/>
    <n v="1178.82"/>
    <n v="13000"/>
    <n v="885"/>
    <n v="500"/>
    <n v="4337"/>
    <n v="110"/>
    <n v="15219.77"/>
    <n v="3000"/>
    <n v="3000"/>
    <n v="1840"/>
    <n v="3000"/>
    <n v="2133.8000000000002"/>
    <n v="9500"/>
    <n v="5000"/>
    <n v="0"/>
    <n v="300"/>
    <n v="1520"/>
    <n v="650"/>
  </r>
  <r>
    <s v=" SEPT 21"/>
    <n v="75000"/>
    <n v="744"/>
    <n v="255"/>
    <n v="231"/>
    <n v="175"/>
    <n v="880"/>
    <n v="225"/>
    <n v="875"/>
    <n v="360"/>
    <n v="480"/>
    <n v="1902.8"/>
    <n v="750"/>
    <n v="692"/>
    <n v="475"/>
    <n v="810"/>
    <n v="1120"/>
    <n v="1137"/>
    <n v="0"/>
    <n v="950"/>
    <n v="298"/>
    <n v="1003"/>
    <n v="1178.82"/>
    <n v="19050"/>
    <n v="945"/>
    <n v="700"/>
    <n v="2526"/>
    <n v="0"/>
    <n v="2470"/>
    <n v="5500"/>
    <n v="3000"/>
    <n v="75"/>
    <n v="3100"/>
    <n v="3383.9"/>
    <n v="9500"/>
    <n v="5000"/>
    <n v="300"/>
    <n v="400"/>
    <n v="700"/>
    <n v="0"/>
  </r>
  <r>
    <s v=" OCT 21"/>
    <n v="105000"/>
    <n v="1030"/>
    <n v="440"/>
    <n v="147"/>
    <n v="195"/>
    <n v="930"/>
    <n v="170"/>
    <n v="1012"/>
    <n v="120"/>
    <n v="0"/>
    <n v="2767"/>
    <n v="1213"/>
    <n v="1372"/>
    <n v="948"/>
    <n v="860"/>
    <n v="1312"/>
    <n v="1470"/>
    <n v="90"/>
    <n v="950"/>
    <n v="298"/>
    <n v="1160"/>
    <n v="1178.82"/>
    <n v="2520"/>
    <n v="340"/>
    <n v="1330"/>
    <n v="1900"/>
    <n v="0"/>
    <n v="52890"/>
    <n v="0"/>
    <n v="3200"/>
    <n v="2045"/>
    <n v="3000"/>
    <n v="672.2"/>
    <n v="9500"/>
    <n v="5000"/>
    <n v="260"/>
    <n v="0"/>
    <n v="2370"/>
    <n v="200"/>
  </r>
  <r>
    <s v=" NOV 21"/>
    <n v="60000"/>
    <n v="686"/>
    <n v="85"/>
    <n v="132"/>
    <n v="240"/>
    <n v="528"/>
    <n v="310"/>
    <n v="1023"/>
    <n v="280"/>
    <n v="335"/>
    <n v="5235.2"/>
    <n v="1270"/>
    <n v="1170"/>
    <n v="906"/>
    <n v="4550"/>
    <n v="1450"/>
    <n v="1623"/>
    <n v="1910"/>
    <n v="950"/>
    <n v="298"/>
    <n v="1153"/>
    <n v="1178.82"/>
    <n v="0"/>
    <n v="2100"/>
    <n v="2900"/>
    <n v="2469"/>
    <n v="0"/>
    <n v="5862"/>
    <n v="0"/>
    <n v="3000"/>
    <n v="1963"/>
    <n v="3000"/>
    <n v="1281"/>
    <n v="9500"/>
    <n v="5000"/>
    <n v="300"/>
    <n v="528.64"/>
    <n v="900"/>
    <n v="0"/>
  </r>
  <r>
    <s v=" DEC 21"/>
    <n v="60000"/>
    <n v="560"/>
    <n v="350"/>
    <n v="184"/>
    <n v="120"/>
    <n v="720"/>
    <n v="221"/>
    <n v="1265"/>
    <n v="120"/>
    <n v="615"/>
    <n v="3345.9"/>
    <n v="1240"/>
    <n v="700"/>
    <n v="790"/>
    <n v="1620"/>
    <n v="2842"/>
    <n v="1136"/>
    <n v="0"/>
    <n v="950"/>
    <n v="537"/>
    <n v="1035"/>
    <n v="1178.82"/>
    <n v="0"/>
    <n v="380"/>
    <n v="850"/>
    <n v="1972"/>
    <n v="0"/>
    <n v="3634"/>
    <n v="0"/>
    <n v="3000"/>
    <n v="475"/>
    <n v="5000"/>
    <n v="788.75"/>
    <n v="9500"/>
    <n v="5000"/>
    <n v="660"/>
    <n v="0"/>
    <n v="0"/>
    <n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 JAN 22"/>
    <n v="60000"/>
    <n v="855"/>
    <n v="0"/>
    <n v="181"/>
    <n v="240"/>
    <n v="700"/>
    <n v="200"/>
    <n v="1111"/>
    <n v="120"/>
    <n v="660"/>
    <n v="3439.2"/>
    <n v="1400"/>
    <n v="1165"/>
    <n v="700"/>
    <n v="2230"/>
    <n v="1301"/>
    <n v="2128"/>
    <n v="0"/>
    <n v="1050"/>
    <n v="639"/>
    <n v="920"/>
    <n v="1178.82"/>
    <n v="0"/>
    <n v="2959"/>
    <n v="4000"/>
    <n v="1090"/>
    <n v="1486"/>
    <n v="7957.51"/>
    <n v="1500"/>
    <n v="6936.8"/>
    <n v="550"/>
    <n v="3000"/>
    <n v="2069.7800000000002"/>
    <n v="9500"/>
    <n v="5000"/>
    <n v="260"/>
    <n v="0"/>
    <n v="500"/>
    <n v="0"/>
  </r>
  <r>
    <s v=" FEB 22"/>
    <n v="75000"/>
    <n v="500"/>
    <n v="0"/>
    <n v="141"/>
    <n v="130"/>
    <n v="815"/>
    <n v="218"/>
    <n v="1092"/>
    <n v="370"/>
    <n v="460"/>
    <n v="4011"/>
    <n v="810"/>
    <n v="815"/>
    <n v="752"/>
    <n v="12078"/>
    <n v="1260"/>
    <n v="1368"/>
    <n v="529"/>
    <n v="950"/>
    <n v="398"/>
    <n v="804"/>
    <n v="1178.82"/>
    <n v="0"/>
    <n v="4260"/>
    <n v="46850"/>
    <n v="1376"/>
    <n v="0"/>
    <n v="2160"/>
    <n v="0"/>
    <n v="3000"/>
    <n v="180"/>
    <n v="3000"/>
    <n v="9645"/>
    <n v="9500"/>
    <n v="5000"/>
    <n v="320"/>
    <n v="332"/>
    <n v="540"/>
    <n v="550"/>
  </r>
  <r>
    <s v=" MAR 22"/>
    <n v="85000"/>
    <n v="1096"/>
    <n v="320"/>
    <n v="180"/>
    <n v="502"/>
    <n v="803"/>
    <n v="105"/>
    <n v="1373"/>
    <n v="360"/>
    <n v="662"/>
    <n v="5280.7"/>
    <n v="632"/>
    <n v="1100"/>
    <n v="2652"/>
    <n v="2090"/>
    <n v="2723"/>
    <n v="1024"/>
    <n v="0"/>
    <n v="950"/>
    <n v="637"/>
    <n v="835"/>
    <n v="1178.82"/>
    <n v="0"/>
    <n v="120"/>
    <n v="1000"/>
    <n v="2709"/>
    <n v="0"/>
    <n v="26095"/>
    <n v="3000"/>
    <n v="3500"/>
    <n v="350"/>
    <n v="3000"/>
    <n v="2751.6"/>
    <n v="9500"/>
    <n v="5000"/>
    <n v="370"/>
    <n v="0"/>
    <n v="0"/>
    <n v="0"/>
  </r>
  <r>
    <s v=" APR 22"/>
    <n v="60000"/>
    <n v="820"/>
    <n v="0"/>
    <n v="85"/>
    <n v="260"/>
    <n v="540"/>
    <n v="60"/>
    <n v="1430"/>
    <n v="360"/>
    <n v="0"/>
    <n v="4127.3500000000004"/>
    <n v="765"/>
    <n v="1335"/>
    <n v="265"/>
    <n v="740"/>
    <n v="435"/>
    <n v="715"/>
    <n v="500"/>
    <n v="1000"/>
    <n v="637"/>
    <n v="1230"/>
    <n v="1178.82"/>
    <n v="10000"/>
    <n v="0"/>
    <n v="354"/>
    <n v="1585"/>
    <n v="0"/>
    <n v="1088"/>
    <n v="3000"/>
    <n v="6000"/>
    <n v="0"/>
    <n v="13000"/>
    <n v="4270"/>
    <n v="9500"/>
    <n v="5000"/>
    <n v="250"/>
    <n v="640"/>
    <n v="620"/>
    <n v="0"/>
  </r>
  <r>
    <s v=" MAY 22"/>
    <n v="105000"/>
    <n v="785"/>
    <n v="270"/>
    <n v="90"/>
    <n v="240"/>
    <n v="535"/>
    <n v="130"/>
    <n v="1247"/>
    <n v="420"/>
    <n v="345"/>
    <n v="8983.42"/>
    <n v="1155"/>
    <n v="1200"/>
    <n v="760"/>
    <n v="2180"/>
    <n v="1260"/>
    <n v="1308"/>
    <n v="0"/>
    <n v="1050"/>
    <n v="642"/>
    <n v="1278"/>
    <n v="1178.82"/>
    <n v="10000"/>
    <n v="2610"/>
    <n v="520"/>
    <n v="2460"/>
    <n v="0"/>
    <n v="36615"/>
    <n v="3000"/>
    <n v="3000"/>
    <n v="438"/>
    <n v="23000"/>
    <n v="9807"/>
    <n v="9500"/>
    <n v="5000"/>
    <n v="0"/>
    <n v="0"/>
    <n v="3943"/>
    <n v="100"/>
  </r>
  <r>
    <s v=" JUNE 22"/>
    <n v="210000"/>
    <n v="250"/>
    <n v="150"/>
    <n v="0"/>
    <n v="130"/>
    <n v="470"/>
    <n v="40"/>
    <n v="657"/>
    <n v="150"/>
    <n v="250"/>
    <n v="13036.65"/>
    <n v="605"/>
    <n v="1450"/>
    <n v="1388"/>
    <n v="96233"/>
    <n v="171"/>
    <n v="493"/>
    <n v="0"/>
    <n v="0"/>
    <n v="723"/>
    <n v="1033"/>
    <n v="1178.82"/>
    <n v="10000"/>
    <n v="14178"/>
    <n v="7330"/>
    <n v="370"/>
    <n v="0"/>
    <n v="10919"/>
    <n v="3000"/>
    <n v="3500"/>
    <n v="230"/>
    <n v="44000"/>
    <n v="17491.7"/>
    <n v="9500"/>
    <n v="5000"/>
    <n v="350"/>
    <n v="1430"/>
    <n v="850"/>
    <n v="0"/>
  </r>
  <r>
    <s v=" JULY 22"/>
    <n v="70000"/>
    <n v="570"/>
    <n v="310"/>
    <n v="0"/>
    <n v="257"/>
    <n v="380"/>
    <n v="40"/>
    <n v="1075"/>
    <n v="300"/>
    <n v="330"/>
    <n v="4953"/>
    <n v="895"/>
    <n v="2085"/>
    <n v="555"/>
    <n v="5680"/>
    <n v="740"/>
    <n v="1620"/>
    <n v="480"/>
    <n v="1100"/>
    <n v="542"/>
    <n v="776"/>
    <n v="1178.82"/>
    <n v="10000"/>
    <n v="6553.4"/>
    <n v="9986.61"/>
    <n v="1670"/>
    <n v="0"/>
    <n v="15091"/>
    <n v="3000"/>
    <n v="4000"/>
    <n v="100"/>
    <n v="3000"/>
    <n v="12124"/>
    <n v="9500"/>
    <n v="5000"/>
    <n v="1540.14"/>
    <n v="0"/>
    <n v="200"/>
    <n v="2201"/>
  </r>
  <r>
    <s v=" AUG 22"/>
    <n v="60000"/>
    <n v="915"/>
    <n v="420"/>
    <n v="90"/>
    <n v="250"/>
    <n v="845"/>
    <n v="80"/>
    <n v="1129"/>
    <n v="360"/>
    <n v="68"/>
    <n v="1681"/>
    <n v="1088"/>
    <n v="1050"/>
    <n v="570"/>
    <n v="1150"/>
    <n v="1427"/>
    <n v="1165"/>
    <n v="0"/>
    <n v="0"/>
    <n v="747"/>
    <n v="1116"/>
    <n v="1178.82"/>
    <n v="10000"/>
    <n v="666.8"/>
    <n v="0"/>
    <n v="2332"/>
    <n v="0"/>
    <n v="7854.0300000000007"/>
    <n v="3000"/>
    <n v="3200"/>
    <n v="1213"/>
    <n v="6000"/>
    <n v="1695"/>
    <n v="9500"/>
    <n v="5000"/>
    <n v="1022.95"/>
    <n v="0"/>
    <n v="0"/>
    <n v="0"/>
  </r>
  <r>
    <s v=" SEPT 22"/>
    <n v="90000"/>
    <n v="330"/>
    <n v="195"/>
    <n v="90"/>
    <n v="240"/>
    <n v="690"/>
    <n v="175"/>
    <n v="905"/>
    <n v="300"/>
    <n v="670"/>
    <n v="4346"/>
    <n v="820"/>
    <n v="695"/>
    <n v="525"/>
    <n v="1025"/>
    <n v="1130"/>
    <n v="1350"/>
    <n v="0"/>
    <n v="1100"/>
    <n v="747"/>
    <n v="1197"/>
    <n v="1178.82"/>
    <n v="20000"/>
    <n v="3541.5"/>
    <n v="880"/>
    <n v="1650"/>
    <n v="0"/>
    <n v="16660"/>
    <n v="3000"/>
    <n v="3000"/>
    <n v="720"/>
    <n v="10000"/>
    <n v="4067.7"/>
    <n v="9500"/>
    <n v="5000"/>
    <n v="672"/>
    <n v="15067"/>
    <n v="200"/>
    <n v="60"/>
  </r>
  <r>
    <s v=" OCT 22"/>
    <n v="90000"/>
    <n v="615"/>
    <n v="125"/>
    <n v="90"/>
    <n v="260"/>
    <n v="715"/>
    <n v="150"/>
    <n v="1030"/>
    <n v="240"/>
    <n v="165"/>
    <n v="4027"/>
    <n v="1075"/>
    <n v="1310"/>
    <n v="1130"/>
    <n v="1180"/>
    <n v="1745"/>
    <n v="710"/>
    <n v="0"/>
    <n v="1100"/>
    <n v="750"/>
    <n v="961"/>
    <n v="1178.82"/>
    <n v="17900"/>
    <n v="3435"/>
    <n v="1399"/>
    <n v="3815"/>
    <n v="0"/>
    <n v="10865"/>
    <n v="3000"/>
    <n v="3400"/>
    <n v="720"/>
    <n v="3000"/>
    <n v="6208"/>
    <n v="9500"/>
    <n v="5000"/>
    <n v="0"/>
    <n v="0"/>
    <n v="56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C8A11B-7094-4EFE-871B-DF35845B2A5D}"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2" firstHeaderRow="1" firstDataRow="1" firstDataCol="1"/>
  <pivotFields count="36">
    <pivotField axis="axisRow" showAll="0" sortType="descending">
      <items count="40">
        <item x="15"/>
        <item x="25"/>
        <item x="35"/>
        <item x="11"/>
        <item x="12"/>
        <item x="30"/>
        <item x="31"/>
        <item x="14"/>
        <item x="34"/>
        <item x="22"/>
        <item x="16"/>
        <item x="20"/>
        <item x="27"/>
        <item x="23"/>
        <item x="6"/>
        <item x="10"/>
        <item x="1"/>
        <item x="9"/>
        <item x="3"/>
        <item x="7"/>
        <item x="21"/>
        <item x="17"/>
        <item x="18"/>
        <item x="2"/>
        <item x="5"/>
        <item x="32"/>
        <item x="29"/>
        <item x="28"/>
        <item x="4"/>
        <item x="26"/>
        <item x="24"/>
        <item x="37"/>
        <item x="0"/>
        <item x="13"/>
        <item x="33"/>
        <item h="1" x="38"/>
        <item x="36"/>
        <item x="19"/>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s>
  <rowFields count="1">
    <field x="0"/>
  </rowFields>
  <rowItems count="39">
    <i>
      <x v="32"/>
    </i>
    <i>
      <x v="16"/>
    </i>
    <i>
      <x v="23"/>
    </i>
    <i>
      <x v="18"/>
    </i>
    <i>
      <x v="28"/>
    </i>
    <i>
      <x v="24"/>
    </i>
    <i>
      <x v="14"/>
    </i>
    <i>
      <x v="19"/>
    </i>
    <i>
      <x v="38"/>
    </i>
    <i>
      <x v="17"/>
    </i>
    <i>
      <x v="15"/>
    </i>
    <i>
      <x v="3"/>
    </i>
    <i>
      <x v="4"/>
    </i>
    <i>
      <x v="33"/>
    </i>
    <i>
      <x v="7"/>
    </i>
    <i>
      <x/>
    </i>
    <i>
      <x v="10"/>
    </i>
    <i>
      <x v="21"/>
    </i>
    <i>
      <x v="22"/>
    </i>
    <i>
      <x v="37"/>
    </i>
    <i>
      <x v="11"/>
    </i>
    <i>
      <x v="20"/>
    </i>
    <i>
      <x v="9"/>
    </i>
    <i>
      <x v="13"/>
    </i>
    <i>
      <x v="30"/>
    </i>
    <i>
      <x v="1"/>
    </i>
    <i>
      <x v="29"/>
    </i>
    <i>
      <x v="12"/>
    </i>
    <i>
      <x v="27"/>
    </i>
    <i>
      <x v="26"/>
    </i>
    <i>
      <x v="5"/>
    </i>
    <i>
      <x v="6"/>
    </i>
    <i>
      <x v="25"/>
    </i>
    <i>
      <x v="34"/>
    </i>
    <i>
      <x v="8"/>
    </i>
    <i>
      <x v="2"/>
    </i>
    <i>
      <x v="36"/>
    </i>
    <i>
      <x v="31"/>
    </i>
    <i t="grand">
      <x/>
    </i>
  </rowItems>
  <colItems count="1">
    <i/>
  </colItems>
  <dataFields count="1">
    <dataField name="Sum of TOTAL" fld="35" baseField="0" baseItem="0"/>
  </dataFields>
  <chartFormats count="2">
    <chartFormat chart="3"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E98BF3-BE93-478B-99B8-9DC9D101D7F3}" name="PivotTable2" cacheId="10" dataOnRows="1" applyNumberFormats="0" applyBorderFormats="0" applyFontFormats="0" applyPatternFormats="0" applyAlignmentFormats="0" applyWidthHeightFormats="1" dataCaption="YEAR 1" updatedVersion="8" minRefreshableVersion="3" useAutoFormatting="1" rowGrandTotals="0" colGrandTotals="0" itemPrintTitles="1" createdVersion="8" indent="0" outline="1" outlineData="1" multipleFieldFilters="0" chartFormat="5">
  <location ref="A4:B16" firstHeaderRow="1" firstDataRow="1" firstDataCol="1"/>
  <pivotFields count="35">
    <pivotField subtotalTop="0" showAll="0" insertBlankRow="1" defaultSubtotal="0">
      <items count="38">
        <item x="15"/>
        <item x="25"/>
        <item x="35"/>
        <item x="11"/>
        <item x="12"/>
        <item x="30"/>
        <item x="31"/>
        <item x="14"/>
        <item x="34"/>
        <item x="22"/>
        <item x="16"/>
        <item x="20"/>
        <item x="27"/>
        <item x="23"/>
        <item x="6"/>
        <item x="10"/>
        <item x="1"/>
        <item x="9"/>
        <item x="3"/>
        <item x="7"/>
        <item x="21"/>
        <item x="17"/>
        <item x="18"/>
        <item x="2"/>
        <item x="5"/>
        <item x="32"/>
        <item x="29"/>
        <item x="28"/>
        <item x="4"/>
        <item x="26"/>
        <item x="24"/>
        <item x="37"/>
        <item x="0"/>
        <item x="13"/>
        <item x="33"/>
        <item x="36"/>
        <item x="19"/>
        <item x="8"/>
      </items>
    </pivotField>
    <pivotField dataField="1" subtotalTop="0" showAll="0" insertBlankRow="1" defaultSubtotal="0"/>
    <pivotField dataField="1" subtotalTop="0" showAll="0" insertBlankRow="1" defaultSubtotal="0"/>
    <pivotField dataField="1" subtotalTop="0" showAll="0" insertBlankRow="1" defaultSubtotal="0"/>
    <pivotField dataField="1" subtotalTop="0" showAll="0" insertBlankRow="1" defaultSubtotal="0"/>
    <pivotField dataField="1" subtotalTop="0" showAll="0" insertBlankRow="1" defaultSubtotal="0"/>
    <pivotField dataField="1" subtotalTop="0" showAll="0" insertBlankRow="1" defaultSubtotal="0"/>
    <pivotField dataField="1" subtotalTop="0" showAll="0" insertBlankRow="1" defaultSubtotal="0"/>
    <pivotField dataField="1" subtotalTop="0" showAll="0" insertBlankRow="1" defaultSubtotal="0"/>
    <pivotField dataField="1" subtotalTop="0" showAll="0" insertBlankRow="1" defaultSubtotal="0"/>
    <pivotField dataField="1" subtotalTop="0" showAll="0" insertBlankRow="1" defaultSubtotal="0"/>
    <pivotField dataField="1" subtotalTop="0" showAll="0" insertBlankRow="1" defaultSubtotal="0"/>
    <pivotField dataField="1"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 subtotalTop="0" showAll="0" insertBlankRow="1" defaultSubtotal="0"/>
  </pivotFields>
  <rowFields count="1">
    <field x="-2"/>
  </rowFields>
  <rowItems count="12">
    <i>
      <x/>
    </i>
    <i i="1">
      <x v="1"/>
    </i>
    <i i="2">
      <x v="2"/>
    </i>
    <i i="3">
      <x v="3"/>
    </i>
    <i i="4">
      <x v="4"/>
    </i>
    <i i="5">
      <x v="5"/>
    </i>
    <i i="6">
      <x v="6"/>
    </i>
    <i i="7">
      <x v="7"/>
    </i>
    <i i="8">
      <x v="8"/>
    </i>
    <i i="9">
      <x v="9"/>
    </i>
    <i i="10">
      <x v="10"/>
    </i>
    <i i="11">
      <x v="11"/>
    </i>
  </rowItems>
  <colItems count="1">
    <i/>
  </colItems>
  <dataFields count="12">
    <dataField name="Sum of  JAN 20" fld="1" baseField="0" baseItem="0"/>
    <dataField name="Sum of  FEB 20" fld="2" baseField="0" baseItem="0"/>
    <dataField name="Sum of  MAR 20" fld="3" baseField="0" baseItem="0"/>
    <dataField name="Sum of  APRIL 20" fld="4" baseField="0" baseItem="0"/>
    <dataField name="Sum of  MAY 20" fld="5" baseField="0" baseItem="0"/>
    <dataField name="Sum of  JUNE 20" fld="6" baseField="0" baseItem="0"/>
    <dataField name="Sum of  JULY 20" fld="7" baseField="0" baseItem="1"/>
    <dataField name="Sum of  AUG 20" fld="8" baseField="0" baseItem="0"/>
    <dataField name="Sum of  SEPT 20" fld="9" baseField="0" baseItem="0"/>
    <dataField name="Sum of  OCT 20" fld="10" baseField="0" baseItem="1"/>
    <dataField name="Sum of  DEC 20" fld="12" baseField="0" baseItem="1"/>
    <dataField name="Sum of  NOV 20"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1DD2F6-5B97-41FC-9693-B082891221E5}" name="PivotTable4" cacheId="10" dataOnRows="1" applyNumberFormats="0" applyBorderFormats="0" applyFontFormats="0" applyPatternFormats="0" applyAlignmentFormats="0" applyWidthHeightFormats="1" dataCaption="YEAR 2021" updatedVersion="8" minRefreshableVersion="3" useAutoFormatting="1" itemPrintTitles="1" createdVersion="8" indent="0" outline="1" outlineData="1" multipleFieldFilters="0" chartFormat="6">
  <location ref="A3:B15" firstHeaderRow="1" firstDataRow="1" firstDataCol="1"/>
  <pivotFields count="35">
    <pivotField showAll="0">
      <items count="39">
        <item x="15"/>
        <item x="25"/>
        <item x="35"/>
        <item x="11"/>
        <item x="12"/>
        <item x="30"/>
        <item x="31"/>
        <item x="14"/>
        <item x="34"/>
        <item x="22"/>
        <item x="16"/>
        <item x="20"/>
        <item x="27"/>
        <item x="23"/>
        <item x="6"/>
        <item x="10"/>
        <item x="1"/>
        <item x="9"/>
        <item x="3"/>
        <item x="7"/>
        <item x="21"/>
        <item x="17"/>
        <item x="18"/>
        <item x="2"/>
        <item x="5"/>
        <item x="32"/>
        <item x="29"/>
        <item x="28"/>
        <item x="4"/>
        <item x="26"/>
        <item x="24"/>
        <item x="37"/>
        <item x="0"/>
        <item x="13"/>
        <item x="33"/>
        <item x="36"/>
        <item x="19"/>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numFmtId="2" showAll="0"/>
    <pivotField dataField="1" numFmtId="2" showAll="0"/>
    <pivotField dataField="1" numFmtId="2" showAll="0"/>
    <pivotField dataField="1" numFmtId="2" showAll="0"/>
    <pivotField dataField="1"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s>
  <rowFields count="1">
    <field x="-2"/>
  </rowFields>
  <rowItems count="12">
    <i>
      <x/>
    </i>
    <i i="1">
      <x v="1"/>
    </i>
    <i i="2">
      <x v="2"/>
    </i>
    <i i="3">
      <x v="3"/>
    </i>
    <i i="4">
      <x v="4"/>
    </i>
    <i i="5">
      <x v="5"/>
    </i>
    <i i="6">
      <x v="6"/>
    </i>
    <i i="7">
      <x v="7"/>
    </i>
    <i i="8">
      <x v="8"/>
    </i>
    <i i="9">
      <x v="9"/>
    </i>
    <i i="10">
      <x v="10"/>
    </i>
    <i i="11">
      <x v="11"/>
    </i>
  </rowItems>
  <colItems count="1">
    <i/>
  </colItems>
  <dataFields count="12">
    <dataField name="Sum of  JAN 21" fld="13" baseField="0" baseItem="0"/>
    <dataField name="Sum of  FEB 21" fld="14" baseField="0" baseItem="0"/>
    <dataField name="Sum of  MAR 21" fld="15" baseField="0" baseItem="1"/>
    <dataField name="Sum of  APRIL 21" fld="16" baseField="0" baseItem="0"/>
    <dataField name="Sum of  MAY 21" fld="17" baseField="0" baseItem="1"/>
    <dataField name="Sum of  JUNE 21" fld="18" baseField="0" baseItem="0"/>
    <dataField name="Sum of  JULY 21" fld="19" baseField="0" baseItem="0"/>
    <dataField name="Sum of  AUG 21" fld="20" baseField="0" baseItem="0"/>
    <dataField name="Sum of  SEPT 21" fld="21" baseField="0" baseItem="0"/>
    <dataField name="Sum of  OCT 21" fld="22" baseField="0" baseItem="0"/>
    <dataField name="Sum of  NOV 21" fld="23" baseField="0" baseItem="0"/>
    <dataField name="Sum of  DEC 21" fld="24" baseField="0" baseItem="0"/>
  </dataFields>
  <chartFormats count="1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1">
          <reference field="4294967294" count="1" selected="0">
            <x v="10"/>
          </reference>
        </references>
      </pivotArea>
    </chartFormat>
    <chartFormat chart="5" format="4">
      <pivotArea type="data" outline="0" fieldPosition="0">
        <references count="1">
          <reference field="4294967294" count="1" selected="0">
            <x v="11"/>
          </reference>
        </references>
      </pivotArea>
    </chartFormat>
    <chartFormat chart="5" format="5">
      <pivotArea type="data" outline="0" fieldPosition="0">
        <references count="1">
          <reference field="4294967294" count="1" selected="0">
            <x v="9"/>
          </reference>
        </references>
      </pivotArea>
    </chartFormat>
    <chartFormat chart="5" format="6">
      <pivotArea type="data" outline="0" fieldPosition="0">
        <references count="1">
          <reference field="4294967294" count="1" selected="0">
            <x v="8"/>
          </reference>
        </references>
      </pivotArea>
    </chartFormat>
    <chartFormat chart="5" format="7">
      <pivotArea type="data" outline="0" fieldPosition="0">
        <references count="1">
          <reference field="4294967294" count="1" selected="0">
            <x v="7"/>
          </reference>
        </references>
      </pivotArea>
    </chartFormat>
    <chartFormat chart="5" format="8">
      <pivotArea type="data" outline="0" fieldPosition="0">
        <references count="1">
          <reference field="4294967294" count="1" selected="0">
            <x v="6"/>
          </reference>
        </references>
      </pivotArea>
    </chartFormat>
    <chartFormat chart="5" format="9">
      <pivotArea type="data" outline="0" fieldPosition="0">
        <references count="1">
          <reference field="4294967294" count="1" selected="0">
            <x v="5"/>
          </reference>
        </references>
      </pivotArea>
    </chartFormat>
    <chartFormat chart="5" format="10">
      <pivotArea type="data" outline="0" fieldPosition="0">
        <references count="1">
          <reference field="4294967294" count="1" selected="0">
            <x v="4"/>
          </reference>
        </references>
      </pivotArea>
    </chartFormat>
    <chartFormat chart="5" format="11">
      <pivotArea type="data" outline="0" fieldPosition="0">
        <references count="1">
          <reference field="4294967294" count="1" selected="0">
            <x v="3"/>
          </reference>
        </references>
      </pivotArea>
    </chartFormat>
    <chartFormat chart="5" format="12">
      <pivotArea type="data" outline="0" fieldPosition="0">
        <references count="1">
          <reference field="4294967294" count="1" selected="0">
            <x v="2"/>
          </reference>
        </references>
      </pivotArea>
    </chartFormat>
    <chartFormat chart="5" format="13">
      <pivotArea type="data" outline="0" fieldPosition="0">
        <references count="1">
          <reference field="4294967294" count="1" selected="0">
            <x v="1"/>
          </reference>
        </references>
      </pivotArea>
    </chartFormat>
    <chartFormat chart="5" format="14">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56424D-091A-4667-838F-C85EF980310A}" name="PivotTable5" cacheId="10" dataOnRows="1" applyNumberFormats="0" applyBorderFormats="0" applyFontFormats="0" applyPatternFormats="0" applyAlignmentFormats="0" applyWidthHeightFormats="1" dataCaption="YEAR 2022" updatedVersion="8" minRefreshableVersion="3" useAutoFormatting="1" itemPrintTitles="1" createdVersion="8" indent="0" outline="1" outlineData="1" multipleFieldFilters="0" chartFormat="5">
  <location ref="A3:B13" firstHeaderRow="1" firstDataRow="1" firstDataCol="1"/>
  <pivotFields count="35">
    <pivotField showAll="0">
      <items count="39">
        <item x="15"/>
        <item x="25"/>
        <item x="35"/>
        <item x="11"/>
        <item x="12"/>
        <item x="30"/>
        <item x="31"/>
        <item x="14"/>
        <item x="34"/>
        <item x="22"/>
        <item x="16"/>
        <item x="20"/>
        <item x="27"/>
        <item x="23"/>
        <item x="6"/>
        <item x="10"/>
        <item x="1"/>
        <item x="9"/>
        <item x="3"/>
        <item x="7"/>
        <item x="21"/>
        <item x="17"/>
        <item x="18"/>
        <item x="2"/>
        <item x="5"/>
        <item x="32"/>
        <item x="29"/>
        <item x="28"/>
        <item x="4"/>
        <item x="26"/>
        <item x="24"/>
        <item x="37"/>
        <item x="0"/>
        <item x="13"/>
        <item x="33"/>
        <item x="36"/>
        <item x="19"/>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s>
  <rowFields count="1">
    <field x="-2"/>
  </rowFields>
  <rowItems count="10">
    <i>
      <x/>
    </i>
    <i i="1">
      <x v="1"/>
    </i>
    <i i="2">
      <x v="2"/>
    </i>
    <i i="3">
      <x v="3"/>
    </i>
    <i i="4">
      <x v="4"/>
    </i>
    <i i="5">
      <x v="5"/>
    </i>
    <i i="6">
      <x v="6"/>
    </i>
    <i i="7">
      <x v="7"/>
    </i>
    <i i="8">
      <x v="8"/>
    </i>
    <i i="9">
      <x v="9"/>
    </i>
  </rowItems>
  <colItems count="1">
    <i/>
  </colItems>
  <dataFields count="10">
    <dataField name="Sum of  JAN 22" fld="25" baseField="0" baseItem="0"/>
    <dataField name="Sum of  FEB 22" fld="26" baseField="0" baseItem="0"/>
    <dataField name="Sum of  MAR 22" fld="27" baseField="0" baseItem="0"/>
    <dataField name="Sum of  APR 22" fld="28" baseField="0" baseItem="0"/>
    <dataField name="Sum of  MAY 22" fld="29" baseField="0" baseItem="0"/>
    <dataField name="Sum of  JUNE 22" fld="30" baseField="0" baseItem="0"/>
    <dataField name="Sum of  JULY 22" fld="31" baseField="0" baseItem="0"/>
    <dataField name="Sum of  AUG 22" fld="32" baseField="0" baseItem="0"/>
    <dataField name="Sum of  SEPT 22" fld="33" baseField="0" baseItem="0"/>
    <dataField name="Sum of  OCT 22" fld="34" baseField="0" baseItem="0"/>
  </dataFields>
  <chartFormats count="1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1">
          <reference field="4294967294" count="1" selected="0">
            <x v="9"/>
          </reference>
        </references>
      </pivotArea>
    </chartFormat>
    <chartFormat chart="4" format="4">
      <pivotArea type="data" outline="0" fieldPosition="0">
        <references count="1">
          <reference field="4294967294" count="1" selected="0">
            <x v="8"/>
          </reference>
        </references>
      </pivotArea>
    </chartFormat>
    <chartFormat chart="4" format="5">
      <pivotArea type="data" outline="0" fieldPosition="0">
        <references count="1">
          <reference field="4294967294" count="1" selected="0">
            <x v="7"/>
          </reference>
        </references>
      </pivotArea>
    </chartFormat>
    <chartFormat chart="4" format="6">
      <pivotArea type="data" outline="0" fieldPosition="0">
        <references count="1">
          <reference field="4294967294" count="1" selected="0">
            <x v="6"/>
          </reference>
        </references>
      </pivotArea>
    </chartFormat>
    <chartFormat chart="4" format="7">
      <pivotArea type="data" outline="0" fieldPosition="0">
        <references count="1">
          <reference field="4294967294" count="1" selected="0">
            <x v="5"/>
          </reference>
        </references>
      </pivotArea>
    </chartFormat>
    <chartFormat chart="4" format="8">
      <pivotArea type="data" outline="0" fieldPosition="0">
        <references count="1">
          <reference field="4294967294" count="1" selected="0">
            <x v="4"/>
          </reference>
        </references>
      </pivotArea>
    </chartFormat>
    <chartFormat chart="4" format="9">
      <pivotArea type="data" outline="0" fieldPosition="0">
        <references count="1">
          <reference field="4294967294" count="1" selected="0">
            <x v="3"/>
          </reference>
        </references>
      </pivotArea>
    </chartFormat>
    <chartFormat chart="4" format="10">
      <pivotArea type="data" outline="0" fieldPosition="0">
        <references count="1">
          <reference field="4294967294" count="1" selected="0">
            <x v="2"/>
          </reference>
        </references>
      </pivotArea>
    </chartFormat>
    <chartFormat chart="4" format="11">
      <pivotArea type="data" outline="0" fieldPosition="0">
        <references count="1">
          <reference field="4294967294" count="1" selected="0">
            <x v="1"/>
          </reference>
        </references>
      </pivotArea>
    </chartFormat>
    <chartFormat chart="4" format="12">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FCF20B-BA30-42A6-85A3-57D8DB1F6E58}" name="PivotTable1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1:L72" firstHeaderRow="0" firstDataRow="1" firstDataCol="0"/>
  <pivotFields count="4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RICE" fld="2" baseField="0" baseItem="0"/>
    <dataField name="Sum of ATTA"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9C08B1-D867-4BB4-AC05-FCD0CEE506EC}" name="PivotTable1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1:J72" firstHeaderRow="0" firstDataRow="1" firstDataCol="0"/>
  <pivotFields count="4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RICE" fld="2" baseField="0" baseItem="0"/>
    <dataField name="Sum of ATTA"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9F9EB0-7118-47D4-BFAD-F50F2915FAA7}"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32" firstHeaderRow="1" firstDataRow="1" firstDataCol="1"/>
  <pivotFields count="41">
    <pivotField axis="axisRow" showAll="0" sortType="descending">
      <items count="14">
        <item x="3"/>
        <item x="7"/>
        <item x="11"/>
        <item x="1"/>
        <item x="0"/>
        <item x="6"/>
        <item x="5"/>
        <item x="2"/>
        <item x="4"/>
        <item x="10"/>
        <item x="9"/>
        <item x="8"/>
        <item h="1" x="1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3">
    <i>
      <x v="7"/>
    </i>
    <i>
      <x v="10"/>
    </i>
    <i>
      <x v="4"/>
    </i>
    <i>
      <x v="8"/>
    </i>
    <i>
      <x v="1"/>
    </i>
    <i>
      <x v="11"/>
    </i>
    <i>
      <x v="5"/>
    </i>
    <i>
      <x v="3"/>
    </i>
    <i>
      <x v="6"/>
    </i>
    <i>
      <x/>
    </i>
    <i>
      <x v="2"/>
    </i>
    <i>
      <x v="9"/>
    </i>
    <i t="grand">
      <x/>
    </i>
  </rowItems>
  <colItems count="1">
    <i/>
  </colItems>
  <dataFields count="1">
    <dataField name="Sum of INCOM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C794AF-A7E6-470C-ACAF-A7B605249984}"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15" firstHeaderRow="1" firstDataRow="1" firstDataCol="1"/>
  <pivotFields count="41">
    <pivotField axis="axisRow" showAll="0" sortType="descending">
      <items count="14">
        <item h="1" x="12"/>
        <item x="8"/>
        <item x="9"/>
        <item x="10"/>
        <item x="4"/>
        <item x="2"/>
        <item x="5"/>
        <item x="6"/>
        <item x="0"/>
        <item x="1"/>
        <item x="11"/>
        <item x="7"/>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3">
    <i>
      <x v="2"/>
    </i>
    <i>
      <x v="11"/>
    </i>
    <i>
      <x v="5"/>
    </i>
    <i>
      <x v="8"/>
    </i>
    <i>
      <x v="3"/>
    </i>
    <i>
      <x v="10"/>
    </i>
    <i>
      <x v="9"/>
    </i>
    <i>
      <x v="1"/>
    </i>
    <i>
      <x v="7"/>
    </i>
    <i>
      <x v="6"/>
    </i>
    <i>
      <x v="4"/>
    </i>
    <i>
      <x v="12"/>
    </i>
    <i t="grand">
      <x/>
    </i>
  </rowItems>
  <colItems count="1">
    <i/>
  </colItems>
  <dataFields count="1">
    <dataField name="Sum of INCOME" fld="1" baseField="0" baseItem="4"/>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7658DB-033F-4343-8FA8-7B84667F40DF}" name="PivotTable8" cacheId="1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1:B165" firstHeaderRow="1" firstDataRow="1" firstDataCol="1"/>
  <pivotFields count="41">
    <pivotField axis="axisRow" showAll="0" sortType="descending">
      <items count="14">
        <item x="12"/>
        <item h="1" x="8"/>
        <item h="1" x="9"/>
        <item h="1" x="10"/>
        <item h="1" x="4"/>
        <item h="1" x="2"/>
        <item h="1" x="5"/>
        <item h="1" x="6"/>
        <item h="1" x="0"/>
        <item h="1" x="1"/>
        <item h="1" x="11"/>
        <item h="1" x="7"/>
        <item h="1" x="3"/>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s>
  <rowFields count="2">
    <field x="-2"/>
    <field x="0"/>
  </rowFields>
  <rowItems count="114">
    <i>
      <x/>
    </i>
    <i r="1">
      <x/>
    </i>
    <i i="1">
      <x v="1"/>
    </i>
    <i r="1" i="1">
      <x/>
    </i>
    <i i="2">
      <x v="2"/>
    </i>
    <i r="1" i="2">
      <x/>
    </i>
    <i i="3">
      <x v="3"/>
    </i>
    <i r="1" i="3">
      <x/>
    </i>
    <i i="4">
      <x v="4"/>
    </i>
    <i r="1" i="4">
      <x/>
    </i>
    <i i="5">
      <x v="5"/>
    </i>
    <i r="1" i="5">
      <x/>
    </i>
    <i i="6">
      <x v="6"/>
    </i>
    <i r="1" i="6">
      <x/>
    </i>
    <i i="7">
      <x v="7"/>
    </i>
    <i r="1" i="7">
      <x/>
    </i>
    <i i="8">
      <x v="8"/>
    </i>
    <i r="1" i="8">
      <x/>
    </i>
    <i i="9">
      <x v="9"/>
    </i>
    <i r="1" i="9">
      <x/>
    </i>
    <i i="10">
      <x v="10"/>
    </i>
    <i r="1" i="10">
      <x/>
    </i>
    <i i="11">
      <x v="11"/>
    </i>
    <i r="1" i="11">
      <x/>
    </i>
    <i i="12">
      <x v="12"/>
    </i>
    <i r="1" i="12">
      <x/>
    </i>
    <i i="13">
      <x v="13"/>
    </i>
    <i r="1" i="13">
      <x/>
    </i>
    <i i="14">
      <x v="14"/>
    </i>
    <i r="1" i="14">
      <x/>
    </i>
    <i i="15">
      <x v="15"/>
    </i>
    <i r="1" i="15">
      <x/>
    </i>
    <i i="16">
      <x v="16"/>
    </i>
    <i r="1" i="16">
      <x/>
    </i>
    <i i="17">
      <x v="17"/>
    </i>
    <i r="1" i="17">
      <x/>
    </i>
    <i i="18">
      <x v="18"/>
    </i>
    <i r="1" i="18">
      <x/>
    </i>
    <i i="19">
      <x v="19"/>
    </i>
    <i r="1" i="19">
      <x/>
    </i>
    <i i="20">
      <x v="20"/>
    </i>
    <i r="1" i="20">
      <x/>
    </i>
    <i i="21">
      <x v="21"/>
    </i>
    <i r="1" i="21">
      <x/>
    </i>
    <i i="22">
      <x v="22"/>
    </i>
    <i r="1" i="22">
      <x/>
    </i>
    <i i="23">
      <x v="23"/>
    </i>
    <i r="1" i="23">
      <x/>
    </i>
    <i i="24">
      <x v="24"/>
    </i>
    <i r="1" i="24">
      <x/>
    </i>
    <i i="25">
      <x v="25"/>
    </i>
    <i r="1" i="25">
      <x/>
    </i>
    <i i="26">
      <x v="26"/>
    </i>
    <i r="1" i="26">
      <x/>
    </i>
    <i i="27">
      <x v="27"/>
    </i>
    <i r="1" i="27">
      <x/>
    </i>
    <i i="28">
      <x v="28"/>
    </i>
    <i r="1" i="28">
      <x/>
    </i>
    <i i="29">
      <x v="29"/>
    </i>
    <i r="1" i="29">
      <x/>
    </i>
    <i i="30">
      <x v="30"/>
    </i>
    <i r="1" i="30">
      <x/>
    </i>
    <i i="31">
      <x v="31"/>
    </i>
    <i r="1" i="31">
      <x/>
    </i>
    <i i="32">
      <x v="32"/>
    </i>
    <i r="1" i="32">
      <x/>
    </i>
    <i i="33">
      <x v="33"/>
    </i>
    <i r="1" i="33">
      <x/>
    </i>
    <i i="34">
      <x v="34"/>
    </i>
    <i r="1" i="34">
      <x/>
    </i>
    <i i="35">
      <x v="35"/>
    </i>
    <i r="1" i="35">
      <x/>
    </i>
    <i i="36">
      <x v="36"/>
    </i>
    <i r="1" i="36">
      <x/>
    </i>
    <i i="37">
      <x v="37"/>
    </i>
    <i r="1" i="37">
      <x/>
    </i>
    <i t="grand">
      <x/>
    </i>
    <i t="grand" i="1">
      <x/>
    </i>
    <i t="grand" i="2">
      <x/>
    </i>
    <i t="grand" i="3">
      <x/>
    </i>
    <i t="grand" i="4">
      <x/>
    </i>
    <i t="grand" i="5">
      <x/>
    </i>
    <i t="grand" i="6">
      <x/>
    </i>
    <i t="grand" i="7">
      <x/>
    </i>
    <i t="grand" i="8">
      <x/>
    </i>
    <i t="grand" i="9">
      <x/>
    </i>
    <i t="grand" i="10">
      <x/>
    </i>
    <i t="grand" i="11">
      <x/>
    </i>
    <i t="grand" i="12">
      <x/>
    </i>
    <i t="grand" i="13">
      <x/>
    </i>
    <i t="grand" i="14">
      <x/>
    </i>
    <i t="grand" i="15">
      <x/>
    </i>
    <i t="grand" i="16">
      <x/>
    </i>
    <i t="grand" i="17">
      <x/>
    </i>
    <i t="grand" i="18">
      <x/>
    </i>
    <i t="grand" i="19">
      <x/>
    </i>
    <i t="grand" i="20">
      <x/>
    </i>
    <i t="grand" i="21">
      <x/>
    </i>
    <i t="grand" i="22">
      <x/>
    </i>
    <i t="grand" i="23">
      <x/>
    </i>
    <i t="grand" i="24">
      <x/>
    </i>
    <i t="grand" i="25">
      <x/>
    </i>
    <i t="grand" i="26">
      <x/>
    </i>
    <i t="grand" i="27">
      <x/>
    </i>
    <i t="grand" i="28">
      <x/>
    </i>
    <i t="grand" i="29">
      <x/>
    </i>
    <i t="grand" i="30">
      <x/>
    </i>
    <i t="grand" i="31">
      <x/>
    </i>
    <i t="grand" i="32">
      <x/>
    </i>
    <i t="grand" i="33">
      <x/>
    </i>
    <i t="grand" i="34">
      <x/>
    </i>
    <i t="grand" i="35">
      <x/>
    </i>
    <i t="grand" i="36">
      <x/>
    </i>
    <i t="grand" i="37">
      <x/>
    </i>
  </rowItems>
  <colItems count="1">
    <i/>
  </colItems>
  <dataFields count="38">
    <dataField name="Sum of RICE" fld="2" baseField="0" baseItem="0"/>
    <dataField name="Sum of ATTA" fld="3" baseField="0" baseItem="0"/>
    <dataField name="Sum of SUGAR" fld="4" baseField="0" baseItem="0"/>
    <dataField name="Sum of TUVAR DAL" fld="5" baseField="0" baseItem="0"/>
    <dataField name="Sum of G.OIL" fld="6" baseField="0" baseItem="0"/>
    <dataField name="Sum of TEA/COF POW" fld="7" baseField="0" baseItem="0"/>
    <dataField name="Sum of MILK/CURD" fld="8" baseField="0" baseItem="0"/>
    <dataField name="Sum of D WATER" fld="9" baseField="0" baseItem="0"/>
    <dataField name="Sum of HOTEL/SNACKS" fld="11" baseField="0" baseItem="0"/>
    <dataField name="Sum of BUT/GHEE" fld="10" baseField="0" baseItem="0"/>
    <dataField name="Sum of VEGETABLE" fld="12" baseField="0" baseItem="0"/>
    <dataField name="Sum of FRUITS" fld="13" baseField="0" baseItem="0"/>
    <dataField name="Sum of SOAP/TOILETRIES" fld="14" baseField="0" baseItem="0"/>
    <dataField name="Sum of RAVI EXPS" fld="15" baseField="0" baseItem="0"/>
    <dataField name="Sum of DAL/SPICES" fld="16" baseField="0" baseItem="0"/>
    <dataField name="Sum of FISH/CHI" fld="17" baseField="0" baseItem="0"/>
    <dataField name="Sum of Aquarium" fld="18" baseField="0" baseItem="0"/>
    <dataField name="Sum of GAS" fld="19" baseField="0" baseItem="0"/>
    <dataField name="Sum of PHONE REC" fld="20" baseField="0" baseItem="0"/>
    <dataField name="Sum of EB BILL" fld="21" baseField="0" baseItem="0"/>
    <dataField name="Sum of AIRTEL/JIO" fld="22" baseField="0" baseItem="0"/>
    <dataField name="Sum of JAYA DOC/SIP" fld="23" baseField="0" baseItem="0"/>
    <dataField name="Sum of BUS/AUTO" fld="24" baseField="0" baseItem="62889"/>
    <dataField name="Sum of JAYA EXPS" fld="25" baseField="0" baseItem="62893"/>
    <dataField name="Sum of HO POOJA" fld="26" baseField="0" baseItem="0"/>
    <dataField name="Sum of VEH EXPS" fld="27" baseField="0" baseItem="0"/>
    <dataField name="Sum of SUSH EXPS" fld="28" baseField="0" baseItem="0"/>
    <dataField name="Sum of SUSH SIP/DOC" fld="29" baseField="0" baseItem="0"/>
    <dataField name="Sum of AYYA A/C" fld="30" baseField="0" baseItem="0"/>
    <dataField name="Sum of MEDICINE" fld="31" baseField="0" baseItem="0"/>
    <dataField name="Sum of MUM AYYA" fld="32" baseField="0" baseItem="0"/>
    <dataField name="Sum of MISC EXPS" fld="33" baseField="0" baseItem="0"/>
    <dataField name="Sum of HO RENT" fld="34" baseField="0" baseItem="0"/>
    <dataField name="Sum of GOLDCHIT" fld="35" baseField="0" baseItem="0"/>
    <dataField name="Sum of PETROL EXPS" fld="36" baseField="0" baseItem="0"/>
    <dataField name="Sum of KITCHEN APP" fld="37" baseField="0" baseItem="0"/>
    <dataField name="Sum of PLANTS" fld="38" baseField="0" baseItem="0"/>
    <dataField name="Sum of DONATION" fld="3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4E86CD-672A-40E6-AB05-EEDF85CA2E2C}"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B46" firstHeaderRow="1" firstDataRow="1" firstDataCol="1"/>
  <pivotFields count="41">
    <pivotField axis="axisRow" showAll="0" sortType="descending">
      <items count="12">
        <item h="1" x="10"/>
        <item x="8"/>
        <item x="9"/>
        <item x="4"/>
        <item x="2"/>
        <item x="5"/>
        <item x="6"/>
        <item x="0"/>
        <item x="1"/>
        <item x="7"/>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5"/>
    </i>
    <i>
      <x v="3"/>
    </i>
    <i>
      <x v="1"/>
    </i>
    <i>
      <x v="2"/>
    </i>
    <i>
      <x v="4"/>
    </i>
    <i>
      <x v="8"/>
    </i>
    <i>
      <x v="6"/>
    </i>
    <i>
      <x v="7"/>
    </i>
    <i>
      <x v="10"/>
    </i>
    <i>
      <x v="9"/>
    </i>
    <i t="grand">
      <x/>
    </i>
  </rowItems>
  <colItems count="1">
    <i/>
  </colItems>
  <dataFields count="1">
    <dataField name="Sum of INCOM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E0F56E-C57A-4371-A014-D63FAF1FB256}"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71:H72" firstHeaderRow="0" firstDataRow="1" firstDataCol="0"/>
  <pivotFields count="4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ATTA" fld="3" baseField="0" baseItem="0"/>
    <dataField name="Sum of RICE"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1" xr10:uid="{7600B36E-E074-4863-B801-03154F76470E}" sourceName="ITEMS">
  <pivotTables>
    <pivotTable tabId="5" name="PivotTable1"/>
  </pivotTables>
  <data>
    <tabular pivotCacheId="168736140">
      <items count="39">
        <i x="15" s="1"/>
        <i x="25" s="1"/>
        <i x="35" s="1"/>
        <i x="11" s="1"/>
        <i x="12" s="1"/>
        <i x="30" s="1"/>
        <i x="31" s="1"/>
        <i x="14" s="1"/>
        <i x="34" s="1"/>
        <i x="22" s="1"/>
        <i x="16" s="1"/>
        <i x="20" s="1"/>
        <i x="27" s="1"/>
        <i x="23" s="1"/>
        <i x="6" s="1"/>
        <i x="10" s="1"/>
        <i x="1" s="1"/>
        <i x="9" s="1"/>
        <i x="3" s="1"/>
        <i x="7" s="1"/>
        <i x="21" s="1"/>
        <i x="17" s="1"/>
        <i x="18" s="1"/>
        <i x="2" s="1"/>
        <i x="5" s="1"/>
        <i x="32" s="1"/>
        <i x="29" s="1"/>
        <i x="28" s="1"/>
        <i x="4" s="1"/>
        <i x="26" s="1"/>
        <i x="24" s="1"/>
        <i x="37" s="1"/>
        <i x="0" s="1"/>
        <i x="13" s="1"/>
        <i x="33" s="1"/>
        <i x="38"/>
        <i x="36" s="1"/>
        <i x="19"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4" xr10:uid="{A653DC8C-0A33-4948-B67F-F754E7F962CD}" sourceName="ITEMS">
  <pivotTables>
    <pivotTable tabId="7" name="PivotTable2"/>
    <pivotTable tabId="13" name="PivotTable4"/>
    <pivotTable tabId="12" name="PivotTable5"/>
  </pivotTables>
  <data>
    <tabular pivotCacheId="821511075">
      <items count="38">
        <i x="15" s="1"/>
        <i x="25" s="1"/>
        <i x="35" s="1"/>
        <i x="11" s="1"/>
        <i x="12" s="1"/>
        <i x="30" s="1"/>
        <i x="31" s="1"/>
        <i x="14" s="1"/>
        <i x="34" s="1"/>
        <i x="22" s="1"/>
        <i x="16" s="1"/>
        <i x="20" s="1"/>
        <i x="27" s="1"/>
        <i x="23" s="1"/>
        <i x="6" s="1"/>
        <i x="10" s="1"/>
        <i x="1" s="1"/>
        <i x="9" s="1"/>
        <i x="3" s="1"/>
        <i x="7" s="1"/>
        <i x="21" s="1"/>
        <i x="17" s="1"/>
        <i x="18" s="1"/>
        <i x="2" s="1"/>
        <i x="5" s="1"/>
        <i x="32" s="1"/>
        <i x="29" s="1"/>
        <i x="28" s="1"/>
        <i x="4" s="1"/>
        <i x="26" s="1"/>
        <i x="24" s="1"/>
        <i x="37" s="1"/>
        <i x="0" s="1"/>
        <i x="13" s="1"/>
        <i x="33" s="1"/>
        <i x="36" s="1"/>
        <i x="19"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 xr10:uid="{D376C5F5-6B4B-4F62-9624-D6D907C91300}" sourceName="ITEMS">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S" xr10:uid="{7BF76D08-8347-428C-B1A0-E179F982F55D}" cache="Slicer_ITEMS" caption="ITEM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S 1" xr10:uid="{A64A38F5-3DCC-4ED4-9055-0DAF4386C147}" cache="Slicer_ITEMS1" caption="ITEM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S 4" xr10:uid="{255E483A-4C3E-48CF-817B-897C124A2EC3}" cache="Slicer_ITEMS4" caption="ITEMS"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S 2" xr10:uid="{C6D34C24-E1B3-4086-B666-2D904F954896}" cache="Slicer_ITEMS4" caption="ITEMS"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S 3" xr10:uid="{896F81C4-D736-4BC4-8942-58ACD4F04215}" cache="Slicer_ITEMS4" caption="ITEMS"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S 5" xr10:uid="{5D4FD472-2953-4A69-B8D5-53293FD2A859}" cache="Slicer_ITEMS4" caption="ITEMS"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S 6" xr10:uid="{A69B4124-7E45-45F1-955B-4E7706D8829C}" cache="Slicer_ITEMS1" caption="ITEM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8BBDF6-0EDD-41AD-9291-B8FB53859173}" name="Table2" displayName="Table2" ref="B2:AK41" totalsRowShown="0" headerRowDxfId="40" dataDxfId="38" headerRowBorderDxfId="39" tableBorderDxfId="37" totalsRowBorderDxfId="36" headerRowCellStyle="Explanatory Text 2" dataCellStyle="Explanatory Text 2">
  <autoFilter ref="B2:AK41" xr:uid="{588BBDF6-0EDD-41AD-9291-B8FB53859173}"/>
  <tableColumns count="36">
    <tableColumn id="1" xr3:uid="{726C0AF8-6203-4F8F-9A8D-CE3EF6A3DBAB}" name="ITEMS" dataDxfId="35" dataCellStyle="Explanatory Text 2"/>
    <tableColumn id="2" xr3:uid="{B047D889-5028-4582-85AC-2DD615D88ECD}" name=" JAN 20" dataDxfId="34" dataCellStyle="Explanatory Text 2"/>
    <tableColumn id="3" xr3:uid="{D3D7A6D2-7E0F-4B79-8071-D1F153A223B7}" name=" FEB 20" dataDxfId="33" dataCellStyle="Explanatory Text 2"/>
    <tableColumn id="4" xr3:uid="{8BB391B8-5396-4292-AC2B-5813C772FD9D}" name=" MAR 20" dataDxfId="32" dataCellStyle="Explanatory Text 2"/>
    <tableColumn id="5" xr3:uid="{B7CE5DB0-87EA-4CE3-858A-F6184145D49A}" name=" APRIL 20" dataDxfId="31" dataCellStyle="Explanatory Text 2"/>
    <tableColumn id="6" xr3:uid="{DA40C995-BA3D-48CC-9B11-5B23772010D9}" name=" MAY 20" dataDxfId="30" dataCellStyle="Explanatory Text 2"/>
    <tableColumn id="7" xr3:uid="{8360841A-FD23-4375-89B1-FE56168231E9}" name=" JUNE 20" dataDxfId="29" dataCellStyle="Explanatory Text 2"/>
    <tableColumn id="8" xr3:uid="{E55E2000-2ED6-4CA9-AFF2-763275F19223}" name=" JULY 20" dataDxfId="28" dataCellStyle="Explanatory Text 2"/>
    <tableColumn id="9" xr3:uid="{BFEA0995-3B3F-443A-9152-B3D0F08C2BBE}" name=" AUG 20" dataDxfId="27" dataCellStyle="Explanatory Text 2"/>
    <tableColumn id="10" xr3:uid="{2A179CE4-AFB8-493E-B1F7-C947F3D2CEEF}" name=" SEPT 20" dataDxfId="26" dataCellStyle="Explanatory Text 2"/>
    <tableColumn id="11" xr3:uid="{8D64A55D-8351-4550-9675-C85232539AE3}" name=" OCT 20" dataDxfId="25" dataCellStyle="Explanatory Text 2"/>
    <tableColumn id="12" xr3:uid="{FA0ABF3A-2A83-45BB-83F7-CB9C47D0F160}" name=" NOV 20" dataDxfId="24" dataCellStyle="Explanatory Text 2"/>
    <tableColumn id="13" xr3:uid="{1CEA8525-F210-456C-A302-E74E41C0C28A}" name=" DEC 20" dataDxfId="23" dataCellStyle="Explanatory Text 2"/>
    <tableColumn id="14" xr3:uid="{8E0FCCE3-1DE1-41F3-A3C8-939DBDA12D19}" name=" JAN 21" dataDxfId="22" dataCellStyle="Explanatory Text 2"/>
    <tableColumn id="15" xr3:uid="{55B23709-B3C0-453C-8D0F-13B454C81B8D}" name=" FEB 21" dataDxfId="21" dataCellStyle="Explanatory Text 2"/>
    <tableColumn id="16" xr3:uid="{44B9F290-393B-4F8C-AC19-B01B9CCAB964}" name=" MAR 21" dataDxfId="20" dataCellStyle="Explanatory Text 2"/>
    <tableColumn id="17" xr3:uid="{CB1E8F2F-9962-41BB-8575-5B99400CEDBA}" name=" APRIL 21" dataDxfId="19" dataCellStyle="Explanatory Text 2"/>
    <tableColumn id="18" xr3:uid="{60D38FD6-6951-4E4C-82C2-5630D0AF4999}" name=" MAY 21" dataDxfId="18" dataCellStyle="Explanatory Text 2"/>
    <tableColumn id="19" xr3:uid="{9173CF57-4187-4AD1-BBE8-B4E8B0DB5F0F}" name=" JUNE 21" dataDxfId="17" dataCellStyle="Explanatory Text 2"/>
    <tableColumn id="20" xr3:uid="{FD338230-B6DC-46B3-936A-99B57AD6B269}" name=" JULY 21" dataDxfId="16" dataCellStyle="Explanatory Text 2"/>
    <tableColumn id="21" xr3:uid="{9535F150-A8E2-40F3-A145-5FC3671D8764}" name=" AUG 21" dataDxfId="15" dataCellStyle="Explanatory Text 2"/>
    <tableColumn id="22" xr3:uid="{898385B7-427F-4CBF-A670-07805E712F52}" name=" SEPT 21" dataDxfId="14" dataCellStyle="Explanatory Text 2"/>
    <tableColumn id="23" xr3:uid="{4593A7A0-51DB-4E2A-9D93-7523EDA25B47}" name=" OCT 21" dataDxfId="13" dataCellStyle="Explanatory Text 2"/>
    <tableColumn id="24" xr3:uid="{32B3E521-9194-49D8-BDD9-DD64A782C0EE}" name=" NOV 21" dataDxfId="12" dataCellStyle="Explanatory Text 2"/>
    <tableColumn id="25" xr3:uid="{CCD37CBE-0C69-4EC0-8DCF-E6C18C6492B2}" name=" DEC 21" dataDxfId="11" dataCellStyle="Explanatory Text 2"/>
    <tableColumn id="26" xr3:uid="{613A0FC3-B7D6-4EE7-A8E4-F6721AC1738A}" name=" JAN 22" dataDxfId="10" dataCellStyle="Explanatory Text 2"/>
    <tableColumn id="27" xr3:uid="{B4AECDFB-B886-492E-B1F5-306F003A4578}" name=" FEB 22" dataDxfId="9" dataCellStyle="Explanatory Text 2"/>
    <tableColumn id="28" xr3:uid="{CA5998CF-FC22-47C3-B77E-FB9077175CA2}" name=" MAR 22" dataDxfId="8" dataCellStyle="Explanatory Text 2"/>
    <tableColumn id="29" xr3:uid="{C56AEEE7-753F-492E-B2E4-9AA2B7F99DC1}" name=" APR 22" dataDxfId="7" dataCellStyle="Explanatory Text 2"/>
    <tableColumn id="30" xr3:uid="{FAAED109-D926-4736-8BB0-2D6085D7EA0B}" name=" MAY 22" dataDxfId="6" dataCellStyle="Explanatory Text 2"/>
    <tableColumn id="31" xr3:uid="{D2601BFA-A856-42C5-9444-BA801C3F4CBB}" name=" JUNE 22" dataDxfId="5" dataCellStyle="Explanatory Text 2"/>
    <tableColumn id="32" xr3:uid="{1A80F07B-DF58-479E-9FC3-664FFBD64FA8}" name=" JULY 22" dataDxfId="4" dataCellStyle="Explanatory Text 2"/>
    <tableColumn id="33" xr3:uid="{AD475999-2B1E-4C13-896D-3DC9E16834D5}" name=" AUG 22" dataDxfId="3" dataCellStyle="Explanatory Text 2"/>
    <tableColumn id="34" xr3:uid="{1D9C1ABE-00DB-492F-84EC-C212859B4244}" name=" SEPT 22" dataDxfId="2" dataCellStyle="Explanatory Text 2"/>
    <tableColumn id="35" xr3:uid="{117DECE4-9813-42D2-A39D-170E0F6E6573}" name=" OCT 22" dataDxfId="1" dataCellStyle="Explanatory Text 2"/>
    <tableColumn id="36" xr3:uid="{F648CD1D-2E6C-4BF4-B00C-4A575DEF5967}" name="TOTAL" dataDxfId="0" dataCellStyle="Explanatory Text 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43F5D-72D3-416C-AA3F-122A542A32A8}">
  <dimension ref="B1:AO41"/>
  <sheetViews>
    <sheetView zoomScaleNormal="100" workbookViewId="0">
      <pane ySplit="1" topLeftCell="A2" activePane="bottomLeft" state="frozen"/>
      <selection activeCell="AI1" sqref="AI1"/>
      <selection pane="bottomLeft" activeCell="A14" sqref="A14"/>
    </sheetView>
  </sheetViews>
  <sheetFormatPr defaultRowHeight="15" x14ac:dyDescent="0.25"/>
  <cols>
    <col min="1" max="1" width="22.85546875" customWidth="1"/>
    <col min="2" max="2" width="16.42578125" bestFit="1" customWidth="1"/>
    <col min="3" max="3" width="11.85546875" customWidth="1"/>
    <col min="4" max="4" width="11" customWidth="1"/>
    <col min="5" max="5" width="11.28515625" customWidth="1"/>
    <col min="6" max="6" width="12.140625" customWidth="1"/>
    <col min="7" max="37" width="13.7109375" customWidth="1"/>
  </cols>
  <sheetData>
    <row r="1" spans="2:41" ht="30" customHeight="1" x14ac:dyDescent="0.25">
      <c r="C1" s="28" t="s">
        <v>76</v>
      </c>
      <c r="D1" s="29"/>
      <c r="E1" s="29"/>
      <c r="F1" s="29"/>
      <c r="G1" s="29"/>
      <c r="H1" s="29"/>
      <c r="I1" s="29"/>
      <c r="J1" s="29"/>
      <c r="K1" s="29"/>
      <c r="L1" s="29"/>
      <c r="M1" s="29"/>
      <c r="N1" s="29"/>
      <c r="O1" s="30" t="s">
        <v>77</v>
      </c>
      <c r="P1" s="30"/>
      <c r="Q1" s="30"/>
      <c r="R1" s="30"/>
      <c r="S1" s="30"/>
      <c r="T1" s="30"/>
      <c r="U1" s="30"/>
      <c r="V1" s="30"/>
      <c r="W1" s="30"/>
      <c r="X1" s="30"/>
      <c r="Y1" s="30"/>
      <c r="Z1" s="30"/>
      <c r="AA1" s="31" t="s">
        <v>78</v>
      </c>
      <c r="AB1" s="31"/>
      <c r="AC1" s="31"/>
      <c r="AD1" s="31"/>
      <c r="AE1" s="31"/>
      <c r="AF1" s="31"/>
      <c r="AG1" s="31"/>
      <c r="AH1" s="31"/>
      <c r="AI1" s="31"/>
      <c r="AJ1" s="31"/>
    </row>
    <row r="2" spans="2:41" ht="29.25" customHeight="1" x14ac:dyDescent="0.25">
      <c r="B2" s="12" t="s">
        <v>79</v>
      </c>
      <c r="C2" s="13" t="s">
        <v>41</v>
      </c>
      <c r="D2" s="14" t="s">
        <v>42</v>
      </c>
      <c r="E2" s="14" t="s">
        <v>43</v>
      </c>
      <c r="F2" s="14" t="s">
        <v>44</v>
      </c>
      <c r="G2" s="14" t="s">
        <v>45</v>
      </c>
      <c r="H2" s="14" t="s">
        <v>46</v>
      </c>
      <c r="I2" s="14" t="s">
        <v>47</v>
      </c>
      <c r="J2" s="14" t="s">
        <v>49</v>
      </c>
      <c r="K2" s="14" t="s">
        <v>50</v>
      </c>
      <c r="L2" s="14" t="s">
        <v>51</v>
      </c>
      <c r="M2" s="14" t="s">
        <v>52</v>
      </c>
      <c r="N2" s="14" t="s">
        <v>53</v>
      </c>
      <c r="O2" s="14" t="s">
        <v>54</v>
      </c>
      <c r="P2" s="14" t="s">
        <v>55</v>
      </c>
      <c r="Q2" s="14" t="s">
        <v>56</v>
      </c>
      <c r="R2" s="14" t="s">
        <v>57</v>
      </c>
      <c r="S2" s="14" t="s">
        <v>58</v>
      </c>
      <c r="T2" s="14" t="s">
        <v>59</v>
      </c>
      <c r="U2" s="14" t="s">
        <v>60</v>
      </c>
      <c r="V2" s="14" t="s">
        <v>61</v>
      </c>
      <c r="W2" s="14" t="s">
        <v>62</v>
      </c>
      <c r="X2" s="14" t="s">
        <v>63</v>
      </c>
      <c r="Y2" s="14" t="s">
        <v>64</v>
      </c>
      <c r="Z2" s="14" t="s">
        <v>65</v>
      </c>
      <c r="AA2" s="14" t="s">
        <v>66</v>
      </c>
      <c r="AB2" s="14" t="s">
        <v>67</v>
      </c>
      <c r="AC2" s="14" t="s">
        <v>68</v>
      </c>
      <c r="AD2" s="14" t="s">
        <v>69</v>
      </c>
      <c r="AE2" s="14" t="s">
        <v>70</v>
      </c>
      <c r="AF2" s="14" t="s">
        <v>71</v>
      </c>
      <c r="AG2" s="14" t="s">
        <v>72</v>
      </c>
      <c r="AH2" s="14" t="s">
        <v>73</v>
      </c>
      <c r="AI2" s="14" t="s">
        <v>74</v>
      </c>
      <c r="AJ2" s="14" t="s">
        <v>75</v>
      </c>
      <c r="AK2" s="15" t="s">
        <v>40</v>
      </c>
    </row>
    <row r="3" spans="2:41" ht="20.100000000000001" customHeight="1" x14ac:dyDescent="0.25">
      <c r="B3" s="10" t="s">
        <v>28</v>
      </c>
      <c r="C3" s="6">
        <v>2795</v>
      </c>
      <c r="D3" s="7"/>
      <c r="E3" s="7">
        <v>2380</v>
      </c>
      <c r="F3" s="7">
        <v>495</v>
      </c>
      <c r="G3" s="7">
        <v>3100</v>
      </c>
      <c r="H3" s="7">
        <v>1064</v>
      </c>
      <c r="I3" s="7">
        <v>1030</v>
      </c>
      <c r="J3" s="7">
        <v>45730.22</v>
      </c>
      <c r="K3" s="7">
        <v>1600</v>
      </c>
      <c r="L3" s="7">
        <v>3724</v>
      </c>
      <c r="M3" s="7">
        <v>3560</v>
      </c>
      <c r="N3" s="7">
        <v>2180</v>
      </c>
      <c r="O3" s="7">
        <v>5155.38</v>
      </c>
      <c r="P3" s="7">
        <v>15113</v>
      </c>
      <c r="Q3" s="7">
        <v>3934</v>
      </c>
      <c r="R3" s="7">
        <v>4578</v>
      </c>
      <c r="S3" s="7">
        <v>30241</v>
      </c>
      <c r="T3" s="7">
        <v>2974</v>
      </c>
      <c r="U3" s="7">
        <v>1827</v>
      </c>
      <c r="V3" s="7">
        <v>15219.77</v>
      </c>
      <c r="W3" s="7">
        <v>2470</v>
      </c>
      <c r="X3" s="7">
        <v>52890</v>
      </c>
      <c r="Y3" s="7">
        <v>5862</v>
      </c>
      <c r="Z3" s="7">
        <v>3634</v>
      </c>
      <c r="AA3" s="7">
        <v>7957.51</v>
      </c>
      <c r="AB3" s="7">
        <v>2160</v>
      </c>
      <c r="AC3" s="7">
        <v>26095</v>
      </c>
      <c r="AD3" s="7">
        <v>1088</v>
      </c>
      <c r="AE3" s="7">
        <v>36615</v>
      </c>
      <c r="AF3" s="7">
        <v>10919</v>
      </c>
      <c r="AG3" s="7">
        <v>15091</v>
      </c>
      <c r="AH3" s="7">
        <v>7854.0300000000007</v>
      </c>
      <c r="AI3" s="7">
        <v>16660</v>
      </c>
      <c r="AJ3" s="7">
        <v>10865</v>
      </c>
      <c r="AK3" s="11">
        <f t="shared" ref="AK3:AK40" si="0">SUM(C3:AJ3)</f>
        <v>346860.91000000003</v>
      </c>
    </row>
    <row r="4" spans="2:41" ht="20.100000000000001" customHeight="1" x14ac:dyDescent="0.25">
      <c r="B4" s="10" t="s">
        <v>34</v>
      </c>
      <c r="C4" s="6">
        <v>9500</v>
      </c>
      <c r="D4" s="7">
        <v>9500</v>
      </c>
      <c r="E4" s="7">
        <v>9500</v>
      </c>
      <c r="F4" s="7">
        <v>9500</v>
      </c>
      <c r="G4" s="7">
        <v>9500</v>
      </c>
      <c r="H4" s="7">
        <v>9500</v>
      </c>
      <c r="I4" s="7">
        <v>9500</v>
      </c>
      <c r="J4" s="7">
        <v>9500</v>
      </c>
      <c r="K4" s="7">
        <v>9500</v>
      </c>
      <c r="L4" s="7">
        <v>9500</v>
      </c>
      <c r="M4" s="7">
        <v>9500</v>
      </c>
      <c r="N4" s="7">
        <v>9500</v>
      </c>
      <c r="O4" s="7">
        <v>9500</v>
      </c>
      <c r="P4" s="7">
        <v>9500</v>
      </c>
      <c r="Q4" s="7">
        <v>9500</v>
      </c>
      <c r="R4" s="7">
        <v>9500</v>
      </c>
      <c r="S4" s="7">
        <v>9500</v>
      </c>
      <c r="T4" s="7">
        <v>9500</v>
      </c>
      <c r="U4" s="7">
        <v>9500</v>
      </c>
      <c r="V4" s="7">
        <v>9500</v>
      </c>
      <c r="W4" s="7">
        <v>9500</v>
      </c>
      <c r="X4" s="7">
        <v>9500</v>
      </c>
      <c r="Y4" s="7">
        <v>9500</v>
      </c>
      <c r="Z4" s="7">
        <v>9500</v>
      </c>
      <c r="AA4" s="7">
        <v>9500</v>
      </c>
      <c r="AB4" s="7">
        <v>9500</v>
      </c>
      <c r="AC4" s="7">
        <v>9500</v>
      </c>
      <c r="AD4" s="7">
        <v>9500</v>
      </c>
      <c r="AE4" s="7">
        <v>9500</v>
      </c>
      <c r="AF4" s="7">
        <v>9500</v>
      </c>
      <c r="AG4" s="7">
        <v>9500</v>
      </c>
      <c r="AH4" s="7">
        <v>9500</v>
      </c>
      <c r="AI4" s="7">
        <v>9500</v>
      </c>
      <c r="AJ4" s="7">
        <v>9500</v>
      </c>
      <c r="AK4" s="11">
        <f t="shared" si="0"/>
        <v>323000</v>
      </c>
      <c r="AO4" s="8"/>
    </row>
    <row r="5" spans="2:41" ht="20.100000000000001" customHeight="1" x14ac:dyDescent="0.25">
      <c r="B5" s="10" t="s">
        <v>33</v>
      </c>
      <c r="C5" s="6">
        <v>23369</v>
      </c>
      <c r="D5" s="7">
        <v>18520</v>
      </c>
      <c r="E5" s="7">
        <v>440</v>
      </c>
      <c r="F5" s="7">
        <v>766</v>
      </c>
      <c r="G5" s="7">
        <v>10944</v>
      </c>
      <c r="H5" s="7">
        <v>3130</v>
      </c>
      <c r="I5" s="7">
        <v>948</v>
      </c>
      <c r="J5" s="7">
        <v>950</v>
      </c>
      <c r="K5" s="7">
        <v>1828</v>
      </c>
      <c r="L5" s="7">
        <v>1420</v>
      </c>
      <c r="M5" s="7">
        <v>5403</v>
      </c>
      <c r="N5" s="7">
        <v>305</v>
      </c>
      <c r="O5" s="7">
        <v>611</v>
      </c>
      <c r="P5" s="7">
        <v>2336.4</v>
      </c>
      <c r="Q5" s="7">
        <v>16060.7</v>
      </c>
      <c r="R5" s="7">
        <v>2933</v>
      </c>
      <c r="S5" s="7">
        <v>312</v>
      </c>
      <c r="T5" s="7">
        <v>2337.6999999999998</v>
      </c>
      <c r="U5" s="7">
        <v>2030</v>
      </c>
      <c r="V5" s="7">
        <v>2133.8000000000002</v>
      </c>
      <c r="W5" s="7">
        <v>3383.9</v>
      </c>
      <c r="X5" s="7">
        <v>672.2</v>
      </c>
      <c r="Y5" s="7">
        <v>1281</v>
      </c>
      <c r="Z5" s="7">
        <v>788.75</v>
      </c>
      <c r="AA5" s="7">
        <v>2069.7800000000002</v>
      </c>
      <c r="AB5" s="7">
        <v>9645</v>
      </c>
      <c r="AC5" s="7">
        <v>2751.6</v>
      </c>
      <c r="AD5" s="7">
        <v>4270</v>
      </c>
      <c r="AE5" s="7">
        <v>9807</v>
      </c>
      <c r="AF5" s="7">
        <v>17491.7</v>
      </c>
      <c r="AG5" s="7">
        <v>12124</v>
      </c>
      <c r="AH5" s="7">
        <v>1695</v>
      </c>
      <c r="AI5" s="7">
        <v>4067.7</v>
      </c>
      <c r="AJ5" s="7">
        <v>6208</v>
      </c>
      <c r="AK5" s="11">
        <f t="shared" si="0"/>
        <v>173033.23</v>
      </c>
    </row>
    <row r="6" spans="2:41" ht="20.100000000000001" customHeight="1" x14ac:dyDescent="0.25">
      <c r="B6" s="10" t="s">
        <v>23</v>
      </c>
      <c r="C6" s="6"/>
      <c r="D6" s="7"/>
      <c r="E6" s="7"/>
      <c r="F6" s="7"/>
      <c r="G6" s="7"/>
      <c r="H6" s="7"/>
      <c r="I6" s="7"/>
      <c r="J6" s="7"/>
      <c r="K6" s="7"/>
      <c r="L6" s="7"/>
      <c r="M6" s="7"/>
      <c r="N6" s="7"/>
      <c r="O6" s="7"/>
      <c r="P6" s="7"/>
      <c r="Q6" s="7"/>
      <c r="R6" s="7"/>
      <c r="S6" s="7"/>
      <c r="T6" s="7">
        <v>13400</v>
      </c>
      <c r="U6" s="7">
        <v>16000</v>
      </c>
      <c r="V6" s="7">
        <v>13000</v>
      </c>
      <c r="W6" s="7">
        <v>19050</v>
      </c>
      <c r="X6" s="7">
        <v>2520</v>
      </c>
      <c r="Y6" s="7">
        <v>0</v>
      </c>
      <c r="Z6" s="7">
        <v>0</v>
      </c>
      <c r="AA6" s="7">
        <v>0</v>
      </c>
      <c r="AB6" s="7">
        <v>0</v>
      </c>
      <c r="AC6" s="7">
        <v>0</v>
      </c>
      <c r="AD6" s="7">
        <v>10000</v>
      </c>
      <c r="AE6" s="7">
        <v>10000</v>
      </c>
      <c r="AF6" s="7">
        <v>10000</v>
      </c>
      <c r="AG6" s="7">
        <v>10000</v>
      </c>
      <c r="AH6" s="7">
        <v>10000</v>
      </c>
      <c r="AI6" s="7">
        <v>20000</v>
      </c>
      <c r="AJ6" s="7">
        <v>17900</v>
      </c>
      <c r="AK6" s="11">
        <f t="shared" si="0"/>
        <v>151870</v>
      </c>
    </row>
    <row r="7" spans="2:41" ht="20.100000000000001" customHeight="1" x14ac:dyDescent="0.25">
      <c r="B7" s="10" t="s">
        <v>15</v>
      </c>
      <c r="C7" s="6"/>
      <c r="D7" s="7"/>
      <c r="E7" s="7">
        <v>430</v>
      </c>
      <c r="F7" s="7">
        <v>450</v>
      </c>
      <c r="G7" s="7">
        <v>0</v>
      </c>
      <c r="H7" s="7">
        <v>690</v>
      </c>
      <c r="I7" s="7">
        <v>910</v>
      </c>
      <c r="J7" s="7">
        <v>2325</v>
      </c>
      <c r="K7" s="7">
        <v>930</v>
      </c>
      <c r="L7" s="7">
        <v>810</v>
      </c>
      <c r="M7" s="7">
        <v>620</v>
      </c>
      <c r="N7" s="7">
        <v>600</v>
      </c>
      <c r="O7" s="7">
        <v>660</v>
      </c>
      <c r="P7" s="7">
        <v>2265</v>
      </c>
      <c r="Q7" s="7">
        <v>680</v>
      </c>
      <c r="R7" s="7">
        <v>745</v>
      </c>
      <c r="S7" s="7">
        <v>777</v>
      </c>
      <c r="T7" s="7">
        <v>690</v>
      </c>
      <c r="U7" s="7">
        <v>760</v>
      </c>
      <c r="V7" s="7">
        <v>780</v>
      </c>
      <c r="W7" s="7">
        <v>810</v>
      </c>
      <c r="X7" s="7">
        <v>860</v>
      </c>
      <c r="Y7" s="7">
        <v>4550</v>
      </c>
      <c r="Z7" s="7">
        <v>1620</v>
      </c>
      <c r="AA7" s="7">
        <v>2230</v>
      </c>
      <c r="AB7" s="7">
        <v>12078</v>
      </c>
      <c r="AC7" s="7">
        <v>2090</v>
      </c>
      <c r="AD7" s="7">
        <v>740</v>
      </c>
      <c r="AE7" s="7">
        <v>2180</v>
      </c>
      <c r="AF7" s="7">
        <v>96233</v>
      </c>
      <c r="AG7" s="7">
        <v>5680</v>
      </c>
      <c r="AH7" s="7">
        <v>1150</v>
      </c>
      <c r="AI7" s="7">
        <v>1025</v>
      </c>
      <c r="AJ7" s="7">
        <v>1180</v>
      </c>
      <c r="AK7" s="11">
        <f t="shared" si="0"/>
        <v>147548</v>
      </c>
    </row>
    <row r="8" spans="2:41" ht="20.100000000000001" customHeight="1" x14ac:dyDescent="0.25">
      <c r="B8" s="10" t="s">
        <v>32</v>
      </c>
      <c r="C8" s="6"/>
      <c r="D8" s="7"/>
      <c r="E8" s="7"/>
      <c r="F8" s="7"/>
      <c r="G8" s="7"/>
      <c r="H8" s="7"/>
      <c r="I8" s="7"/>
      <c r="J8" s="7"/>
      <c r="K8" s="7"/>
      <c r="L8" s="7"/>
      <c r="M8" s="7"/>
      <c r="N8" s="7">
        <v>5000</v>
      </c>
      <c r="O8" s="7">
        <v>3000</v>
      </c>
      <c r="P8" s="7">
        <v>0</v>
      </c>
      <c r="Q8" s="7">
        <v>0</v>
      </c>
      <c r="R8" s="7">
        <v>0</v>
      </c>
      <c r="S8" s="7">
        <v>0</v>
      </c>
      <c r="T8" s="7">
        <v>3000</v>
      </c>
      <c r="U8" s="7">
        <v>3000</v>
      </c>
      <c r="V8" s="7">
        <v>3000</v>
      </c>
      <c r="W8" s="7">
        <v>3100</v>
      </c>
      <c r="X8" s="7">
        <v>3000</v>
      </c>
      <c r="Y8" s="7">
        <v>3000</v>
      </c>
      <c r="Z8" s="7">
        <v>5000</v>
      </c>
      <c r="AA8" s="7">
        <v>3000</v>
      </c>
      <c r="AB8" s="7">
        <v>3000</v>
      </c>
      <c r="AC8" s="7">
        <v>3000</v>
      </c>
      <c r="AD8" s="7">
        <v>13000</v>
      </c>
      <c r="AE8" s="7">
        <v>23000</v>
      </c>
      <c r="AF8" s="7">
        <v>44000</v>
      </c>
      <c r="AG8" s="7">
        <v>3000</v>
      </c>
      <c r="AH8" s="7">
        <v>6000</v>
      </c>
      <c r="AI8" s="7">
        <v>10000</v>
      </c>
      <c r="AJ8" s="7">
        <v>3000</v>
      </c>
      <c r="AK8" s="11">
        <f t="shared" si="0"/>
        <v>142100</v>
      </c>
    </row>
    <row r="9" spans="2:41" ht="20.100000000000001" customHeight="1" x14ac:dyDescent="0.25">
      <c r="B9" s="10" t="s">
        <v>35</v>
      </c>
      <c r="C9" s="6"/>
      <c r="D9" s="7">
        <v>6000</v>
      </c>
      <c r="E9" s="7">
        <v>3000</v>
      </c>
      <c r="F9" s="7"/>
      <c r="G9" s="7">
        <v>3000</v>
      </c>
      <c r="H9" s="7"/>
      <c r="I9" s="7"/>
      <c r="J9" s="7"/>
      <c r="K9" s="7"/>
      <c r="L9" s="7">
        <v>8380</v>
      </c>
      <c r="M9" s="7">
        <v>5050</v>
      </c>
      <c r="N9" s="7"/>
      <c r="O9" s="7">
        <v>5000</v>
      </c>
      <c r="P9" s="7">
        <v>5000</v>
      </c>
      <c r="Q9" s="7">
        <v>5000</v>
      </c>
      <c r="R9" s="7">
        <v>5000</v>
      </c>
      <c r="S9" s="7">
        <v>0</v>
      </c>
      <c r="T9" s="7">
        <v>10050</v>
      </c>
      <c r="U9" s="7">
        <v>5000</v>
      </c>
      <c r="V9" s="7">
        <v>5000</v>
      </c>
      <c r="W9" s="7">
        <v>5000</v>
      </c>
      <c r="X9" s="7">
        <v>5000</v>
      </c>
      <c r="Y9" s="7">
        <v>5000</v>
      </c>
      <c r="Z9" s="7">
        <v>5000</v>
      </c>
      <c r="AA9" s="7">
        <v>5000</v>
      </c>
      <c r="AB9" s="7">
        <v>5000</v>
      </c>
      <c r="AC9" s="7">
        <v>5000</v>
      </c>
      <c r="AD9" s="7">
        <v>5000</v>
      </c>
      <c r="AE9" s="7">
        <v>5000</v>
      </c>
      <c r="AF9" s="7">
        <v>5000</v>
      </c>
      <c r="AG9" s="7">
        <v>5000</v>
      </c>
      <c r="AH9" s="7">
        <v>5000</v>
      </c>
      <c r="AI9" s="7">
        <v>5000</v>
      </c>
      <c r="AJ9" s="7">
        <v>5000</v>
      </c>
      <c r="AK9" s="11">
        <f t="shared" si="0"/>
        <v>135480</v>
      </c>
    </row>
    <row r="10" spans="2:41" ht="20.100000000000001" customHeight="1" x14ac:dyDescent="0.25">
      <c r="B10" s="10" t="s">
        <v>25</v>
      </c>
      <c r="C10" s="6"/>
      <c r="D10" s="7"/>
      <c r="E10" s="7"/>
      <c r="F10" s="7"/>
      <c r="G10" s="7"/>
      <c r="H10" s="7"/>
      <c r="I10" s="7"/>
      <c r="J10" s="7"/>
      <c r="K10" s="7"/>
      <c r="L10" s="7"/>
      <c r="M10" s="7"/>
      <c r="N10" s="7"/>
      <c r="O10" s="7"/>
      <c r="P10" s="7">
        <v>36897</v>
      </c>
      <c r="Q10" s="7" t="s">
        <v>48</v>
      </c>
      <c r="R10" s="7">
        <v>100</v>
      </c>
      <c r="S10" s="7">
        <v>100</v>
      </c>
      <c r="T10" s="7">
        <v>5800</v>
      </c>
      <c r="U10" s="7">
        <v>0</v>
      </c>
      <c r="V10" s="7">
        <v>500</v>
      </c>
      <c r="W10" s="7">
        <v>700</v>
      </c>
      <c r="X10" s="7">
        <v>1330</v>
      </c>
      <c r="Y10" s="7">
        <v>2900</v>
      </c>
      <c r="Z10" s="7">
        <v>850</v>
      </c>
      <c r="AA10" s="7">
        <v>4000</v>
      </c>
      <c r="AB10" s="7">
        <v>46850</v>
      </c>
      <c r="AC10" s="7">
        <v>1000</v>
      </c>
      <c r="AD10" s="7">
        <v>354</v>
      </c>
      <c r="AE10" s="7">
        <v>520</v>
      </c>
      <c r="AF10" s="7">
        <v>7330</v>
      </c>
      <c r="AG10" s="7">
        <v>9986.61</v>
      </c>
      <c r="AH10" s="7">
        <v>0</v>
      </c>
      <c r="AI10" s="7">
        <v>880</v>
      </c>
      <c r="AJ10" s="7">
        <v>1399</v>
      </c>
      <c r="AK10" s="11">
        <f t="shared" si="0"/>
        <v>121496.61</v>
      </c>
    </row>
    <row r="11" spans="2:41" ht="20.100000000000001" customHeight="1" x14ac:dyDescent="0.25">
      <c r="B11" s="10" t="s">
        <v>27</v>
      </c>
      <c r="C11" s="6"/>
      <c r="D11" s="7"/>
      <c r="E11" s="7"/>
      <c r="F11" s="7"/>
      <c r="G11" s="7"/>
      <c r="H11" s="7"/>
      <c r="I11" s="7"/>
      <c r="J11" s="7"/>
      <c r="K11" s="7"/>
      <c r="L11" s="7"/>
      <c r="M11" s="7"/>
      <c r="N11" s="7"/>
      <c r="O11" s="7">
        <v>99540</v>
      </c>
      <c r="P11" s="7">
        <v>200</v>
      </c>
      <c r="Q11" s="7">
        <v>500</v>
      </c>
      <c r="R11" s="7">
        <v>0</v>
      </c>
      <c r="S11" s="7">
        <v>0</v>
      </c>
      <c r="T11" s="7">
        <v>470</v>
      </c>
      <c r="U11" s="7">
        <v>0</v>
      </c>
      <c r="V11" s="7">
        <v>110</v>
      </c>
      <c r="W11" s="7">
        <v>0</v>
      </c>
      <c r="X11" s="7">
        <v>0</v>
      </c>
      <c r="Y11" s="7">
        <v>0</v>
      </c>
      <c r="Z11" s="7">
        <v>0</v>
      </c>
      <c r="AA11" s="7">
        <v>1486</v>
      </c>
      <c r="AB11" s="7">
        <v>0</v>
      </c>
      <c r="AC11" s="7">
        <v>0</v>
      </c>
      <c r="AD11" s="7">
        <v>0</v>
      </c>
      <c r="AE11" s="7">
        <v>0</v>
      </c>
      <c r="AF11" s="7">
        <v>0</v>
      </c>
      <c r="AG11" s="7">
        <v>0</v>
      </c>
      <c r="AH11" s="7">
        <v>0</v>
      </c>
      <c r="AI11" s="7">
        <v>0</v>
      </c>
      <c r="AJ11" s="7">
        <v>0</v>
      </c>
      <c r="AK11" s="11">
        <f t="shared" si="0"/>
        <v>102306</v>
      </c>
    </row>
    <row r="12" spans="2:41" ht="20.100000000000001" customHeight="1" x14ac:dyDescent="0.25">
      <c r="B12" s="10" t="s">
        <v>11</v>
      </c>
      <c r="C12" s="6"/>
      <c r="D12" s="7"/>
      <c r="E12" s="7">
        <v>2000</v>
      </c>
      <c r="F12" s="7">
        <v>500</v>
      </c>
      <c r="G12" s="7">
        <v>0</v>
      </c>
      <c r="H12" s="7">
        <v>2811</v>
      </c>
      <c r="I12" s="7">
        <v>810</v>
      </c>
      <c r="J12" s="7">
        <v>760</v>
      </c>
      <c r="K12" s="7">
        <v>1330</v>
      </c>
      <c r="L12" s="7">
        <v>2748</v>
      </c>
      <c r="M12" s="7">
        <v>2278</v>
      </c>
      <c r="N12" s="7">
        <v>1066</v>
      </c>
      <c r="O12" s="7">
        <v>4121</v>
      </c>
      <c r="P12" s="7">
        <v>4458</v>
      </c>
      <c r="Q12" s="7">
        <v>2252</v>
      </c>
      <c r="R12" s="7">
        <v>1858</v>
      </c>
      <c r="S12" s="7">
        <v>832</v>
      </c>
      <c r="T12" s="7">
        <v>2460.4499999999998</v>
      </c>
      <c r="U12" s="7">
        <v>1608</v>
      </c>
      <c r="V12" s="7">
        <v>1991</v>
      </c>
      <c r="W12" s="7">
        <v>1902.8</v>
      </c>
      <c r="X12" s="7">
        <v>2767</v>
      </c>
      <c r="Y12" s="7">
        <v>5235.2</v>
      </c>
      <c r="Z12" s="7">
        <v>3345.9</v>
      </c>
      <c r="AA12" s="7">
        <v>3439.2</v>
      </c>
      <c r="AB12" s="7">
        <v>4011</v>
      </c>
      <c r="AC12" s="7">
        <v>5280.7</v>
      </c>
      <c r="AD12" s="7">
        <v>4127.3500000000004</v>
      </c>
      <c r="AE12" s="7">
        <v>8983.42</v>
      </c>
      <c r="AF12" s="7">
        <v>13036.65</v>
      </c>
      <c r="AG12" s="7">
        <v>4953</v>
      </c>
      <c r="AH12" s="7">
        <v>1681</v>
      </c>
      <c r="AI12" s="7">
        <v>4346</v>
      </c>
      <c r="AJ12" s="7">
        <v>4027</v>
      </c>
      <c r="AK12" s="11">
        <f t="shared" si="0"/>
        <v>101019.66999999998</v>
      </c>
    </row>
    <row r="13" spans="2:41" ht="20.100000000000001" customHeight="1" x14ac:dyDescent="0.25">
      <c r="B13" s="10" t="s">
        <v>26</v>
      </c>
      <c r="C13" s="6"/>
      <c r="D13" s="7"/>
      <c r="E13" s="7">
        <v>730</v>
      </c>
      <c r="F13" s="7">
        <v>898</v>
      </c>
      <c r="G13" s="7">
        <v>0</v>
      </c>
      <c r="H13" s="7">
        <v>1048</v>
      </c>
      <c r="I13" s="7">
        <v>1088</v>
      </c>
      <c r="J13" s="7">
        <v>3429</v>
      </c>
      <c r="K13" s="7">
        <v>4987.8</v>
      </c>
      <c r="L13" s="7">
        <v>9470.2999999999993</v>
      </c>
      <c r="M13" s="7">
        <v>4816.92</v>
      </c>
      <c r="N13" s="7">
        <v>2430</v>
      </c>
      <c r="O13" s="7">
        <v>3830</v>
      </c>
      <c r="P13" s="7">
        <v>5032</v>
      </c>
      <c r="Q13" s="7">
        <v>6101</v>
      </c>
      <c r="R13" s="7">
        <v>2490</v>
      </c>
      <c r="S13" s="7">
        <v>1440</v>
      </c>
      <c r="T13" s="7">
        <v>1953</v>
      </c>
      <c r="U13" s="7">
        <v>3163</v>
      </c>
      <c r="V13" s="7">
        <v>4337</v>
      </c>
      <c r="W13" s="7">
        <v>2526</v>
      </c>
      <c r="X13" s="7">
        <v>1900</v>
      </c>
      <c r="Y13" s="7">
        <v>2469</v>
      </c>
      <c r="Z13" s="7">
        <v>1972</v>
      </c>
      <c r="AA13" s="7">
        <v>1090</v>
      </c>
      <c r="AB13" s="7">
        <v>1376</v>
      </c>
      <c r="AC13" s="7">
        <v>2709</v>
      </c>
      <c r="AD13" s="7">
        <v>1585</v>
      </c>
      <c r="AE13" s="7">
        <v>2460</v>
      </c>
      <c r="AF13" s="7">
        <v>370</v>
      </c>
      <c r="AG13" s="7">
        <v>1670</v>
      </c>
      <c r="AH13" s="7">
        <v>2332</v>
      </c>
      <c r="AI13" s="7">
        <v>1650</v>
      </c>
      <c r="AJ13" s="7">
        <v>3815</v>
      </c>
      <c r="AK13" s="11">
        <f t="shared" si="0"/>
        <v>85168.01999999999</v>
      </c>
    </row>
    <row r="14" spans="2:41" ht="20.100000000000001" customHeight="1" x14ac:dyDescent="0.25">
      <c r="B14" s="10" t="s">
        <v>30</v>
      </c>
      <c r="C14" s="6"/>
      <c r="D14" s="7"/>
      <c r="E14" s="7">
        <v>2090</v>
      </c>
      <c r="F14" s="7"/>
      <c r="G14" s="7"/>
      <c r="H14" s="7">
        <v>500</v>
      </c>
      <c r="I14" s="7"/>
      <c r="J14" s="7"/>
      <c r="K14" s="7"/>
      <c r="L14" s="7">
        <v>2000</v>
      </c>
      <c r="M14" s="7">
        <v>3000</v>
      </c>
      <c r="N14" s="7">
        <v>2000</v>
      </c>
      <c r="O14" s="7">
        <v>2000</v>
      </c>
      <c r="P14" s="7">
        <v>2000</v>
      </c>
      <c r="Q14" s="7">
        <v>4400.33</v>
      </c>
      <c r="R14" s="7">
        <v>2000</v>
      </c>
      <c r="S14" s="7">
        <v>2000</v>
      </c>
      <c r="T14" s="7">
        <v>2500</v>
      </c>
      <c r="U14" s="7">
        <v>5000</v>
      </c>
      <c r="V14" s="7">
        <v>3000</v>
      </c>
      <c r="W14" s="7">
        <v>3000</v>
      </c>
      <c r="X14" s="7">
        <v>3200</v>
      </c>
      <c r="Y14" s="7">
        <v>3000</v>
      </c>
      <c r="Z14" s="7">
        <v>3000</v>
      </c>
      <c r="AA14" s="7">
        <v>6936.8</v>
      </c>
      <c r="AB14" s="7">
        <v>3000</v>
      </c>
      <c r="AC14" s="7">
        <v>3500</v>
      </c>
      <c r="AD14" s="7">
        <v>6000</v>
      </c>
      <c r="AE14" s="7">
        <v>3000</v>
      </c>
      <c r="AF14" s="7">
        <v>3500</v>
      </c>
      <c r="AG14" s="7">
        <v>4000</v>
      </c>
      <c r="AH14" s="7">
        <v>3200</v>
      </c>
      <c r="AI14" s="7">
        <v>3000</v>
      </c>
      <c r="AJ14" s="7">
        <v>3400</v>
      </c>
      <c r="AK14" s="11">
        <f t="shared" si="0"/>
        <v>84227.13</v>
      </c>
    </row>
    <row r="15" spans="2:41" ht="20.100000000000001" customHeight="1" x14ac:dyDescent="0.25">
      <c r="B15" s="10" t="s">
        <v>24</v>
      </c>
      <c r="C15" s="6"/>
      <c r="D15" s="7">
        <v>2264</v>
      </c>
      <c r="E15" s="7">
        <v>2051.17</v>
      </c>
      <c r="F15" s="7"/>
      <c r="G15" s="7"/>
      <c r="H15" s="7">
        <v>2870</v>
      </c>
      <c r="I15" s="7" t="s">
        <v>48</v>
      </c>
      <c r="J15" s="7">
        <v>530</v>
      </c>
      <c r="K15" s="7">
        <v>580</v>
      </c>
      <c r="L15" s="7" t="s">
        <v>48</v>
      </c>
      <c r="M15" s="7">
        <v>530</v>
      </c>
      <c r="N15" s="7" t="s">
        <v>48</v>
      </c>
      <c r="O15" s="7">
        <v>3557.34</v>
      </c>
      <c r="P15" s="7">
        <v>620</v>
      </c>
      <c r="Q15" s="7">
        <v>1030</v>
      </c>
      <c r="R15" s="7">
        <v>540</v>
      </c>
      <c r="S15" s="7" t="s">
        <v>48</v>
      </c>
      <c r="T15" s="7">
        <v>700</v>
      </c>
      <c r="U15" s="7">
        <v>1195</v>
      </c>
      <c r="V15" s="7">
        <v>885</v>
      </c>
      <c r="W15" s="7">
        <v>945</v>
      </c>
      <c r="X15" s="7">
        <v>340</v>
      </c>
      <c r="Y15" s="7">
        <v>2100</v>
      </c>
      <c r="Z15" s="7">
        <v>380</v>
      </c>
      <c r="AA15" s="7">
        <v>2959</v>
      </c>
      <c r="AB15" s="7">
        <v>4260</v>
      </c>
      <c r="AC15" s="7">
        <v>120</v>
      </c>
      <c r="AD15" s="7">
        <v>0</v>
      </c>
      <c r="AE15" s="7">
        <v>2610</v>
      </c>
      <c r="AF15" s="7">
        <v>14178</v>
      </c>
      <c r="AG15" s="7">
        <v>6553.4</v>
      </c>
      <c r="AH15" s="7">
        <v>666.8</v>
      </c>
      <c r="AI15" s="7">
        <v>3541.5</v>
      </c>
      <c r="AJ15" s="7">
        <v>3435</v>
      </c>
      <c r="AK15" s="11">
        <f t="shared" si="0"/>
        <v>59441.210000000006</v>
      </c>
    </row>
    <row r="16" spans="2:41" ht="20.100000000000001" customHeight="1" x14ac:dyDescent="0.25">
      <c r="B16" s="10" t="s">
        <v>29</v>
      </c>
      <c r="C16" s="6"/>
      <c r="D16" s="7"/>
      <c r="E16" s="7">
        <v>1000</v>
      </c>
      <c r="F16" s="7"/>
      <c r="G16" s="7"/>
      <c r="H16" s="7"/>
      <c r="I16" s="7"/>
      <c r="J16" s="7"/>
      <c r="K16" s="7"/>
      <c r="L16" s="7"/>
      <c r="M16" s="7"/>
      <c r="N16" s="7"/>
      <c r="O16" s="7">
        <v>1150</v>
      </c>
      <c r="P16" s="7">
        <v>6750</v>
      </c>
      <c r="Q16" s="7">
        <v>2000</v>
      </c>
      <c r="R16" s="7">
        <v>2000</v>
      </c>
      <c r="S16" s="7">
        <v>0</v>
      </c>
      <c r="T16" s="7">
        <v>2000</v>
      </c>
      <c r="U16" s="7">
        <v>3000</v>
      </c>
      <c r="V16" s="7">
        <v>3000</v>
      </c>
      <c r="W16" s="7">
        <v>5500</v>
      </c>
      <c r="X16" s="7">
        <v>0</v>
      </c>
      <c r="Y16" s="7">
        <v>0</v>
      </c>
      <c r="Z16" s="7">
        <v>0</v>
      </c>
      <c r="AA16" s="7">
        <v>1500</v>
      </c>
      <c r="AB16" s="7">
        <v>0</v>
      </c>
      <c r="AC16" s="7">
        <v>3000</v>
      </c>
      <c r="AD16" s="7">
        <v>3000</v>
      </c>
      <c r="AE16" s="7">
        <v>3000</v>
      </c>
      <c r="AF16" s="7">
        <v>3000</v>
      </c>
      <c r="AG16" s="7">
        <v>3000</v>
      </c>
      <c r="AH16" s="7">
        <v>3000</v>
      </c>
      <c r="AI16" s="7">
        <v>3000</v>
      </c>
      <c r="AJ16" s="7">
        <v>3000</v>
      </c>
      <c r="AK16" s="11">
        <f t="shared" si="0"/>
        <v>51900</v>
      </c>
    </row>
    <row r="17" spans="2:37" ht="20.100000000000001" customHeight="1" x14ac:dyDescent="0.25">
      <c r="B17" s="10" t="s">
        <v>16</v>
      </c>
      <c r="C17" s="6"/>
      <c r="D17" s="7"/>
      <c r="E17" s="7">
        <v>934</v>
      </c>
      <c r="F17" s="7">
        <v>3665</v>
      </c>
      <c r="G17" s="7">
        <v>0</v>
      </c>
      <c r="H17" s="7">
        <v>1590</v>
      </c>
      <c r="I17" s="7">
        <v>2222</v>
      </c>
      <c r="J17" s="7">
        <v>3908</v>
      </c>
      <c r="K17" s="7">
        <v>534</v>
      </c>
      <c r="L17" s="7">
        <v>1161</v>
      </c>
      <c r="M17" s="7">
        <v>1769</v>
      </c>
      <c r="N17" s="7">
        <v>665</v>
      </c>
      <c r="O17" s="7">
        <v>1936</v>
      </c>
      <c r="P17" s="7">
        <v>914</v>
      </c>
      <c r="Q17" s="7">
        <v>820</v>
      </c>
      <c r="R17" s="7">
        <v>1969</v>
      </c>
      <c r="S17" s="7">
        <v>1966</v>
      </c>
      <c r="T17" s="7">
        <v>2059</v>
      </c>
      <c r="U17" s="7">
        <v>1503</v>
      </c>
      <c r="V17" s="7">
        <v>871</v>
      </c>
      <c r="W17" s="7">
        <v>1120</v>
      </c>
      <c r="X17" s="7">
        <v>1312</v>
      </c>
      <c r="Y17" s="7">
        <v>1450</v>
      </c>
      <c r="Z17" s="7">
        <v>2842</v>
      </c>
      <c r="AA17" s="7">
        <v>1301</v>
      </c>
      <c r="AB17" s="7">
        <v>1260</v>
      </c>
      <c r="AC17" s="7">
        <v>2723</v>
      </c>
      <c r="AD17" s="7">
        <v>435</v>
      </c>
      <c r="AE17" s="7">
        <v>1260</v>
      </c>
      <c r="AF17" s="7">
        <v>171</v>
      </c>
      <c r="AG17" s="7">
        <v>740</v>
      </c>
      <c r="AH17" s="7">
        <v>1427</v>
      </c>
      <c r="AI17" s="7">
        <v>1130</v>
      </c>
      <c r="AJ17" s="7">
        <v>1745</v>
      </c>
      <c r="AK17" s="11">
        <f t="shared" si="0"/>
        <v>47402</v>
      </c>
    </row>
    <row r="18" spans="2:37" ht="20.100000000000001" customHeight="1" x14ac:dyDescent="0.25">
      <c r="B18" s="10" t="s">
        <v>22</v>
      </c>
      <c r="C18" s="6">
        <v>706.82</v>
      </c>
      <c r="D18" s="7">
        <v>706.82</v>
      </c>
      <c r="E18" s="7">
        <v>707</v>
      </c>
      <c r="F18" s="7">
        <v>1105.82</v>
      </c>
      <c r="G18" s="7">
        <v>707</v>
      </c>
      <c r="H18" s="7">
        <v>706.82</v>
      </c>
      <c r="I18" s="7">
        <v>706.82</v>
      </c>
      <c r="J18" s="7">
        <v>706.82</v>
      </c>
      <c r="K18" s="7">
        <v>3306.82</v>
      </c>
      <c r="L18" s="7">
        <v>3064.46</v>
      </c>
      <c r="M18" s="7">
        <v>2153.64</v>
      </c>
      <c r="N18" s="7">
        <v>1903.34</v>
      </c>
      <c r="O18" s="7">
        <v>1935.64</v>
      </c>
      <c r="P18" s="7">
        <v>1112.82</v>
      </c>
      <c r="Q18" s="7">
        <v>2357.64</v>
      </c>
      <c r="R18" s="7">
        <v>1178.82</v>
      </c>
      <c r="S18" s="7">
        <v>1178.82</v>
      </c>
      <c r="T18" s="7">
        <v>1178.82</v>
      </c>
      <c r="U18" s="7">
        <v>1178.82</v>
      </c>
      <c r="V18" s="7">
        <v>1178.82</v>
      </c>
      <c r="W18" s="7">
        <v>1178.82</v>
      </c>
      <c r="X18" s="7">
        <v>1178.82</v>
      </c>
      <c r="Y18" s="7">
        <v>1178.82</v>
      </c>
      <c r="Z18" s="7">
        <v>1178.82</v>
      </c>
      <c r="AA18" s="7">
        <v>1178.82</v>
      </c>
      <c r="AB18" s="7">
        <v>1178.82</v>
      </c>
      <c r="AC18" s="7">
        <v>1178.82</v>
      </c>
      <c r="AD18" s="7">
        <v>1178.82</v>
      </c>
      <c r="AE18" s="7">
        <v>1178.82</v>
      </c>
      <c r="AF18" s="7">
        <v>1178.82</v>
      </c>
      <c r="AG18" s="7">
        <v>1178.82</v>
      </c>
      <c r="AH18" s="7">
        <v>1178.82</v>
      </c>
      <c r="AI18" s="7">
        <v>1178.82</v>
      </c>
      <c r="AJ18" s="7">
        <v>1178.82</v>
      </c>
      <c r="AK18" s="11">
        <f t="shared" si="0"/>
        <v>44285.859999999993</v>
      </c>
    </row>
    <row r="19" spans="2:37" ht="20.100000000000001" customHeight="1" x14ac:dyDescent="0.25">
      <c r="B19" s="10" t="s">
        <v>17</v>
      </c>
      <c r="C19" s="6"/>
      <c r="D19" s="7"/>
      <c r="E19" s="7">
        <v>555</v>
      </c>
      <c r="F19" s="7">
        <v>287</v>
      </c>
      <c r="G19" s="7">
        <v>0</v>
      </c>
      <c r="H19" s="7">
        <v>2595</v>
      </c>
      <c r="I19" s="7">
        <v>950</v>
      </c>
      <c r="J19" s="7">
        <v>1675</v>
      </c>
      <c r="K19" s="7">
        <v>1255</v>
      </c>
      <c r="L19" s="7">
        <v>268</v>
      </c>
      <c r="M19" s="7">
        <v>1755</v>
      </c>
      <c r="N19" s="7">
        <v>1544</v>
      </c>
      <c r="O19" s="7">
        <v>866</v>
      </c>
      <c r="P19" s="7">
        <v>2178</v>
      </c>
      <c r="Q19" s="7">
        <v>1648</v>
      </c>
      <c r="R19" s="7">
        <v>580</v>
      </c>
      <c r="S19" s="7">
        <v>1662</v>
      </c>
      <c r="T19" s="7">
        <v>2187</v>
      </c>
      <c r="U19" s="7">
        <v>2364</v>
      </c>
      <c r="V19" s="7">
        <v>1281</v>
      </c>
      <c r="W19" s="7">
        <v>1137</v>
      </c>
      <c r="X19" s="7">
        <v>1470</v>
      </c>
      <c r="Y19" s="7">
        <v>1623</v>
      </c>
      <c r="Z19" s="7">
        <v>1136</v>
      </c>
      <c r="AA19" s="7">
        <v>2128</v>
      </c>
      <c r="AB19" s="7">
        <v>1368</v>
      </c>
      <c r="AC19" s="7">
        <v>1024</v>
      </c>
      <c r="AD19" s="7">
        <v>715</v>
      </c>
      <c r="AE19" s="7">
        <v>1308</v>
      </c>
      <c r="AF19" s="7">
        <v>493</v>
      </c>
      <c r="AG19" s="7">
        <v>1620</v>
      </c>
      <c r="AH19" s="7">
        <v>1165</v>
      </c>
      <c r="AI19" s="7">
        <v>1350</v>
      </c>
      <c r="AJ19" s="7">
        <v>710</v>
      </c>
      <c r="AK19" s="11">
        <f t="shared" si="0"/>
        <v>40897</v>
      </c>
    </row>
    <row r="20" spans="2:37" ht="20.100000000000001" customHeight="1" x14ac:dyDescent="0.25">
      <c r="B20" s="10" t="s">
        <v>31</v>
      </c>
      <c r="C20" s="6"/>
      <c r="D20" s="7"/>
      <c r="E20" s="7">
        <v>960</v>
      </c>
      <c r="F20" s="7">
        <v>915</v>
      </c>
      <c r="G20" s="7">
        <v>0</v>
      </c>
      <c r="H20" s="7">
        <v>1334</v>
      </c>
      <c r="I20" s="7">
        <v>1295</v>
      </c>
      <c r="J20" s="7">
        <v>835</v>
      </c>
      <c r="K20" s="7">
        <v>1660</v>
      </c>
      <c r="L20" s="7">
        <v>2820</v>
      </c>
      <c r="M20" s="7">
        <v>4040</v>
      </c>
      <c r="N20" s="7">
        <v>550</v>
      </c>
      <c r="O20" s="7">
        <v>502</v>
      </c>
      <c r="P20" s="7">
        <v>1300</v>
      </c>
      <c r="Q20" s="7">
        <v>480</v>
      </c>
      <c r="R20" s="7">
        <v>2679</v>
      </c>
      <c r="S20" s="7">
        <v>2925</v>
      </c>
      <c r="T20" s="7">
        <v>1240</v>
      </c>
      <c r="U20" s="7">
        <v>1159</v>
      </c>
      <c r="V20" s="7">
        <v>1840</v>
      </c>
      <c r="W20" s="7">
        <v>75</v>
      </c>
      <c r="X20" s="7">
        <v>2045</v>
      </c>
      <c r="Y20" s="7">
        <v>1963</v>
      </c>
      <c r="Z20" s="7">
        <v>475</v>
      </c>
      <c r="AA20" s="7">
        <v>550</v>
      </c>
      <c r="AB20" s="7">
        <v>180</v>
      </c>
      <c r="AC20" s="7">
        <v>350</v>
      </c>
      <c r="AD20" s="7">
        <v>0</v>
      </c>
      <c r="AE20" s="7">
        <v>438</v>
      </c>
      <c r="AF20" s="7">
        <v>230</v>
      </c>
      <c r="AG20" s="7">
        <v>100</v>
      </c>
      <c r="AH20" s="7">
        <v>1213</v>
      </c>
      <c r="AI20" s="7">
        <v>720</v>
      </c>
      <c r="AJ20" s="7">
        <v>720</v>
      </c>
      <c r="AK20" s="11">
        <f t="shared" si="0"/>
        <v>35593</v>
      </c>
    </row>
    <row r="21" spans="2:37" ht="20.100000000000001" customHeight="1" x14ac:dyDescent="0.25">
      <c r="B21" s="10" t="s">
        <v>8</v>
      </c>
      <c r="C21" s="6"/>
      <c r="D21" s="7"/>
      <c r="E21" s="7">
        <v>604</v>
      </c>
      <c r="F21" s="7">
        <v>562</v>
      </c>
      <c r="G21" s="7">
        <v>0</v>
      </c>
      <c r="H21" s="7">
        <v>907</v>
      </c>
      <c r="I21" s="7">
        <v>925</v>
      </c>
      <c r="J21" s="7">
        <v>947</v>
      </c>
      <c r="K21" s="7">
        <v>952</v>
      </c>
      <c r="L21" s="7">
        <v>1152</v>
      </c>
      <c r="M21" s="7">
        <v>1157</v>
      </c>
      <c r="N21" s="7">
        <v>1156</v>
      </c>
      <c r="O21" s="7">
        <v>1102</v>
      </c>
      <c r="P21" s="7">
        <v>1080</v>
      </c>
      <c r="Q21" s="7">
        <v>1275</v>
      </c>
      <c r="R21" s="7">
        <v>1095</v>
      </c>
      <c r="S21" s="7">
        <v>1220</v>
      </c>
      <c r="T21" s="7">
        <v>1095</v>
      </c>
      <c r="U21" s="7">
        <v>1485</v>
      </c>
      <c r="V21" s="7">
        <v>1169</v>
      </c>
      <c r="W21" s="7">
        <v>875</v>
      </c>
      <c r="X21" s="7">
        <v>1012</v>
      </c>
      <c r="Y21" s="7">
        <v>1023</v>
      </c>
      <c r="Z21" s="7">
        <v>1265</v>
      </c>
      <c r="AA21" s="7">
        <v>1111</v>
      </c>
      <c r="AB21" s="7">
        <v>1092</v>
      </c>
      <c r="AC21" s="7">
        <v>1373</v>
      </c>
      <c r="AD21" s="7">
        <v>1430</v>
      </c>
      <c r="AE21" s="7">
        <v>1247</v>
      </c>
      <c r="AF21" s="7">
        <v>657</v>
      </c>
      <c r="AG21" s="7">
        <v>1075</v>
      </c>
      <c r="AH21" s="7">
        <v>1129</v>
      </c>
      <c r="AI21" s="7">
        <v>905</v>
      </c>
      <c r="AJ21" s="7">
        <v>1030</v>
      </c>
      <c r="AK21" s="11">
        <f t="shared" si="0"/>
        <v>33107</v>
      </c>
    </row>
    <row r="22" spans="2:37" ht="20.100000000000001" customHeight="1" x14ac:dyDescent="0.25">
      <c r="B22" s="10" t="s">
        <v>12</v>
      </c>
      <c r="C22" s="6"/>
      <c r="D22" s="7"/>
      <c r="E22" s="7">
        <v>1130</v>
      </c>
      <c r="F22" s="7">
        <v>1005</v>
      </c>
      <c r="G22" s="7">
        <v>0</v>
      </c>
      <c r="H22" s="7">
        <v>1085</v>
      </c>
      <c r="I22" s="7">
        <v>966</v>
      </c>
      <c r="J22" s="7">
        <v>1130</v>
      </c>
      <c r="K22" s="7">
        <v>1120</v>
      </c>
      <c r="L22" s="7">
        <v>1075</v>
      </c>
      <c r="M22" s="7">
        <v>1343</v>
      </c>
      <c r="N22" s="7">
        <v>959</v>
      </c>
      <c r="O22" s="7">
        <v>789</v>
      </c>
      <c r="P22" s="7">
        <v>1068</v>
      </c>
      <c r="Q22" s="7">
        <v>1268</v>
      </c>
      <c r="R22" s="7">
        <v>802</v>
      </c>
      <c r="S22" s="7">
        <v>1537</v>
      </c>
      <c r="T22" s="7">
        <v>1337</v>
      </c>
      <c r="U22" s="7">
        <v>1100</v>
      </c>
      <c r="V22" s="7">
        <v>1111</v>
      </c>
      <c r="W22" s="7">
        <v>750</v>
      </c>
      <c r="X22" s="7">
        <v>1213</v>
      </c>
      <c r="Y22" s="7">
        <v>1270</v>
      </c>
      <c r="Z22" s="7">
        <v>1240</v>
      </c>
      <c r="AA22" s="7">
        <v>1400</v>
      </c>
      <c r="AB22" s="7">
        <v>810</v>
      </c>
      <c r="AC22" s="7">
        <v>632</v>
      </c>
      <c r="AD22" s="7">
        <v>765</v>
      </c>
      <c r="AE22" s="7">
        <v>1155</v>
      </c>
      <c r="AF22" s="7">
        <v>605</v>
      </c>
      <c r="AG22" s="7">
        <v>895</v>
      </c>
      <c r="AH22" s="7">
        <v>1088</v>
      </c>
      <c r="AI22" s="7">
        <v>820</v>
      </c>
      <c r="AJ22" s="7">
        <v>1075</v>
      </c>
      <c r="AK22" s="11">
        <f t="shared" si="0"/>
        <v>32543</v>
      </c>
    </row>
    <row r="23" spans="2:37" ht="20.100000000000001" customHeight="1" x14ac:dyDescent="0.25">
      <c r="B23" s="10" t="s">
        <v>13</v>
      </c>
      <c r="C23" s="6"/>
      <c r="D23" s="7"/>
      <c r="E23" s="7">
        <v>570</v>
      </c>
      <c r="F23" s="7">
        <v>780</v>
      </c>
      <c r="G23" s="7">
        <v>0</v>
      </c>
      <c r="H23" s="7">
        <v>1171</v>
      </c>
      <c r="I23" s="7">
        <v>685</v>
      </c>
      <c r="J23" s="7">
        <v>150</v>
      </c>
      <c r="K23" s="7">
        <v>380</v>
      </c>
      <c r="L23" s="7">
        <v>738</v>
      </c>
      <c r="M23" s="7">
        <v>1250</v>
      </c>
      <c r="N23" s="7">
        <v>319</v>
      </c>
      <c r="O23" s="7">
        <v>563</v>
      </c>
      <c r="P23" s="7">
        <v>488</v>
      </c>
      <c r="Q23" s="7">
        <v>1059</v>
      </c>
      <c r="R23" s="7">
        <v>1288</v>
      </c>
      <c r="S23" s="7">
        <v>2390</v>
      </c>
      <c r="T23" s="7">
        <v>1573</v>
      </c>
      <c r="U23" s="7">
        <v>804</v>
      </c>
      <c r="V23" s="7">
        <v>536</v>
      </c>
      <c r="W23" s="7">
        <v>692</v>
      </c>
      <c r="X23" s="7">
        <v>1372</v>
      </c>
      <c r="Y23" s="7">
        <v>1170</v>
      </c>
      <c r="Z23" s="7">
        <v>700</v>
      </c>
      <c r="AA23" s="7">
        <v>1165</v>
      </c>
      <c r="AB23" s="7">
        <v>815</v>
      </c>
      <c r="AC23" s="7">
        <v>1100</v>
      </c>
      <c r="AD23" s="7">
        <v>1335</v>
      </c>
      <c r="AE23" s="7">
        <v>1200</v>
      </c>
      <c r="AF23" s="7">
        <v>1450</v>
      </c>
      <c r="AG23" s="7">
        <v>2085</v>
      </c>
      <c r="AH23" s="7">
        <v>1050</v>
      </c>
      <c r="AI23" s="7">
        <v>695</v>
      </c>
      <c r="AJ23" s="7">
        <v>1310</v>
      </c>
      <c r="AK23" s="11">
        <f t="shared" si="0"/>
        <v>30883</v>
      </c>
    </row>
    <row r="24" spans="2:37" ht="20.100000000000001" customHeight="1" x14ac:dyDescent="0.25">
      <c r="B24" s="10" t="s">
        <v>37</v>
      </c>
      <c r="C24" s="6"/>
      <c r="D24" s="7"/>
      <c r="E24" s="7"/>
      <c r="F24" s="7"/>
      <c r="G24" s="7"/>
      <c r="H24" s="7"/>
      <c r="I24" s="7"/>
      <c r="J24" s="7"/>
      <c r="K24" s="7"/>
      <c r="L24" s="7"/>
      <c r="M24" s="7"/>
      <c r="N24" s="7"/>
      <c r="O24" s="7"/>
      <c r="P24" s="7"/>
      <c r="Q24" s="7"/>
      <c r="R24" s="7"/>
      <c r="S24" s="7"/>
      <c r="T24" s="7">
        <v>10792</v>
      </c>
      <c r="U24" s="7">
        <v>0</v>
      </c>
      <c r="V24" s="7">
        <v>300</v>
      </c>
      <c r="W24" s="7">
        <v>400</v>
      </c>
      <c r="X24" s="7">
        <v>0</v>
      </c>
      <c r="Y24" s="7">
        <v>528.64</v>
      </c>
      <c r="Z24" s="7">
        <v>0</v>
      </c>
      <c r="AA24" s="7">
        <v>0</v>
      </c>
      <c r="AB24" s="7">
        <v>332</v>
      </c>
      <c r="AC24" s="7">
        <v>0</v>
      </c>
      <c r="AD24" s="7">
        <v>640</v>
      </c>
      <c r="AE24" s="7">
        <v>0</v>
      </c>
      <c r="AF24" s="7">
        <v>1430</v>
      </c>
      <c r="AG24" s="7">
        <v>0</v>
      </c>
      <c r="AH24" s="7">
        <v>0</v>
      </c>
      <c r="AI24" s="7">
        <v>15067</v>
      </c>
      <c r="AJ24" s="7">
        <v>0</v>
      </c>
      <c r="AK24" s="11">
        <f t="shared" si="0"/>
        <v>29489.64</v>
      </c>
    </row>
    <row r="25" spans="2:37" ht="20.100000000000001" customHeight="1" x14ac:dyDescent="0.25">
      <c r="B25" s="10" t="s">
        <v>21</v>
      </c>
      <c r="C25" s="6">
        <v>522</v>
      </c>
      <c r="D25" s="7">
        <v>528</v>
      </c>
      <c r="E25" s="7">
        <v>522</v>
      </c>
      <c r="F25" s="7">
        <v>506</v>
      </c>
      <c r="G25" s="7">
        <v>692</v>
      </c>
      <c r="H25" s="7">
        <v>577</v>
      </c>
      <c r="I25" s="7">
        <v>589</v>
      </c>
      <c r="J25" s="7">
        <v>644</v>
      </c>
      <c r="K25" s="7">
        <v>636</v>
      </c>
      <c r="L25" s="7">
        <v>663</v>
      </c>
      <c r="M25" s="7">
        <v>798</v>
      </c>
      <c r="N25" s="7">
        <v>661</v>
      </c>
      <c r="O25" s="7">
        <v>702</v>
      </c>
      <c r="P25" s="7">
        <v>702</v>
      </c>
      <c r="Q25" s="7">
        <v>648</v>
      </c>
      <c r="R25" s="7">
        <v>968</v>
      </c>
      <c r="S25" s="7">
        <v>1181</v>
      </c>
      <c r="T25" s="7">
        <v>1212</v>
      </c>
      <c r="U25" s="7">
        <v>890</v>
      </c>
      <c r="V25" s="7">
        <v>1062</v>
      </c>
      <c r="W25" s="7">
        <v>1003</v>
      </c>
      <c r="X25" s="7">
        <v>1160</v>
      </c>
      <c r="Y25" s="7">
        <v>1153</v>
      </c>
      <c r="Z25" s="7">
        <v>1035</v>
      </c>
      <c r="AA25" s="7">
        <v>920</v>
      </c>
      <c r="AB25" s="7">
        <v>804</v>
      </c>
      <c r="AC25" s="7">
        <v>835</v>
      </c>
      <c r="AD25" s="7">
        <v>1230</v>
      </c>
      <c r="AE25" s="7">
        <v>1278</v>
      </c>
      <c r="AF25" s="7">
        <v>1033</v>
      </c>
      <c r="AG25" s="7">
        <v>776</v>
      </c>
      <c r="AH25" s="7">
        <v>1116</v>
      </c>
      <c r="AI25" s="7">
        <v>1197</v>
      </c>
      <c r="AJ25" s="7">
        <v>961</v>
      </c>
      <c r="AK25" s="11">
        <f t="shared" si="0"/>
        <v>29204</v>
      </c>
    </row>
    <row r="26" spans="2:37" ht="20.100000000000001" customHeight="1" x14ac:dyDescent="0.25">
      <c r="B26" s="10" t="s">
        <v>19</v>
      </c>
      <c r="C26" s="6"/>
      <c r="D26" s="7"/>
      <c r="E26" s="7">
        <v>860</v>
      </c>
      <c r="F26" s="7">
        <v>800</v>
      </c>
      <c r="G26" s="7">
        <v>0</v>
      </c>
      <c r="H26" s="7">
        <v>650</v>
      </c>
      <c r="I26" s="7">
        <v>650</v>
      </c>
      <c r="J26" s="7">
        <v>650</v>
      </c>
      <c r="K26" s="7">
        <v>650</v>
      </c>
      <c r="L26" s="7">
        <v>650</v>
      </c>
      <c r="M26" s="7">
        <v>650</v>
      </c>
      <c r="N26" s="7">
        <v>700</v>
      </c>
      <c r="O26" s="7">
        <v>750</v>
      </c>
      <c r="P26" s="7">
        <v>0</v>
      </c>
      <c r="Q26" s="7">
        <v>870</v>
      </c>
      <c r="R26" s="7">
        <v>1720</v>
      </c>
      <c r="S26" s="7">
        <v>880</v>
      </c>
      <c r="T26" s="7">
        <v>860</v>
      </c>
      <c r="U26" s="7">
        <v>900</v>
      </c>
      <c r="V26" s="7">
        <v>910</v>
      </c>
      <c r="W26" s="7">
        <v>950</v>
      </c>
      <c r="X26" s="7">
        <v>950</v>
      </c>
      <c r="Y26" s="7">
        <v>950</v>
      </c>
      <c r="Z26" s="7">
        <v>950</v>
      </c>
      <c r="AA26" s="7">
        <v>1050</v>
      </c>
      <c r="AB26" s="7">
        <v>950</v>
      </c>
      <c r="AC26" s="7">
        <v>950</v>
      </c>
      <c r="AD26" s="7">
        <v>1000</v>
      </c>
      <c r="AE26" s="7">
        <v>1050</v>
      </c>
      <c r="AF26" s="7">
        <v>0</v>
      </c>
      <c r="AG26" s="7">
        <v>1100</v>
      </c>
      <c r="AH26" s="7">
        <v>0</v>
      </c>
      <c r="AI26" s="7">
        <v>1100</v>
      </c>
      <c r="AJ26" s="7">
        <v>1100</v>
      </c>
      <c r="AK26" s="11">
        <f t="shared" si="0"/>
        <v>25250</v>
      </c>
    </row>
    <row r="27" spans="2:37" ht="20.100000000000001" customHeight="1" x14ac:dyDescent="0.25">
      <c r="B27" s="10" t="s">
        <v>14</v>
      </c>
      <c r="C27" s="6"/>
      <c r="D27" s="7"/>
      <c r="E27" s="7">
        <v>555</v>
      </c>
      <c r="F27" s="7">
        <v>368</v>
      </c>
      <c r="G27" s="7">
        <v>0</v>
      </c>
      <c r="H27" s="7">
        <v>443</v>
      </c>
      <c r="I27" s="7">
        <v>526</v>
      </c>
      <c r="J27" s="7">
        <v>897</v>
      </c>
      <c r="K27" s="7">
        <v>210</v>
      </c>
      <c r="L27" s="7">
        <v>275</v>
      </c>
      <c r="M27" s="7">
        <v>1105</v>
      </c>
      <c r="N27" s="7">
        <v>515</v>
      </c>
      <c r="O27" s="7">
        <v>2138</v>
      </c>
      <c r="P27" s="7">
        <v>875</v>
      </c>
      <c r="Q27" s="7">
        <v>496</v>
      </c>
      <c r="R27" s="7">
        <v>707</v>
      </c>
      <c r="S27" s="7">
        <v>709</v>
      </c>
      <c r="T27" s="7">
        <v>720</v>
      </c>
      <c r="U27" s="7">
        <v>586</v>
      </c>
      <c r="V27" s="7">
        <v>987</v>
      </c>
      <c r="W27" s="7">
        <v>475</v>
      </c>
      <c r="X27" s="7">
        <v>948</v>
      </c>
      <c r="Y27" s="7">
        <v>906</v>
      </c>
      <c r="Z27" s="7">
        <v>790</v>
      </c>
      <c r="AA27" s="7">
        <v>700</v>
      </c>
      <c r="AB27" s="7">
        <v>752</v>
      </c>
      <c r="AC27" s="7">
        <v>2652</v>
      </c>
      <c r="AD27" s="7">
        <v>265</v>
      </c>
      <c r="AE27" s="7">
        <v>760</v>
      </c>
      <c r="AF27" s="7">
        <v>1388</v>
      </c>
      <c r="AG27" s="7">
        <v>555</v>
      </c>
      <c r="AH27" s="7">
        <v>570</v>
      </c>
      <c r="AI27" s="7">
        <v>525</v>
      </c>
      <c r="AJ27" s="7">
        <v>1130</v>
      </c>
      <c r="AK27" s="11">
        <f t="shared" si="0"/>
        <v>24528</v>
      </c>
    </row>
    <row r="28" spans="2:37" ht="20.100000000000001" customHeight="1" x14ac:dyDescent="0.25">
      <c r="B28" s="10" t="s">
        <v>18</v>
      </c>
      <c r="C28" s="6"/>
      <c r="D28" s="7"/>
      <c r="E28" s="7"/>
      <c r="F28" s="7"/>
      <c r="G28" s="7"/>
      <c r="H28" s="7"/>
      <c r="I28" s="7"/>
      <c r="J28" s="7"/>
      <c r="K28" s="7"/>
      <c r="L28" s="7"/>
      <c r="M28" s="7"/>
      <c r="N28" s="7"/>
      <c r="O28" s="7">
        <v>8039</v>
      </c>
      <c r="P28" s="7"/>
      <c r="Q28" s="7">
        <v>7210</v>
      </c>
      <c r="R28" s="7"/>
      <c r="S28" s="7">
        <v>158</v>
      </c>
      <c r="T28" s="7">
        <v>2400</v>
      </c>
      <c r="U28" s="7">
        <v>448</v>
      </c>
      <c r="V28" s="7">
        <v>0</v>
      </c>
      <c r="W28" s="7">
        <v>0</v>
      </c>
      <c r="X28" s="7">
        <v>90</v>
      </c>
      <c r="Y28" s="7">
        <v>1910</v>
      </c>
      <c r="Z28" s="7">
        <v>0</v>
      </c>
      <c r="AA28" s="7">
        <v>0</v>
      </c>
      <c r="AB28" s="7">
        <v>529</v>
      </c>
      <c r="AC28" s="7">
        <v>0</v>
      </c>
      <c r="AD28" s="7">
        <v>500</v>
      </c>
      <c r="AE28" s="7">
        <v>0</v>
      </c>
      <c r="AF28" s="7">
        <v>0</v>
      </c>
      <c r="AG28" s="7">
        <v>480</v>
      </c>
      <c r="AH28" s="7">
        <v>0</v>
      </c>
      <c r="AI28" s="7">
        <v>0</v>
      </c>
      <c r="AJ28" s="7">
        <v>0</v>
      </c>
      <c r="AK28" s="11">
        <f t="shared" si="0"/>
        <v>21764</v>
      </c>
    </row>
    <row r="29" spans="2:37" ht="20.100000000000001" customHeight="1" x14ac:dyDescent="0.25">
      <c r="B29" s="10" t="s">
        <v>2</v>
      </c>
      <c r="C29" s="6"/>
      <c r="D29" s="7"/>
      <c r="E29" s="7">
        <v>900</v>
      </c>
      <c r="F29" s="7">
        <v>510</v>
      </c>
      <c r="G29" s="7">
        <v>0</v>
      </c>
      <c r="H29" s="7">
        <v>560</v>
      </c>
      <c r="I29" s="7">
        <v>670</v>
      </c>
      <c r="J29" s="7">
        <v>310</v>
      </c>
      <c r="K29" s="7">
        <v>535</v>
      </c>
      <c r="L29" s="7">
        <v>470</v>
      </c>
      <c r="M29" s="7">
        <v>451</v>
      </c>
      <c r="N29" s="7">
        <v>555</v>
      </c>
      <c r="O29" s="7">
        <v>626</v>
      </c>
      <c r="P29" s="7">
        <v>591</v>
      </c>
      <c r="Q29" s="7">
        <v>748</v>
      </c>
      <c r="R29" s="7">
        <v>674</v>
      </c>
      <c r="S29" s="7">
        <v>517</v>
      </c>
      <c r="T29" s="7">
        <v>682</v>
      </c>
      <c r="U29" s="7">
        <v>812</v>
      </c>
      <c r="V29" s="7">
        <v>555</v>
      </c>
      <c r="W29" s="7">
        <v>744</v>
      </c>
      <c r="X29" s="7">
        <v>1030</v>
      </c>
      <c r="Y29" s="7">
        <v>686</v>
      </c>
      <c r="Z29" s="7">
        <v>560</v>
      </c>
      <c r="AA29" s="7">
        <v>855</v>
      </c>
      <c r="AB29" s="7">
        <v>500</v>
      </c>
      <c r="AC29" s="7">
        <v>1096</v>
      </c>
      <c r="AD29" s="7">
        <v>820</v>
      </c>
      <c r="AE29" s="7">
        <v>785</v>
      </c>
      <c r="AF29" s="7">
        <v>250</v>
      </c>
      <c r="AG29" s="7">
        <v>570</v>
      </c>
      <c r="AH29" s="7">
        <v>915</v>
      </c>
      <c r="AI29" s="7">
        <v>330</v>
      </c>
      <c r="AJ29" s="7">
        <v>615</v>
      </c>
      <c r="AK29" s="11">
        <f t="shared" si="0"/>
        <v>19922</v>
      </c>
    </row>
    <row r="30" spans="2:37" ht="20.100000000000001" customHeight="1" x14ac:dyDescent="0.25">
      <c r="B30" s="10" t="s">
        <v>6</v>
      </c>
      <c r="C30" s="6"/>
      <c r="D30" s="7"/>
      <c r="E30" s="7">
        <v>505</v>
      </c>
      <c r="F30" s="7">
        <v>360</v>
      </c>
      <c r="G30" s="7">
        <v>0</v>
      </c>
      <c r="H30" s="7">
        <v>438</v>
      </c>
      <c r="I30" s="7">
        <v>620</v>
      </c>
      <c r="J30" s="7">
        <v>548</v>
      </c>
      <c r="K30" s="7">
        <v>547</v>
      </c>
      <c r="L30" s="7">
        <v>372</v>
      </c>
      <c r="M30" s="7">
        <v>440</v>
      </c>
      <c r="N30" s="7">
        <v>473</v>
      </c>
      <c r="O30" s="7">
        <v>532</v>
      </c>
      <c r="P30" s="7">
        <v>410</v>
      </c>
      <c r="Q30" s="7">
        <v>545</v>
      </c>
      <c r="R30" s="7">
        <v>921</v>
      </c>
      <c r="S30" s="7">
        <v>832</v>
      </c>
      <c r="T30" s="7">
        <v>965</v>
      </c>
      <c r="U30" s="7">
        <v>740</v>
      </c>
      <c r="V30" s="7">
        <v>965</v>
      </c>
      <c r="W30" s="7">
        <v>880</v>
      </c>
      <c r="X30" s="7">
        <v>930</v>
      </c>
      <c r="Y30" s="7">
        <v>528</v>
      </c>
      <c r="Z30" s="7">
        <v>720</v>
      </c>
      <c r="AA30" s="7">
        <v>700</v>
      </c>
      <c r="AB30" s="7">
        <v>815</v>
      </c>
      <c r="AC30" s="7">
        <v>803</v>
      </c>
      <c r="AD30" s="7">
        <v>540</v>
      </c>
      <c r="AE30" s="7">
        <v>535</v>
      </c>
      <c r="AF30" s="7">
        <v>470</v>
      </c>
      <c r="AG30" s="7">
        <v>380</v>
      </c>
      <c r="AH30" s="7">
        <v>845</v>
      </c>
      <c r="AI30" s="7">
        <v>690</v>
      </c>
      <c r="AJ30" s="7">
        <v>715</v>
      </c>
      <c r="AK30" s="11">
        <f t="shared" si="0"/>
        <v>19764</v>
      </c>
    </row>
    <row r="31" spans="2:37" ht="20.100000000000001" customHeight="1" x14ac:dyDescent="0.25">
      <c r="B31" s="10" t="s">
        <v>38</v>
      </c>
      <c r="C31" s="6"/>
      <c r="D31" s="7"/>
      <c r="E31" s="7"/>
      <c r="F31" s="7"/>
      <c r="G31" s="7"/>
      <c r="H31" s="7"/>
      <c r="I31" s="7"/>
      <c r="J31" s="7"/>
      <c r="K31" s="7"/>
      <c r="L31" s="7"/>
      <c r="M31" s="7"/>
      <c r="N31" s="7"/>
      <c r="O31" s="7"/>
      <c r="P31" s="7"/>
      <c r="Q31" s="7"/>
      <c r="R31" s="7"/>
      <c r="S31" s="7"/>
      <c r="T31" s="7">
        <v>3535</v>
      </c>
      <c r="U31" s="7">
        <v>800</v>
      </c>
      <c r="V31" s="7">
        <v>1520</v>
      </c>
      <c r="W31" s="7">
        <v>700</v>
      </c>
      <c r="X31" s="7">
        <v>2370</v>
      </c>
      <c r="Y31" s="7">
        <v>900</v>
      </c>
      <c r="Z31" s="7">
        <v>0</v>
      </c>
      <c r="AA31" s="7">
        <v>500</v>
      </c>
      <c r="AB31" s="7">
        <v>540</v>
      </c>
      <c r="AC31" s="7">
        <v>0</v>
      </c>
      <c r="AD31" s="7">
        <v>620</v>
      </c>
      <c r="AE31" s="7">
        <v>3943</v>
      </c>
      <c r="AF31" s="7">
        <v>850</v>
      </c>
      <c r="AG31" s="7">
        <v>200</v>
      </c>
      <c r="AH31" s="7">
        <v>0</v>
      </c>
      <c r="AI31" s="7">
        <v>200</v>
      </c>
      <c r="AJ31" s="7">
        <v>560</v>
      </c>
      <c r="AK31" s="11">
        <f t="shared" si="0"/>
        <v>17238</v>
      </c>
    </row>
    <row r="32" spans="2:37" ht="20.100000000000001" customHeight="1" x14ac:dyDescent="0.25">
      <c r="B32" s="10" t="s">
        <v>20</v>
      </c>
      <c r="C32" s="6">
        <v>438</v>
      </c>
      <c r="D32" s="7">
        <v>438</v>
      </c>
      <c r="E32" s="7">
        <v>368</v>
      </c>
      <c r="F32" s="7">
        <v>438</v>
      </c>
      <c r="G32" s="7">
        <v>219</v>
      </c>
      <c r="H32" s="7">
        <v>438</v>
      </c>
      <c r="I32" s="7">
        <v>657</v>
      </c>
      <c r="J32" s="7">
        <v>438</v>
      </c>
      <c r="K32" s="7">
        <v>100</v>
      </c>
      <c r="L32" s="7">
        <v>98</v>
      </c>
      <c r="M32" s="7">
        <v>49</v>
      </c>
      <c r="N32" s="7">
        <v>517</v>
      </c>
      <c r="O32" s="7">
        <v>487</v>
      </c>
      <c r="P32" s="7">
        <v>488</v>
      </c>
      <c r="Q32" s="7">
        <v>268</v>
      </c>
      <c r="R32" s="7">
        <v>268</v>
      </c>
      <c r="S32" s="7">
        <v>268</v>
      </c>
      <c r="T32" s="7">
        <v>268</v>
      </c>
      <c r="U32" s="7">
        <v>268</v>
      </c>
      <c r="V32" s="7">
        <v>298</v>
      </c>
      <c r="W32" s="7">
        <v>298</v>
      </c>
      <c r="X32" s="7">
        <v>298</v>
      </c>
      <c r="Y32" s="7">
        <v>298</v>
      </c>
      <c r="Z32" s="7">
        <v>537</v>
      </c>
      <c r="AA32" s="7">
        <v>639</v>
      </c>
      <c r="AB32" s="7">
        <v>398</v>
      </c>
      <c r="AC32" s="7">
        <v>637</v>
      </c>
      <c r="AD32" s="7">
        <v>637</v>
      </c>
      <c r="AE32" s="7">
        <v>642</v>
      </c>
      <c r="AF32" s="7">
        <v>723</v>
      </c>
      <c r="AG32" s="7">
        <v>542</v>
      </c>
      <c r="AH32" s="7">
        <v>747</v>
      </c>
      <c r="AI32" s="7">
        <v>747</v>
      </c>
      <c r="AJ32" s="7">
        <v>750</v>
      </c>
      <c r="AK32" s="11">
        <f t="shared" si="0"/>
        <v>14704</v>
      </c>
    </row>
    <row r="33" spans="2:37" ht="20.100000000000001" customHeight="1" x14ac:dyDescent="0.25">
      <c r="B33" s="10" t="s">
        <v>10</v>
      </c>
      <c r="C33" s="6"/>
      <c r="D33" s="7"/>
      <c r="E33" s="7">
        <v>155</v>
      </c>
      <c r="F33" s="7">
        <v>690</v>
      </c>
      <c r="G33" s="7">
        <v>0</v>
      </c>
      <c r="H33" s="7">
        <v>660</v>
      </c>
      <c r="I33" s="7">
        <v>725</v>
      </c>
      <c r="J33" s="7">
        <v>320</v>
      </c>
      <c r="K33" s="7">
        <v>155</v>
      </c>
      <c r="L33" s="7">
        <v>220</v>
      </c>
      <c r="M33" s="7">
        <v>325</v>
      </c>
      <c r="N33" s="7">
        <v>645</v>
      </c>
      <c r="O33" s="7">
        <v>820</v>
      </c>
      <c r="P33" s="7">
        <v>330</v>
      </c>
      <c r="Q33" s="7">
        <v>690</v>
      </c>
      <c r="R33" s="7">
        <v>330</v>
      </c>
      <c r="S33" s="7">
        <v>310</v>
      </c>
      <c r="T33" s="7">
        <v>917</v>
      </c>
      <c r="U33" s="7">
        <v>680</v>
      </c>
      <c r="V33" s="7">
        <v>360</v>
      </c>
      <c r="W33" s="7">
        <v>480</v>
      </c>
      <c r="X33" s="7">
        <v>0</v>
      </c>
      <c r="Y33" s="7">
        <v>335</v>
      </c>
      <c r="Z33" s="7">
        <v>615</v>
      </c>
      <c r="AA33" s="7">
        <v>660</v>
      </c>
      <c r="AB33" s="7">
        <v>460</v>
      </c>
      <c r="AC33" s="7">
        <v>662</v>
      </c>
      <c r="AD33" s="7">
        <v>0</v>
      </c>
      <c r="AE33" s="7">
        <v>345</v>
      </c>
      <c r="AF33" s="7">
        <v>250</v>
      </c>
      <c r="AG33" s="7">
        <v>330</v>
      </c>
      <c r="AH33" s="7">
        <v>68</v>
      </c>
      <c r="AI33" s="7">
        <v>670</v>
      </c>
      <c r="AJ33" s="7">
        <v>165</v>
      </c>
      <c r="AK33" s="11">
        <f t="shared" si="0"/>
        <v>13372</v>
      </c>
    </row>
    <row r="34" spans="2:37" ht="20.100000000000001" customHeight="1" x14ac:dyDescent="0.25">
      <c r="B34" s="10" t="s">
        <v>9</v>
      </c>
      <c r="C34" s="6"/>
      <c r="D34" s="7"/>
      <c r="E34" s="7">
        <v>370</v>
      </c>
      <c r="F34" s="7">
        <v>450</v>
      </c>
      <c r="G34" s="7">
        <v>0</v>
      </c>
      <c r="H34" s="7">
        <v>360</v>
      </c>
      <c r="I34" s="7">
        <v>300</v>
      </c>
      <c r="J34" s="7">
        <v>300</v>
      </c>
      <c r="K34" s="7">
        <v>360</v>
      </c>
      <c r="L34" s="7">
        <v>330</v>
      </c>
      <c r="M34" s="7">
        <v>360</v>
      </c>
      <c r="N34" s="7">
        <v>240</v>
      </c>
      <c r="O34" s="7">
        <v>390</v>
      </c>
      <c r="P34" s="7">
        <v>300</v>
      </c>
      <c r="Q34" s="7">
        <v>720</v>
      </c>
      <c r="R34" s="7">
        <v>900</v>
      </c>
      <c r="S34" s="7">
        <v>630</v>
      </c>
      <c r="T34" s="7">
        <v>360</v>
      </c>
      <c r="U34" s="7">
        <v>420</v>
      </c>
      <c r="V34" s="7">
        <v>360</v>
      </c>
      <c r="W34" s="7">
        <v>360</v>
      </c>
      <c r="X34" s="7">
        <v>120</v>
      </c>
      <c r="Y34" s="7">
        <v>280</v>
      </c>
      <c r="Z34" s="7">
        <v>120</v>
      </c>
      <c r="AA34" s="7">
        <v>120</v>
      </c>
      <c r="AB34" s="7">
        <v>370</v>
      </c>
      <c r="AC34" s="7">
        <v>360</v>
      </c>
      <c r="AD34" s="7">
        <v>360</v>
      </c>
      <c r="AE34" s="7">
        <v>420</v>
      </c>
      <c r="AF34" s="7">
        <v>150</v>
      </c>
      <c r="AG34" s="7">
        <v>300</v>
      </c>
      <c r="AH34" s="7">
        <v>360</v>
      </c>
      <c r="AI34" s="7">
        <v>300</v>
      </c>
      <c r="AJ34" s="7">
        <v>240</v>
      </c>
      <c r="AK34" s="11">
        <f t="shared" si="0"/>
        <v>11010</v>
      </c>
    </row>
    <row r="35" spans="2:37" ht="20.100000000000001" customHeight="1" x14ac:dyDescent="0.25">
      <c r="B35" s="10" t="s">
        <v>36</v>
      </c>
      <c r="C35" s="6"/>
      <c r="D35" s="7"/>
      <c r="E35" s="7"/>
      <c r="F35" s="7"/>
      <c r="G35" s="7"/>
      <c r="H35" s="7"/>
      <c r="I35" s="7"/>
      <c r="J35" s="7"/>
      <c r="K35" s="7"/>
      <c r="L35" s="7"/>
      <c r="M35" s="7"/>
      <c r="N35" s="7"/>
      <c r="O35" s="7">
        <v>450</v>
      </c>
      <c r="P35" s="7">
        <v>550</v>
      </c>
      <c r="Q35" s="7"/>
      <c r="R35" s="7">
        <v>300</v>
      </c>
      <c r="S35" s="7"/>
      <c r="T35" s="7"/>
      <c r="U35" s="7">
        <v>0</v>
      </c>
      <c r="V35" s="7">
        <v>0</v>
      </c>
      <c r="W35" s="7">
        <v>300</v>
      </c>
      <c r="X35" s="7">
        <v>260</v>
      </c>
      <c r="Y35" s="7">
        <v>300</v>
      </c>
      <c r="Z35" s="7">
        <v>660</v>
      </c>
      <c r="AA35" s="7">
        <v>260</v>
      </c>
      <c r="AB35" s="7">
        <v>320</v>
      </c>
      <c r="AC35" s="7">
        <v>370</v>
      </c>
      <c r="AD35" s="7">
        <v>250</v>
      </c>
      <c r="AE35" s="7">
        <v>0</v>
      </c>
      <c r="AF35" s="7">
        <v>350</v>
      </c>
      <c r="AG35" s="7">
        <v>1540.14</v>
      </c>
      <c r="AH35" s="7">
        <v>1022.95</v>
      </c>
      <c r="AI35" s="7">
        <v>672</v>
      </c>
      <c r="AJ35" s="7">
        <v>0</v>
      </c>
      <c r="AK35" s="11">
        <f t="shared" si="0"/>
        <v>7605.09</v>
      </c>
    </row>
    <row r="36" spans="2:37" ht="20.100000000000001" customHeight="1" x14ac:dyDescent="0.25">
      <c r="B36" s="10" t="s">
        <v>7</v>
      </c>
      <c r="C36" s="6"/>
      <c r="D36" s="7"/>
      <c r="E36" s="7">
        <v>202</v>
      </c>
      <c r="F36" s="7">
        <v>205</v>
      </c>
      <c r="G36" s="7">
        <v>0</v>
      </c>
      <c r="H36" s="7">
        <v>220</v>
      </c>
      <c r="I36" s="7">
        <v>285</v>
      </c>
      <c r="J36" s="7">
        <v>310</v>
      </c>
      <c r="K36" s="7">
        <v>335</v>
      </c>
      <c r="L36" s="7">
        <v>281</v>
      </c>
      <c r="M36" s="7">
        <v>284</v>
      </c>
      <c r="N36" s="7">
        <v>237</v>
      </c>
      <c r="O36" s="7">
        <v>235</v>
      </c>
      <c r="P36" s="7">
        <v>447</v>
      </c>
      <c r="Q36" s="7">
        <v>260</v>
      </c>
      <c r="R36" s="7">
        <v>280</v>
      </c>
      <c r="S36" s="7">
        <v>240</v>
      </c>
      <c r="T36" s="7">
        <v>224</v>
      </c>
      <c r="U36" s="7">
        <v>445</v>
      </c>
      <c r="V36" s="7">
        <v>315</v>
      </c>
      <c r="W36" s="7">
        <v>225</v>
      </c>
      <c r="X36" s="7">
        <v>170</v>
      </c>
      <c r="Y36" s="7">
        <v>310</v>
      </c>
      <c r="Z36" s="7">
        <v>221</v>
      </c>
      <c r="AA36" s="7">
        <v>200</v>
      </c>
      <c r="AB36" s="7">
        <v>218</v>
      </c>
      <c r="AC36" s="7">
        <v>105</v>
      </c>
      <c r="AD36" s="7">
        <v>60</v>
      </c>
      <c r="AE36" s="7">
        <v>130</v>
      </c>
      <c r="AF36" s="7">
        <v>40</v>
      </c>
      <c r="AG36" s="7">
        <v>40</v>
      </c>
      <c r="AH36" s="7">
        <v>80</v>
      </c>
      <c r="AI36" s="7">
        <v>175</v>
      </c>
      <c r="AJ36" s="7">
        <v>150</v>
      </c>
      <c r="AK36" s="11">
        <f t="shared" si="0"/>
        <v>6929</v>
      </c>
    </row>
    <row r="37" spans="2:37" ht="20.100000000000001" customHeight="1" x14ac:dyDescent="0.25">
      <c r="B37" s="10" t="s">
        <v>39</v>
      </c>
      <c r="C37" s="6"/>
      <c r="D37" s="7"/>
      <c r="E37" s="7"/>
      <c r="F37" s="7"/>
      <c r="G37" s="7"/>
      <c r="H37" s="7"/>
      <c r="I37" s="7"/>
      <c r="J37" s="7"/>
      <c r="K37" s="7"/>
      <c r="L37" s="7"/>
      <c r="M37" s="7"/>
      <c r="N37" s="7"/>
      <c r="O37" s="7"/>
      <c r="P37" s="7"/>
      <c r="Q37" s="7"/>
      <c r="R37" s="7"/>
      <c r="S37" s="7"/>
      <c r="T37" s="7">
        <v>3065.02</v>
      </c>
      <c r="U37" s="7">
        <v>100</v>
      </c>
      <c r="V37" s="7">
        <v>650</v>
      </c>
      <c r="W37" s="7">
        <v>0</v>
      </c>
      <c r="X37" s="7">
        <v>200</v>
      </c>
      <c r="Y37" s="7">
        <v>0</v>
      </c>
      <c r="Z37" s="7">
        <v>0</v>
      </c>
      <c r="AA37" s="7">
        <v>0</v>
      </c>
      <c r="AB37" s="7">
        <v>550</v>
      </c>
      <c r="AC37" s="7">
        <v>0</v>
      </c>
      <c r="AD37" s="7">
        <v>0</v>
      </c>
      <c r="AE37" s="7">
        <v>100</v>
      </c>
      <c r="AF37" s="7">
        <v>0</v>
      </c>
      <c r="AG37" s="7">
        <v>2201</v>
      </c>
      <c r="AH37" s="7">
        <v>0</v>
      </c>
      <c r="AI37" s="7">
        <v>60</v>
      </c>
      <c r="AJ37" s="7">
        <v>0</v>
      </c>
      <c r="AK37" s="11">
        <f t="shared" si="0"/>
        <v>6926.02</v>
      </c>
    </row>
    <row r="38" spans="2:37" ht="20.100000000000001" customHeight="1" x14ac:dyDescent="0.25">
      <c r="B38" s="10" t="s">
        <v>3</v>
      </c>
      <c r="C38" s="6"/>
      <c r="D38" s="7"/>
      <c r="E38" s="7">
        <v>135</v>
      </c>
      <c r="F38" s="7">
        <v>540</v>
      </c>
      <c r="G38" s="7">
        <v>0</v>
      </c>
      <c r="H38" s="7">
        <v>198</v>
      </c>
      <c r="I38" s="7">
        <v>200</v>
      </c>
      <c r="J38" s="7">
        <v>250</v>
      </c>
      <c r="K38" s="7">
        <v>15</v>
      </c>
      <c r="L38" s="7">
        <v>0</v>
      </c>
      <c r="M38" s="7">
        <v>150</v>
      </c>
      <c r="N38" s="7">
        <v>153</v>
      </c>
      <c r="O38" s="7">
        <v>105</v>
      </c>
      <c r="P38" s="7">
        <v>220</v>
      </c>
      <c r="Q38" s="7">
        <v>336</v>
      </c>
      <c r="R38" s="7">
        <v>0</v>
      </c>
      <c r="S38" s="7">
        <v>405</v>
      </c>
      <c r="T38" s="7">
        <v>0</v>
      </c>
      <c r="U38" s="7">
        <v>210</v>
      </c>
      <c r="V38" s="7">
        <v>152</v>
      </c>
      <c r="W38" s="7">
        <v>255</v>
      </c>
      <c r="X38" s="7">
        <v>440</v>
      </c>
      <c r="Y38" s="7">
        <v>85</v>
      </c>
      <c r="Z38" s="7">
        <v>350</v>
      </c>
      <c r="AA38" s="7">
        <v>0</v>
      </c>
      <c r="AB38" s="7">
        <v>0</v>
      </c>
      <c r="AC38" s="7">
        <v>320</v>
      </c>
      <c r="AD38" s="7">
        <v>0</v>
      </c>
      <c r="AE38" s="7">
        <v>270</v>
      </c>
      <c r="AF38" s="7">
        <v>150</v>
      </c>
      <c r="AG38" s="7">
        <v>310</v>
      </c>
      <c r="AH38" s="7">
        <v>420</v>
      </c>
      <c r="AI38" s="7">
        <v>195</v>
      </c>
      <c r="AJ38" s="7">
        <v>125</v>
      </c>
      <c r="AK38" s="11">
        <f t="shared" si="0"/>
        <v>5989</v>
      </c>
    </row>
    <row r="39" spans="2:37" ht="20.100000000000001" customHeight="1" x14ac:dyDescent="0.25">
      <c r="B39" s="10" t="s">
        <v>5</v>
      </c>
      <c r="C39" s="6"/>
      <c r="D39" s="7"/>
      <c r="E39" s="7">
        <v>150</v>
      </c>
      <c r="F39" s="7">
        <v>120</v>
      </c>
      <c r="G39" s="7">
        <v>0</v>
      </c>
      <c r="H39" s="7">
        <v>112</v>
      </c>
      <c r="I39" s="7">
        <v>220</v>
      </c>
      <c r="J39" s="7">
        <v>204</v>
      </c>
      <c r="K39" s="7">
        <v>0</v>
      </c>
      <c r="L39" s="7">
        <v>0</v>
      </c>
      <c r="M39" s="7">
        <v>170</v>
      </c>
      <c r="N39" s="7">
        <v>60</v>
      </c>
      <c r="O39" s="7">
        <v>118</v>
      </c>
      <c r="P39" s="7">
        <v>182</v>
      </c>
      <c r="Q39" s="7">
        <v>170</v>
      </c>
      <c r="R39" s="7">
        <v>231</v>
      </c>
      <c r="S39" s="7">
        <v>175</v>
      </c>
      <c r="T39" s="7">
        <v>260</v>
      </c>
      <c r="U39" s="7">
        <v>185</v>
      </c>
      <c r="V39" s="7">
        <v>195</v>
      </c>
      <c r="W39" s="7">
        <v>175</v>
      </c>
      <c r="X39" s="7">
        <v>195</v>
      </c>
      <c r="Y39" s="7">
        <v>240</v>
      </c>
      <c r="Z39" s="7">
        <v>120</v>
      </c>
      <c r="AA39" s="7">
        <v>240</v>
      </c>
      <c r="AB39" s="7">
        <v>130</v>
      </c>
      <c r="AC39" s="7">
        <v>502</v>
      </c>
      <c r="AD39" s="7">
        <v>260</v>
      </c>
      <c r="AE39" s="7">
        <v>240</v>
      </c>
      <c r="AF39" s="7">
        <v>130</v>
      </c>
      <c r="AG39" s="7">
        <v>257</v>
      </c>
      <c r="AH39" s="7">
        <v>250</v>
      </c>
      <c r="AI39" s="7">
        <v>240</v>
      </c>
      <c r="AJ39" s="7">
        <v>260</v>
      </c>
      <c r="AK39" s="11">
        <f t="shared" si="0"/>
        <v>5791</v>
      </c>
    </row>
    <row r="40" spans="2:37" ht="20.100000000000001" customHeight="1" x14ac:dyDescent="0.25">
      <c r="B40" s="10" t="s">
        <v>4</v>
      </c>
      <c r="C40" s="6"/>
      <c r="D40" s="7"/>
      <c r="E40" s="7">
        <v>245</v>
      </c>
      <c r="F40" s="7">
        <v>80</v>
      </c>
      <c r="G40" s="7">
        <v>0</v>
      </c>
      <c r="H40" s="7">
        <v>156</v>
      </c>
      <c r="I40" s="7">
        <v>205</v>
      </c>
      <c r="J40" s="7">
        <v>117</v>
      </c>
      <c r="K40" s="7">
        <v>200</v>
      </c>
      <c r="L40" s="7">
        <v>120</v>
      </c>
      <c r="M40" s="7">
        <v>154</v>
      </c>
      <c r="N40" s="7">
        <v>118</v>
      </c>
      <c r="O40" s="7">
        <v>157</v>
      </c>
      <c r="P40" s="7">
        <v>118</v>
      </c>
      <c r="Q40" s="7">
        <v>196</v>
      </c>
      <c r="R40" s="7">
        <v>185</v>
      </c>
      <c r="S40" s="7">
        <v>223</v>
      </c>
      <c r="T40" s="7">
        <v>179</v>
      </c>
      <c r="U40" s="7">
        <v>203</v>
      </c>
      <c r="V40" s="7">
        <v>180</v>
      </c>
      <c r="W40" s="7">
        <v>231</v>
      </c>
      <c r="X40" s="7">
        <v>147</v>
      </c>
      <c r="Y40" s="7">
        <v>132</v>
      </c>
      <c r="Z40" s="7">
        <v>184</v>
      </c>
      <c r="AA40" s="7">
        <v>181</v>
      </c>
      <c r="AB40" s="7">
        <v>141</v>
      </c>
      <c r="AC40" s="7">
        <v>180</v>
      </c>
      <c r="AD40" s="7">
        <v>85</v>
      </c>
      <c r="AE40" s="7">
        <v>90</v>
      </c>
      <c r="AF40" s="7">
        <v>0</v>
      </c>
      <c r="AG40" s="7">
        <v>0</v>
      </c>
      <c r="AH40" s="7">
        <v>90</v>
      </c>
      <c r="AI40" s="7">
        <v>90</v>
      </c>
      <c r="AJ40" s="7">
        <v>90</v>
      </c>
      <c r="AK40" s="11">
        <f t="shared" si="0"/>
        <v>4477</v>
      </c>
    </row>
    <row r="41" spans="2:37" ht="20.100000000000001" customHeight="1" x14ac:dyDescent="0.25">
      <c r="B41" s="16" t="s">
        <v>40</v>
      </c>
      <c r="C41" s="9">
        <f t="shared" ref="C41:AK41" si="1">SUM(C3:C40)</f>
        <v>37330.82</v>
      </c>
      <c r="D41" s="9">
        <f t="shared" si="1"/>
        <v>37956.82</v>
      </c>
      <c r="E41" s="9">
        <f t="shared" si="1"/>
        <v>34048.17</v>
      </c>
      <c r="F41" s="9">
        <f t="shared" si="1"/>
        <v>25995.82</v>
      </c>
      <c r="G41" s="9">
        <f t="shared" si="1"/>
        <v>28162</v>
      </c>
      <c r="H41" s="9">
        <f t="shared" si="1"/>
        <v>35813.82</v>
      </c>
      <c r="I41" s="9">
        <f t="shared" si="1"/>
        <v>27682.82</v>
      </c>
      <c r="J41" s="9">
        <f t="shared" si="1"/>
        <v>77564.040000000008</v>
      </c>
      <c r="K41" s="9">
        <f t="shared" si="1"/>
        <v>33706.619999999995</v>
      </c>
      <c r="L41" s="9">
        <f t="shared" si="1"/>
        <v>51809.760000000002</v>
      </c>
      <c r="M41" s="9">
        <f t="shared" si="1"/>
        <v>53161.56</v>
      </c>
      <c r="N41" s="9">
        <f t="shared" si="1"/>
        <v>35051.339999999997</v>
      </c>
      <c r="O41" s="9">
        <f t="shared" si="1"/>
        <v>161367.36000000002</v>
      </c>
      <c r="P41" s="9">
        <f t="shared" si="1"/>
        <v>103525.22</v>
      </c>
      <c r="Q41" s="9">
        <f t="shared" si="1"/>
        <v>73522.67</v>
      </c>
      <c r="R41" s="9">
        <f t="shared" si="1"/>
        <v>48819.82</v>
      </c>
      <c r="S41" s="9">
        <f t="shared" si="1"/>
        <v>64608.82</v>
      </c>
      <c r="T41" s="9">
        <f t="shared" si="1"/>
        <v>94943.99</v>
      </c>
      <c r="U41" s="9">
        <f t="shared" si="1"/>
        <v>69363.820000000007</v>
      </c>
      <c r="V41" s="9">
        <f t="shared" si="1"/>
        <v>79252.39</v>
      </c>
      <c r="W41" s="9">
        <f t="shared" si="1"/>
        <v>71191.520000000004</v>
      </c>
      <c r="X41" s="9">
        <f t="shared" si="1"/>
        <v>102890.02</v>
      </c>
      <c r="Y41" s="9">
        <f t="shared" si="1"/>
        <v>64116.659999999996</v>
      </c>
      <c r="Z41" s="9">
        <f t="shared" si="1"/>
        <v>50789.47</v>
      </c>
      <c r="AA41" s="9">
        <f t="shared" si="1"/>
        <v>67027.11</v>
      </c>
      <c r="AB41" s="9">
        <f t="shared" si="1"/>
        <v>115392.82</v>
      </c>
      <c r="AC41" s="9">
        <f t="shared" si="1"/>
        <v>81899.12</v>
      </c>
      <c r="AD41" s="9">
        <f t="shared" si="1"/>
        <v>71790.17</v>
      </c>
      <c r="AE41" s="9">
        <f t="shared" si="1"/>
        <v>135050.23999999999</v>
      </c>
      <c r="AF41" s="9">
        <f t="shared" si="1"/>
        <v>246557.17</v>
      </c>
      <c r="AG41" s="9">
        <f t="shared" si="1"/>
        <v>107832.97</v>
      </c>
      <c r="AH41" s="9">
        <f t="shared" si="1"/>
        <v>66813.600000000006</v>
      </c>
      <c r="AI41" s="9">
        <f t="shared" si="1"/>
        <v>111727.02</v>
      </c>
      <c r="AJ41" s="9">
        <f t="shared" si="1"/>
        <v>87358.82</v>
      </c>
      <c r="AK41" s="17">
        <f t="shared" si="1"/>
        <v>2554124.39</v>
      </c>
    </row>
  </sheetData>
  <sortState xmlns:xlrd2="http://schemas.microsoft.com/office/spreadsheetml/2017/richdata2" ref="B3:AK40">
    <sortCondition descending="1" ref="AK3:AK40"/>
  </sortState>
  <mergeCells count="3">
    <mergeCell ref="C1:N1"/>
    <mergeCell ref="O1:Z1"/>
    <mergeCell ref="AA1:AJ1"/>
  </mergeCells>
  <conditionalFormatting sqref="C41:AJ41">
    <cfRule type="dataBar" priority="1">
      <dataBar>
        <cfvo type="min"/>
        <cfvo type="max"/>
        <color rgb="FFFF555A"/>
      </dataBar>
      <extLst>
        <ext xmlns:x14="http://schemas.microsoft.com/office/spreadsheetml/2009/9/main" uri="{B025F937-C7B1-47D3-B67F-A62EFF666E3E}">
          <x14:id>{516D2DE5-43E8-4F0A-95D3-1B31D6A4BCBB}</x14:id>
        </ext>
      </extLst>
    </cfRule>
  </conditionalFormatting>
  <pageMargins left="0.70866141732283472" right="0.70866141732283472" top="0.74803149606299213" bottom="0.74803149606299213" header="0.31496062992125984" footer="0.31496062992125984"/>
  <pageSetup fitToWidth="0"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516D2DE5-43E8-4F0A-95D3-1B31D6A4BCBB}">
            <x14:dataBar minLength="0" maxLength="100" gradient="0">
              <x14:cfvo type="autoMin"/>
              <x14:cfvo type="autoMax"/>
              <x14:negativeFillColor rgb="FFFF0000"/>
              <x14:axisColor rgb="FF000000"/>
            </x14:dataBar>
          </x14:cfRule>
          <xm:sqref>C41:AJ41</xm:sqref>
        </x14:conditionalFormatting>
      </x14:conditionalFormattings>
    </ex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99A2D-72DA-45ED-A000-771020FEE8DB}">
  <dimension ref="A1:S42"/>
  <sheetViews>
    <sheetView workbookViewId="0">
      <selection activeCell="K2" sqref="K2"/>
    </sheetView>
  </sheetViews>
  <sheetFormatPr defaultRowHeight="15" x14ac:dyDescent="0.25"/>
  <cols>
    <col min="1" max="1" width="16.42578125" bestFit="1" customWidth="1"/>
    <col min="2" max="2" width="13.28515625" bestFit="1" customWidth="1"/>
  </cols>
  <sheetData>
    <row r="1" spans="1:19" ht="37.5" customHeight="1" x14ac:dyDescent="0.25">
      <c r="A1" s="32" t="s">
        <v>123</v>
      </c>
      <c r="B1" s="32"/>
      <c r="C1" s="32"/>
      <c r="D1" s="32"/>
      <c r="E1" s="32"/>
      <c r="F1" s="32"/>
      <c r="G1" s="32"/>
      <c r="H1" s="32"/>
      <c r="I1" s="32"/>
      <c r="J1" s="32"/>
      <c r="K1" s="32"/>
      <c r="L1" s="32"/>
      <c r="M1" s="32"/>
      <c r="N1" s="32"/>
      <c r="O1" s="32"/>
      <c r="P1" s="32"/>
      <c r="Q1" s="32"/>
      <c r="R1" s="32"/>
      <c r="S1" s="32"/>
    </row>
    <row r="3" spans="1:19" x14ac:dyDescent="0.25">
      <c r="A3" s="18" t="s">
        <v>80</v>
      </c>
      <c r="B3" t="s">
        <v>82</v>
      </c>
    </row>
    <row r="4" spans="1:19" x14ac:dyDescent="0.25">
      <c r="A4" s="19" t="s">
        <v>28</v>
      </c>
      <c r="B4" s="44">
        <v>346860.91000000003</v>
      </c>
    </row>
    <row r="5" spans="1:19" x14ac:dyDescent="0.25">
      <c r="A5" s="19" t="s">
        <v>34</v>
      </c>
      <c r="B5" s="44">
        <v>323000</v>
      </c>
    </row>
    <row r="6" spans="1:19" x14ac:dyDescent="0.25">
      <c r="A6" s="19" t="s">
        <v>33</v>
      </c>
      <c r="B6" s="44">
        <v>173033.23</v>
      </c>
    </row>
    <row r="7" spans="1:19" x14ac:dyDescent="0.25">
      <c r="A7" s="19" t="s">
        <v>23</v>
      </c>
      <c r="B7" s="44">
        <v>151870</v>
      </c>
    </row>
    <row r="8" spans="1:19" x14ac:dyDescent="0.25">
      <c r="A8" s="19" t="s">
        <v>15</v>
      </c>
      <c r="B8" s="44">
        <v>147548</v>
      </c>
    </row>
    <row r="9" spans="1:19" x14ac:dyDescent="0.25">
      <c r="A9" s="19" t="s">
        <v>32</v>
      </c>
      <c r="B9" s="44">
        <v>142100</v>
      </c>
    </row>
    <row r="10" spans="1:19" x14ac:dyDescent="0.25">
      <c r="A10" s="19" t="s">
        <v>35</v>
      </c>
      <c r="B10" s="44">
        <v>135480</v>
      </c>
    </row>
    <row r="11" spans="1:19" x14ac:dyDescent="0.25">
      <c r="A11" s="19" t="s">
        <v>25</v>
      </c>
      <c r="B11" s="44">
        <v>121496.61</v>
      </c>
    </row>
    <row r="12" spans="1:19" x14ac:dyDescent="0.25">
      <c r="A12" s="19" t="s">
        <v>27</v>
      </c>
      <c r="B12" s="44">
        <v>102306</v>
      </c>
    </row>
    <row r="13" spans="1:19" x14ac:dyDescent="0.25">
      <c r="A13" s="19" t="s">
        <v>11</v>
      </c>
      <c r="B13" s="44">
        <v>101019.66999999998</v>
      </c>
    </row>
    <row r="14" spans="1:19" x14ac:dyDescent="0.25">
      <c r="A14" s="19" t="s">
        <v>26</v>
      </c>
      <c r="B14" s="44">
        <v>85168.01999999999</v>
      </c>
    </row>
    <row r="15" spans="1:19" x14ac:dyDescent="0.25">
      <c r="A15" s="19" t="s">
        <v>30</v>
      </c>
      <c r="B15" s="44">
        <v>84227.13</v>
      </c>
    </row>
    <row r="16" spans="1:19" x14ac:dyDescent="0.25">
      <c r="A16" s="19" t="s">
        <v>24</v>
      </c>
      <c r="B16" s="44">
        <v>59441.210000000006</v>
      </c>
    </row>
    <row r="17" spans="1:2" x14ac:dyDescent="0.25">
      <c r="A17" s="19" t="s">
        <v>29</v>
      </c>
      <c r="B17" s="44">
        <v>51900</v>
      </c>
    </row>
    <row r="18" spans="1:2" x14ac:dyDescent="0.25">
      <c r="A18" s="19" t="s">
        <v>16</v>
      </c>
      <c r="B18" s="44">
        <v>47402</v>
      </c>
    </row>
    <row r="19" spans="1:2" x14ac:dyDescent="0.25">
      <c r="A19" s="19" t="s">
        <v>22</v>
      </c>
      <c r="B19" s="44">
        <v>44285.859999999993</v>
      </c>
    </row>
    <row r="20" spans="1:2" x14ac:dyDescent="0.25">
      <c r="A20" s="19" t="s">
        <v>17</v>
      </c>
      <c r="B20" s="44">
        <v>40897</v>
      </c>
    </row>
    <row r="21" spans="1:2" x14ac:dyDescent="0.25">
      <c r="A21" s="19" t="s">
        <v>31</v>
      </c>
      <c r="B21" s="44">
        <v>35593</v>
      </c>
    </row>
    <row r="22" spans="1:2" x14ac:dyDescent="0.25">
      <c r="A22" s="19" t="s">
        <v>8</v>
      </c>
      <c r="B22" s="44">
        <v>33107</v>
      </c>
    </row>
    <row r="23" spans="1:2" x14ac:dyDescent="0.25">
      <c r="A23" s="19" t="s">
        <v>12</v>
      </c>
      <c r="B23" s="44">
        <v>32543</v>
      </c>
    </row>
    <row r="24" spans="1:2" x14ac:dyDescent="0.25">
      <c r="A24" s="19" t="s">
        <v>13</v>
      </c>
      <c r="B24" s="44">
        <v>30883</v>
      </c>
    </row>
    <row r="25" spans="1:2" x14ac:dyDescent="0.25">
      <c r="A25" s="19" t="s">
        <v>37</v>
      </c>
      <c r="B25" s="44">
        <v>29489.64</v>
      </c>
    </row>
    <row r="26" spans="1:2" x14ac:dyDescent="0.25">
      <c r="A26" s="19" t="s">
        <v>21</v>
      </c>
      <c r="B26" s="44">
        <v>29204</v>
      </c>
    </row>
    <row r="27" spans="1:2" x14ac:dyDescent="0.25">
      <c r="A27" s="19" t="s">
        <v>19</v>
      </c>
      <c r="B27" s="44">
        <v>25250</v>
      </c>
    </row>
    <row r="28" spans="1:2" x14ac:dyDescent="0.25">
      <c r="A28" s="19" t="s">
        <v>14</v>
      </c>
      <c r="B28" s="44">
        <v>24528</v>
      </c>
    </row>
    <row r="29" spans="1:2" x14ac:dyDescent="0.25">
      <c r="A29" s="19" t="s">
        <v>18</v>
      </c>
      <c r="B29" s="44">
        <v>21764</v>
      </c>
    </row>
    <row r="30" spans="1:2" x14ac:dyDescent="0.25">
      <c r="A30" s="19" t="s">
        <v>2</v>
      </c>
      <c r="B30" s="44">
        <v>19922</v>
      </c>
    </row>
    <row r="31" spans="1:2" x14ac:dyDescent="0.25">
      <c r="A31" s="19" t="s">
        <v>6</v>
      </c>
      <c r="B31" s="44">
        <v>19764</v>
      </c>
    </row>
    <row r="32" spans="1:2" x14ac:dyDescent="0.25">
      <c r="A32" s="19" t="s">
        <v>38</v>
      </c>
      <c r="B32" s="44">
        <v>17238</v>
      </c>
    </row>
    <row r="33" spans="1:2" x14ac:dyDescent="0.25">
      <c r="A33" s="19" t="s">
        <v>20</v>
      </c>
      <c r="B33" s="44">
        <v>14704</v>
      </c>
    </row>
    <row r="34" spans="1:2" x14ac:dyDescent="0.25">
      <c r="A34" s="19" t="s">
        <v>10</v>
      </c>
      <c r="B34" s="44">
        <v>13372</v>
      </c>
    </row>
    <row r="35" spans="1:2" x14ac:dyDescent="0.25">
      <c r="A35" s="19" t="s">
        <v>9</v>
      </c>
      <c r="B35" s="44">
        <v>11010</v>
      </c>
    </row>
    <row r="36" spans="1:2" x14ac:dyDescent="0.25">
      <c r="A36" s="19" t="s">
        <v>36</v>
      </c>
      <c r="B36" s="44">
        <v>7605.09</v>
      </c>
    </row>
    <row r="37" spans="1:2" x14ac:dyDescent="0.25">
      <c r="A37" s="19" t="s">
        <v>7</v>
      </c>
      <c r="B37" s="44">
        <v>6929</v>
      </c>
    </row>
    <row r="38" spans="1:2" x14ac:dyDescent="0.25">
      <c r="A38" s="19" t="s">
        <v>39</v>
      </c>
      <c r="B38" s="44">
        <v>6926.02</v>
      </c>
    </row>
    <row r="39" spans="1:2" x14ac:dyDescent="0.25">
      <c r="A39" s="19" t="s">
        <v>3</v>
      </c>
      <c r="B39" s="44">
        <v>5989</v>
      </c>
    </row>
    <row r="40" spans="1:2" x14ac:dyDescent="0.25">
      <c r="A40" s="19" t="s">
        <v>5</v>
      </c>
      <c r="B40" s="44">
        <v>5791</v>
      </c>
    </row>
    <row r="41" spans="1:2" x14ac:dyDescent="0.25">
      <c r="A41" s="19" t="s">
        <v>4</v>
      </c>
      <c r="B41" s="44">
        <v>4477</v>
      </c>
    </row>
    <row r="42" spans="1:2" x14ac:dyDescent="0.25">
      <c r="A42" s="19" t="s">
        <v>81</v>
      </c>
      <c r="B42" s="44">
        <v>2554124.39</v>
      </c>
    </row>
  </sheetData>
  <mergeCells count="1">
    <mergeCell ref="A1:S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D5180-FD7B-4286-B63D-B53498773820}">
  <dimension ref="A1:M17"/>
  <sheetViews>
    <sheetView workbookViewId="0">
      <selection activeCell="K11" sqref="K11"/>
    </sheetView>
  </sheetViews>
  <sheetFormatPr defaultRowHeight="15" x14ac:dyDescent="0.25"/>
  <cols>
    <col min="1" max="1" width="15.5703125" bestFit="1" customWidth="1"/>
    <col min="2" max="2" width="9" bestFit="1" customWidth="1"/>
    <col min="3" max="3" width="14.85546875" bestFit="1" customWidth="1"/>
    <col min="4" max="4" width="15.5703125" bestFit="1" customWidth="1"/>
    <col min="5" max="5" width="14.85546875" bestFit="1" customWidth="1"/>
    <col min="6" max="6" width="15.140625" bestFit="1" customWidth="1"/>
    <col min="7" max="9" width="14.7109375" bestFit="1" customWidth="1"/>
    <col min="10" max="10" width="14.140625" bestFit="1" customWidth="1"/>
    <col min="11" max="11" width="14" bestFit="1" customWidth="1"/>
    <col min="12" max="12" width="14.7109375" bestFit="1" customWidth="1"/>
  </cols>
  <sheetData>
    <row r="1" spans="1:13" ht="51" customHeight="1" x14ac:dyDescent="0.25">
      <c r="A1" s="33" t="s">
        <v>121</v>
      </c>
      <c r="B1" s="33"/>
      <c r="C1" s="33"/>
      <c r="D1" s="33"/>
      <c r="E1" s="33"/>
      <c r="F1" s="33"/>
      <c r="G1" s="33"/>
      <c r="H1" s="33"/>
      <c r="I1" s="33"/>
      <c r="J1" s="33"/>
      <c r="K1" s="33"/>
      <c r="L1" s="33"/>
      <c r="M1" s="33"/>
    </row>
    <row r="4" spans="1:13" x14ac:dyDescent="0.25">
      <c r="A4" s="18" t="s">
        <v>76</v>
      </c>
    </row>
    <row r="5" spans="1:13" x14ac:dyDescent="0.25">
      <c r="A5" s="19" t="s">
        <v>83</v>
      </c>
      <c r="B5" s="44">
        <v>37330.82</v>
      </c>
    </row>
    <row r="6" spans="1:13" x14ac:dyDescent="0.25">
      <c r="A6" s="19" t="s">
        <v>84</v>
      </c>
      <c r="B6" s="44">
        <v>37956.82</v>
      </c>
    </row>
    <row r="7" spans="1:13" x14ac:dyDescent="0.25">
      <c r="A7" s="19" t="s">
        <v>86</v>
      </c>
      <c r="B7" s="44">
        <v>34048.17</v>
      </c>
    </row>
    <row r="8" spans="1:13" x14ac:dyDescent="0.25">
      <c r="A8" s="19" t="s">
        <v>85</v>
      </c>
      <c r="B8" s="44">
        <v>25995.82</v>
      </c>
    </row>
    <row r="9" spans="1:13" x14ac:dyDescent="0.25">
      <c r="A9" s="19" t="s">
        <v>87</v>
      </c>
      <c r="B9" s="44">
        <v>28162</v>
      </c>
    </row>
    <row r="10" spans="1:13" x14ac:dyDescent="0.25">
      <c r="A10" s="19" t="s">
        <v>88</v>
      </c>
      <c r="B10" s="44">
        <v>35813.82</v>
      </c>
    </row>
    <row r="11" spans="1:13" x14ac:dyDescent="0.25">
      <c r="A11" s="19" t="s">
        <v>92</v>
      </c>
      <c r="B11" s="44">
        <v>27682.82</v>
      </c>
    </row>
    <row r="12" spans="1:13" x14ac:dyDescent="0.25">
      <c r="A12" s="19" t="s">
        <v>89</v>
      </c>
      <c r="B12" s="44">
        <v>77564.040000000008</v>
      </c>
    </row>
    <row r="13" spans="1:13" x14ac:dyDescent="0.25">
      <c r="A13" s="19" t="s">
        <v>90</v>
      </c>
      <c r="B13" s="44">
        <v>33706.619999999995</v>
      </c>
    </row>
    <row r="14" spans="1:13" x14ac:dyDescent="0.25">
      <c r="A14" s="19" t="s">
        <v>93</v>
      </c>
      <c r="B14" s="44">
        <v>51809.760000000002</v>
      </c>
    </row>
    <row r="15" spans="1:13" x14ac:dyDescent="0.25">
      <c r="A15" s="19" t="s">
        <v>94</v>
      </c>
      <c r="B15" s="44">
        <v>35051.339999999997</v>
      </c>
    </row>
    <row r="16" spans="1:13" x14ac:dyDescent="0.25">
      <c r="A16" s="19" t="s">
        <v>91</v>
      </c>
      <c r="B16" s="44">
        <v>53161.56</v>
      </c>
    </row>
    <row r="17" spans="1:2" x14ac:dyDescent="0.25">
      <c r="A17" s="22" t="s">
        <v>95</v>
      </c>
      <c r="B17" s="22">
        <f>SUM(B5:B16)</f>
        <v>478283.59</v>
      </c>
    </row>
  </sheetData>
  <mergeCells count="1">
    <mergeCell ref="A1:M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1018A-3A26-42F6-B6A0-204B9EA309D4}">
  <dimension ref="A1:L16"/>
  <sheetViews>
    <sheetView workbookViewId="0">
      <selection activeCell="C7" sqref="C7"/>
    </sheetView>
  </sheetViews>
  <sheetFormatPr defaultRowHeight="15" x14ac:dyDescent="0.25"/>
  <cols>
    <col min="1" max="1" width="15.5703125" bestFit="1" customWidth="1"/>
    <col min="2" max="2" width="10" bestFit="1" customWidth="1"/>
    <col min="3" max="3" width="14.85546875" bestFit="1" customWidth="1"/>
    <col min="4" max="4" width="15.5703125" bestFit="1" customWidth="1"/>
    <col min="5" max="5" width="14.85546875" bestFit="1" customWidth="1"/>
    <col min="6" max="6" width="15.140625" bestFit="1" customWidth="1"/>
    <col min="7" max="9" width="14.7109375" bestFit="1" customWidth="1"/>
    <col min="10" max="10" width="14.140625" bestFit="1" customWidth="1"/>
    <col min="11" max="11" width="14.7109375" bestFit="1" customWidth="1"/>
    <col min="12" max="12" width="14" bestFit="1" customWidth="1"/>
    <col min="13" max="68" width="16.28515625" bestFit="1" customWidth="1"/>
    <col min="69" max="69" width="19" bestFit="1" customWidth="1"/>
    <col min="70" max="70" width="18.7109375" bestFit="1" customWidth="1"/>
  </cols>
  <sheetData>
    <row r="1" spans="1:12" ht="51" x14ac:dyDescent="0.25">
      <c r="A1" s="34" t="s">
        <v>122</v>
      </c>
      <c r="B1" s="35"/>
      <c r="C1" s="35"/>
      <c r="D1" s="35"/>
      <c r="E1" s="35"/>
      <c r="F1" s="35"/>
      <c r="G1" s="35"/>
      <c r="H1" s="35"/>
      <c r="I1" s="35"/>
      <c r="J1" s="35"/>
      <c r="K1" s="35"/>
      <c r="L1" s="35"/>
    </row>
    <row r="3" spans="1:12" x14ac:dyDescent="0.25">
      <c r="A3" s="18" t="s">
        <v>108</v>
      </c>
    </row>
    <row r="4" spans="1:12" x14ac:dyDescent="0.25">
      <c r="A4" s="19" t="s">
        <v>96</v>
      </c>
      <c r="B4" s="44">
        <v>161367.36000000002</v>
      </c>
    </row>
    <row r="5" spans="1:12" x14ac:dyDescent="0.25">
      <c r="A5" s="19" t="s">
        <v>97</v>
      </c>
      <c r="B5" s="44">
        <v>103525.22</v>
      </c>
    </row>
    <row r="6" spans="1:12" x14ac:dyDescent="0.25">
      <c r="A6" s="19" t="s">
        <v>98</v>
      </c>
      <c r="B6" s="44">
        <v>73522.67</v>
      </c>
    </row>
    <row r="7" spans="1:12" x14ac:dyDescent="0.25">
      <c r="A7" s="19" t="s">
        <v>99</v>
      </c>
      <c r="B7" s="44">
        <v>48819.82</v>
      </c>
    </row>
    <row r="8" spans="1:12" x14ac:dyDescent="0.25">
      <c r="A8" s="19" t="s">
        <v>100</v>
      </c>
      <c r="B8" s="44">
        <v>64608.82</v>
      </c>
    </row>
    <row r="9" spans="1:12" x14ac:dyDescent="0.25">
      <c r="A9" s="19" t="s">
        <v>101</v>
      </c>
      <c r="B9" s="44">
        <v>94943.99</v>
      </c>
    </row>
    <row r="10" spans="1:12" x14ac:dyDescent="0.25">
      <c r="A10" s="19" t="s">
        <v>102</v>
      </c>
      <c r="B10" s="44">
        <v>69363.820000000007</v>
      </c>
    </row>
    <row r="11" spans="1:12" x14ac:dyDescent="0.25">
      <c r="A11" s="19" t="s">
        <v>103</v>
      </c>
      <c r="B11" s="44">
        <v>79252.39</v>
      </c>
    </row>
    <row r="12" spans="1:12" x14ac:dyDescent="0.25">
      <c r="A12" s="19" t="s">
        <v>104</v>
      </c>
      <c r="B12" s="44">
        <v>71191.520000000004</v>
      </c>
    </row>
    <row r="13" spans="1:12" x14ac:dyDescent="0.25">
      <c r="A13" s="19" t="s">
        <v>105</v>
      </c>
      <c r="B13" s="44">
        <v>102890.02</v>
      </c>
    </row>
    <row r="14" spans="1:12" x14ac:dyDescent="0.25">
      <c r="A14" s="19" t="s">
        <v>106</v>
      </c>
      <c r="B14" s="44">
        <v>64116.659999999996</v>
      </c>
    </row>
    <row r="15" spans="1:12" x14ac:dyDescent="0.25">
      <c r="A15" s="19" t="s">
        <v>107</v>
      </c>
      <c r="B15" s="44">
        <v>50789.47</v>
      </c>
    </row>
    <row r="16" spans="1:12" x14ac:dyDescent="0.25">
      <c r="A16" s="20" t="s">
        <v>95</v>
      </c>
      <c r="B16" s="21">
        <f>SUM(B4:B15)</f>
        <v>984391.76</v>
      </c>
    </row>
  </sheetData>
  <mergeCells count="1">
    <mergeCell ref="A1:L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7CD0-BC07-4A96-8269-9CC3C391CBC9}">
  <dimension ref="A1:O14"/>
  <sheetViews>
    <sheetView workbookViewId="0">
      <selection activeCell="D7" sqref="D7"/>
    </sheetView>
  </sheetViews>
  <sheetFormatPr defaultRowHeight="15" x14ac:dyDescent="0.25"/>
  <cols>
    <col min="1" max="1" width="15" bestFit="1" customWidth="1"/>
    <col min="2" max="2" width="10" bestFit="1" customWidth="1"/>
    <col min="3" max="3" width="14.85546875" bestFit="1" customWidth="1"/>
    <col min="4" max="4" width="14.140625" bestFit="1" customWidth="1"/>
    <col min="5" max="5" width="14.85546875" bestFit="1" customWidth="1"/>
    <col min="6" max="6" width="15.140625" bestFit="1" customWidth="1"/>
    <col min="7" max="9" width="14.7109375" bestFit="1" customWidth="1"/>
    <col min="10" max="10" width="14.140625" bestFit="1" customWidth="1"/>
  </cols>
  <sheetData>
    <row r="1" spans="1:15" ht="51" x14ac:dyDescent="0.25">
      <c r="A1" s="36" t="s">
        <v>120</v>
      </c>
      <c r="B1" s="36"/>
      <c r="C1" s="36"/>
      <c r="D1" s="36"/>
      <c r="E1" s="36"/>
      <c r="F1" s="36"/>
      <c r="G1" s="36"/>
      <c r="H1" s="36"/>
      <c r="I1" s="36"/>
      <c r="J1" s="36"/>
      <c r="K1" s="36"/>
      <c r="L1" s="36"/>
      <c r="M1" s="36"/>
      <c r="N1" s="36"/>
      <c r="O1" s="36"/>
    </row>
    <row r="3" spans="1:15" x14ac:dyDescent="0.25">
      <c r="A3" s="18" t="s">
        <v>119</v>
      </c>
    </row>
    <row r="4" spans="1:15" x14ac:dyDescent="0.25">
      <c r="A4" s="19" t="s">
        <v>109</v>
      </c>
      <c r="B4" s="44">
        <v>67027.11</v>
      </c>
    </row>
    <row r="5" spans="1:15" x14ac:dyDescent="0.25">
      <c r="A5" s="19" t="s">
        <v>110</v>
      </c>
      <c r="B5" s="44">
        <v>115392.82</v>
      </c>
    </row>
    <row r="6" spans="1:15" x14ac:dyDescent="0.25">
      <c r="A6" s="19" t="s">
        <v>111</v>
      </c>
      <c r="B6" s="44">
        <v>81899.12</v>
      </c>
    </row>
    <row r="7" spans="1:15" x14ac:dyDescent="0.25">
      <c r="A7" s="19" t="s">
        <v>112</v>
      </c>
      <c r="B7" s="44">
        <v>71790.17</v>
      </c>
    </row>
    <row r="8" spans="1:15" x14ac:dyDescent="0.25">
      <c r="A8" s="19" t="s">
        <v>113</v>
      </c>
      <c r="B8" s="44">
        <v>135050.23999999999</v>
      </c>
    </row>
    <row r="9" spans="1:15" x14ac:dyDescent="0.25">
      <c r="A9" s="19" t="s">
        <v>114</v>
      </c>
      <c r="B9" s="44">
        <v>246557.17</v>
      </c>
    </row>
    <row r="10" spans="1:15" x14ac:dyDescent="0.25">
      <c r="A10" s="19" t="s">
        <v>115</v>
      </c>
      <c r="B10" s="44">
        <v>107832.97</v>
      </c>
    </row>
    <row r="11" spans="1:15" x14ac:dyDescent="0.25">
      <c r="A11" s="19" t="s">
        <v>116</v>
      </c>
      <c r="B11" s="44">
        <v>66813.600000000006</v>
      </c>
    </row>
    <row r="12" spans="1:15" x14ac:dyDescent="0.25">
      <c r="A12" s="19" t="s">
        <v>117</v>
      </c>
      <c r="B12" s="44">
        <v>111727.02</v>
      </c>
    </row>
    <row r="13" spans="1:15" x14ac:dyDescent="0.25">
      <c r="A13" s="19" t="s">
        <v>118</v>
      </c>
      <c r="B13" s="44">
        <v>87358.82</v>
      </c>
    </row>
    <row r="14" spans="1:15" x14ac:dyDescent="0.25">
      <c r="A14" s="20" t="s">
        <v>95</v>
      </c>
      <c r="B14" s="21">
        <f>SUM(B4:B13)</f>
        <v>1091449.04</v>
      </c>
    </row>
  </sheetData>
  <mergeCells count="1">
    <mergeCell ref="A1:O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3F447-52C8-492F-A541-41D0476EE178}">
  <dimension ref="A2:AO44"/>
  <sheetViews>
    <sheetView workbookViewId="0">
      <selection activeCell="F17" sqref="F17"/>
    </sheetView>
  </sheetViews>
  <sheetFormatPr defaultRowHeight="15" x14ac:dyDescent="0.25"/>
  <cols>
    <col min="1" max="1" width="10" style="23" customWidth="1"/>
    <col min="2" max="2" width="9.42578125" customWidth="1"/>
    <col min="4" max="4" width="10.140625" customWidth="1"/>
    <col min="5" max="5" width="11" customWidth="1"/>
    <col min="6" max="6" width="10" customWidth="1"/>
    <col min="7" max="7" width="10.42578125" customWidth="1"/>
    <col min="8" max="9" width="9.85546875" customWidth="1"/>
    <col min="10" max="10" width="10.140625" customWidth="1"/>
    <col min="11" max="11" width="9.5703125" customWidth="1"/>
    <col min="12" max="12" width="10.140625" customWidth="1"/>
    <col min="13" max="13" width="9.5703125" bestFit="1" customWidth="1"/>
  </cols>
  <sheetData>
    <row r="2" spans="1:41" x14ac:dyDescent="0.25">
      <c r="A2" s="23"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row>
    <row r="3" spans="1:41" x14ac:dyDescent="0.25">
      <c r="A3" s="23" t="s">
        <v>41</v>
      </c>
      <c r="B3">
        <v>52622.27</v>
      </c>
      <c r="C3">
        <v>0</v>
      </c>
      <c r="D3">
        <v>0</v>
      </c>
      <c r="E3">
        <v>0</v>
      </c>
      <c r="F3">
        <v>0</v>
      </c>
      <c r="G3">
        <v>0</v>
      </c>
      <c r="H3">
        <v>0</v>
      </c>
      <c r="I3">
        <v>0</v>
      </c>
      <c r="J3">
        <v>0</v>
      </c>
      <c r="K3">
        <v>0</v>
      </c>
      <c r="L3">
        <v>0</v>
      </c>
      <c r="M3">
        <v>0</v>
      </c>
      <c r="N3">
        <v>0</v>
      </c>
      <c r="O3">
        <v>0</v>
      </c>
      <c r="P3">
        <v>0</v>
      </c>
      <c r="Q3">
        <v>0</v>
      </c>
      <c r="R3">
        <v>0</v>
      </c>
      <c r="S3">
        <v>0</v>
      </c>
      <c r="T3">
        <v>0</v>
      </c>
      <c r="U3">
        <v>438</v>
      </c>
      <c r="V3">
        <v>522</v>
      </c>
      <c r="W3">
        <v>706.82</v>
      </c>
      <c r="X3">
        <v>0</v>
      </c>
      <c r="Y3">
        <v>0</v>
      </c>
      <c r="Z3">
        <v>0</v>
      </c>
      <c r="AA3">
        <v>0</v>
      </c>
      <c r="AB3">
        <v>0</v>
      </c>
      <c r="AC3">
        <v>2795</v>
      </c>
      <c r="AD3">
        <v>0</v>
      </c>
      <c r="AE3">
        <v>0</v>
      </c>
      <c r="AF3">
        <v>0</v>
      </c>
      <c r="AG3">
        <v>0</v>
      </c>
      <c r="AH3">
        <v>23369</v>
      </c>
      <c r="AI3">
        <v>9500</v>
      </c>
      <c r="AJ3">
        <v>0</v>
      </c>
      <c r="AK3">
        <v>0</v>
      </c>
      <c r="AL3">
        <v>0</v>
      </c>
      <c r="AM3">
        <v>0</v>
      </c>
      <c r="AN3">
        <v>0</v>
      </c>
      <c r="AO3">
        <v>37331</v>
      </c>
    </row>
    <row r="4" spans="1:41" x14ac:dyDescent="0.25">
      <c r="A4" s="23" t="s">
        <v>42</v>
      </c>
      <c r="B4">
        <v>46780.61</v>
      </c>
      <c r="C4">
        <v>0</v>
      </c>
      <c r="D4">
        <v>0</v>
      </c>
      <c r="E4">
        <v>0</v>
      </c>
      <c r="F4">
        <v>0</v>
      </c>
      <c r="G4">
        <v>0</v>
      </c>
      <c r="H4">
        <v>0</v>
      </c>
      <c r="I4">
        <v>0</v>
      </c>
      <c r="J4">
        <v>0</v>
      </c>
      <c r="K4">
        <v>0</v>
      </c>
      <c r="L4">
        <v>0</v>
      </c>
      <c r="M4">
        <v>0</v>
      </c>
      <c r="N4">
        <v>0</v>
      </c>
      <c r="O4">
        <v>0</v>
      </c>
      <c r="P4">
        <v>0</v>
      </c>
      <c r="Q4">
        <v>0</v>
      </c>
      <c r="R4">
        <v>0</v>
      </c>
      <c r="S4">
        <v>0</v>
      </c>
      <c r="T4">
        <v>0</v>
      </c>
      <c r="U4">
        <v>438</v>
      </c>
      <c r="V4">
        <v>528</v>
      </c>
      <c r="W4">
        <v>706.82</v>
      </c>
      <c r="X4">
        <v>0</v>
      </c>
      <c r="Y4">
        <v>2264</v>
      </c>
      <c r="Z4">
        <v>0</v>
      </c>
      <c r="AA4">
        <v>0</v>
      </c>
      <c r="AB4">
        <v>0</v>
      </c>
      <c r="AC4">
        <v>0</v>
      </c>
      <c r="AD4">
        <v>0</v>
      </c>
      <c r="AE4">
        <v>0</v>
      </c>
      <c r="AF4">
        <v>0</v>
      </c>
      <c r="AG4">
        <v>0</v>
      </c>
      <c r="AH4">
        <v>18520</v>
      </c>
      <c r="AI4">
        <v>9500</v>
      </c>
      <c r="AJ4">
        <v>6000</v>
      </c>
      <c r="AK4">
        <v>0</v>
      </c>
      <c r="AL4">
        <v>0</v>
      </c>
      <c r="AM4">
        <v>0</v>
      </c>
      <c r="AN4">
        <v>0</v>
      </c>
      <c r="AO4">
        <v>37957</v>
      </c>
    </row>
    <row r="5" spans="1:41" x14ac:dyDescent="0.25">
      <c r="A5" s="23" t="s">
        <v>43</v>
      </c>
      <c r="B5">
        <v>74321.820000000007</v>
      </c>
      <c r="C5">
        <v>900</v>
      </c>
      <c r="D5">
        <v>135</v>
      </c>
      <c r="E5">
        <v>245</v>
      </c>
      <c r="F5">
        <v>150</v>
      </c>
      <c r="G5">
        <v>505</v>
      </c>
      <c r="H5">
        <v>202</v>
      </c>
      <c r="I5">
        <v>604</v>
      </c>
      <c r="J5">
        <v>370</v>
      </c>
      <c r="K5">
        <v>155</v>
      </c>
      <c r="L5">
        <v>2000</v>
      </c>
      <c r="M5">
        <v>1130</v>
      </c>
      <c r="N5">
        <v>570</v>
      </c>
      <c r="O5">
        <v>555</v>
      </c>
      <c r="P5">
        <v>430</v>
      </c>
      <c r="Q5">
        <v>934</v>
      </c>
      <c r="R5">
        <v>555</v>
      </c>
      <c r="S5">
        <v>0</v>
      </c>
      <c r="T5">
        <v>860</v>
      </c>
      <c r="U5">
        <v>368</v>
      </c>
      <c r="V5">
        <v>522</v>
      </c>
      <c r="W5">
        <v>707</v>
      </c>
      <c r="X5">
        <v>0</v>
      </c>
      <c r="Y5">
        <v>2051.17</v>
      </c>
      <c r="Z5">
        <v>0</v>
      </c>
      <c r="AA5">
        <v>730</v>
      </c>
      <c r="AB5">
        <v>0</v>
      </c>
      <c r="AC5">
        <v>2380</v>
      </c>
      <c r="AD5">
        <v>1000</v>
      </c>
      <c r="AE5">
        <v>2090</v>
      </c>
      <c r="AF5">
        <v>960</v>
      </c>
      <c r="AG5">
        <v>0</v>
      </c>
      <c r="AH5">
        <v>440</v>
      </c>
      <c r="AI5">
        <v>9500</v>
      </c>
      <c r="AJ5">
        <v>3000</v>
      </c>
      <c r="AK5">
        <v>0</v>
      </c>
      <c r="AL5">
        <v>0</v>
      </c>
      <c r="AM5">
        <v>0</v>
      </c>
      <c r="AN5">
        <v>0</v>
      </c>
      <c r="AO5">
        <v>34048.17</v>
      </c>
    </row>
    <row r="6" spans="1:41" x14ac:dyDescent="0.25">
      <c r="A6" s="23" t="s">
        <v>44</v>
      </c>
      <c r="B6">
        <v>1095</v>
      </c>
      <c r="C6">
        <v>510</v>
      </c>
      <c r="D6">
        <v>540</v>
      </c>
      <c r="E6">
        <v>80</v>
      </c>
      <c r="F6">
        <v>120</v>
      </c>
      <c r="G6">
        <v>360</v>
      </c>
      <c r="H6">
        <v>205</v>
      </c>
      <c r="I6">
        <v>562</v>
      </c>
      <c r="J6">
        <v>450</v>
      </c>
      <c r="K6">
        <v>690</v>
      </c>
      <c r="L6">
        <v>500</v>
      </c>
      <c r="M6">
        <v>1005</v>
      </c>
      <c r="N6">
        <v>780</v>
      </c>
      <c r="O6">
        <v>368</v>
      </c>
      <c r="P6">
        <v>450</v>
      </c>
      <c r="Q6">
        <v>3665</v>
      </c>
      <c r="R6">
        <v>287</v>
      </c>
      <c r="S6">
        <v>0</v>
      </c>
      <c r="T6">
        <v>800</v>
      </c>
      <c r="U6">
        <v>438</v>
      </c>
      <c r="V6">
        <v>506</v>
      </c>
      <c r="W6">
        <v>1105.82</v>
      </c>
      <c r="X6">
        <v>0</v>
      </c>
      <c r="Y6">
        <v>0</v>
      </c>
      <c r="Z6">
        <v>0</v>
      </c>
      <c r="AA6">
        <v>898</v>
      </c>
      <c r="AB6">
        <v>0</v>
      </c>
      <c r="AC6">
        <v>495</v>
      </c>
      <c r="AD6">
        <v>0</v>
      </c>
      <c r="AE6">
        <v>0</v>
      </c>
      <c r="AF6">
        <v>915</v>
      </c>
      <c r="AG6">
        <v>0</v>
      </c>
      <c r="AH6">
        <v>766</v>
      </c>
      <c r="AI6">
        <v>9500</v>
      </c>
      <c r="AJ6">
        <v>0</v>
      </c>
      <c r="AK6">
        <v>0</v>
      </c>
      <c r="AL6">
        <v>0</v>
      </c>
      <c r="AM6">
        <v>0</v>
      </c>
      <c r="AN6">
        <v>0</v>
      </c>
      <c r="AO6">
        <v>25995.82</v>
      </c>
    </row>
    <row r="7" spans="1:41" x14ac:dyDescent="0.25">
      <c r="A7" s="23" t="s">
        <v>45</v>
      </c>
      <c r="B7">
        <v>37416.910000000003</v>
      </c>
      <c r="C7">
        <v>0</v>
      </c>
      <c r="D7">
        <v>0</v>
      </c>
      <c r="E7">
        <v>0</v>
      </c>
      <c r="F7">
        <v>0</v>
      </c>
      <c r="G7">
        <v>0</v>
      </c>
      <c r="H7">
        <v>0</v>
      </c>
      <c r="I7">
        <v>0</v>
      </c>
      <c r="J7">
        <v>0</v>
      </c>
      <c r="K7">
        <v>0</v>
      </c>
      <c r="L7">
        <v>0</v>
      </c>
      <c r="M7">
        <v>0</v>
      </c>
      <c r="N7">
        <v>0</v>
      </c>
      <c r="O7">
        <v>0</v>
      </c>
      <c r="P7">
        <v>0</v>
      </c>
      <c r="Q7">
        <v>0</v>
      </c>
      <c r="R7">
        <v>0</v>
      </c>
      <c r="S7">
        <v>0</v>
      </c>
      <c r="T7">
        <v>0</v>
      </c>
      <c r="U7">
        <v>219</v>
      </c>
      <c r="V7">
        <v>692</v>
      </c>
      <c r="W7">
        <v>707</v>
      </c>
      <c r="X7">
        <v>0</v>
      </c>
      <c r="Y7">
        <v>0</v>
      </c>
      <c r="Z7">
        <v>0</v>
      </c>
      <c r="AA7">
        <v>0</v>
      </c>
      <c r="AB7">
        <v>0</v>
      </c>
      <c r="AC7">
        <v>3100</v>
      </c>
      <c r="AD7">
        <v>0</v>
      </c>
      <c r="AE7">
        <v>0</v>
      </c>
      <c r="AF7">
        <v>0</v>
      </c>
      <c r="AG7">
        <v>0</v>
      </c>
      <c r="AH7">
        <v>10944</v>
      </c>
      <c r="AI7">
        <v>9500</v>
      </c>
      <c r="AJ7">
        <v>3000</v>
      </c>
      <c r="AK7">
        <v>0</v>
      </c>
      <c r="AL7">
        <v>0</v>
      </c>
      <c r="AM7">
        <v>0</v>
      </c>
      <c r="AN7">
        <v>0</v>
      </c>
      <c r="AO7">
        <v>28162</v>
      </c>
    </row>
    <row r="8" spans="1:41" x14ac:dyDescent="0.25">
      <c r="A8" s="23" t="s">
        <v>46</v>
      </c>
      <c r="B8">
        <v>37750</v>
      </c>
      <c r="C8">
        <v>560</v>
      </c>
      <c r="D8">
        <v>198</v>
      </c>
      <c r="E8">
        <v>156</v>
      </c>
      <c r="F8">
        <v>112</v>
      </c>
      <c r="G8">
        <v>438</v>
      </c>
      <c r="H8">
        <v>220</v>
      </c>
      <c r="I8">
        <v>907</v>
      </c>
      <c r="J8">
        <v>360</v>
      </c>
      <c r="K8">
        <v>660</v>
      </c>
      <c r="L8">
        <v>2811</v>
      </c>
      <c r="M8">
        <v>1085</v>
      </c>
      <c r="N8">
        <v>1171</v>
      </c>
      <c r="O8">
        <v>443</v>
      </c>
      <c r="P8">
        <v>690</v>
      </c>
      <c r="Q8">
        <v>1590</v>
      </c>
      <c r="R8">
        <v>2595</v>
      </c>
      <c r="S8">
        <v>0</v>
      </c>
      <c r="T8">
        <v>650</v>
      </c>
      <c r="U8">
        <v>438</v>
      </c>
      <c r="V8">
        <v>577</v>
      </c>
      <c r="W8">
        <v>706.82</v>
      </c>
      <c r="X8">
        <v>0</v>
      </c>
      <c r="Y8">
        <v>2870</v>
      </c>
      <c r="Z8">
        <v>0</v>
      </c>
      <c r="AA8">
        <v>1048</v>
      </c>
      <c r="AB8">
        <v>0</v>
      </c>
      <c r="AC8">
        <v>1064</v>
      </c>
      <c r="AD8">
        <v>0</v>
      </c>
      <c r="AE8">
        <v>500</v>
      </c>
      <c r="AF8">
        <v>1334</v>
      </c>
      <c r="AG8">
        <v>0</v>
      </c>
      <c r="AH8">
        <v>3130</v>
      </c>
      <c r="AI8">
        <v>9500</v>
      </c>
      <c r="AJ8">
        <v>0</v>
      </c>
      <c r="AK8">
        <v>0</v>
      </c>
      <c r="AL8">
        <v>0</v>
      </c>
      <c r="AM8">
        <v>0</v>
      </c>
      <c r="AN8">
        <v>0</v>
      </c>
      <c r="AO8">
        <v>35813.82</v>
      </c>
    </row>
    <row r="9" spans="1:41" x14ac:dyDescent="0.25">
      <c r="A9" s="23" t="s">
        <v>47</v>
      </c>
      <c r="B9">
        <v>38111.83</v>
      </c>
      <c r="C9">
        <v>670</v>
      </c>
      <c r="D9">
        <v>200</v>
      </c>
      <c r="E9">
        <v>205</v>
      </c>
      <c r="F9">
        <v>220</v>
      </c>
      <c r="G9">
        <v>620</v>
      </c>
      <c r="H9">
        <v>285</v>
      </c>
      <c r="I9">
        <v>925</v>
      </c>
      <c r="J9">
        <v>300</v>
      </c>
      <c r="K9">
        <v>725</v>
      </c>
      <c r="L9">
        <v>810</v>
      </c>
      <c r="M9">
        <v>966</v>
      </c>
      <c r="N9">
        <v>685</v>
      </c>
      <c r="O9">
        <v>526</v>
      </c>
      <c r="P9">
        <v>910</v>
      </c>
      <c r="Q9">
        <v>2222</v>
      </c>
      <c r="R9">
        <v>950</v>
      </c>
      <c r="S9">
        <v>0</v>
      </c>
      <c r="T9">
        <v>650</v>
      </c>
      <c r="U9">
        <v>657</v>
      </c>
      <c r="V9">
        <v>589</v>
      </c>
      <c r="W9">
        <v>706.82</v>
      </c>
      <c r="X9">
        <v>0</v>
      </c>
      <c r="Y9" t="s">
        <v>48</v>
      </c>
      <c r="Z9">
        <v>0</v>
      </c>
      <c r="AA9">
        <v>1088</v>
      </c>
      <c r="AB9">
        <v>0</v>
      </c>
      <c r="AC9">
        <v>1030</v>
      </c>
      <c r="AD9">
        <v>0</v>
      </c>
      <c r="AE9">
        <v>0</v>
      </c>
      <c r="AF9">
        <v>1295</v>
      </c>
      <c r="AG9">
        <v>0</v>
      </c>
      <c r="AH9">
        <v>948</v>
      </c>
      <c r="AI9">
        <v>9500</v>
      </c>
      <c r="AJ9">
        <v>0</v>
      </c>
      <c r="AK9">
        <v>0</v>
      </c>
      <c r="AL9">
        <v>0</v>
      </c>
      <c r="AM9">
        <v>0</v>
      </c>
      <c r="AN9">
        <v>0</v>
      </c>
      <c r="AO9">
        <v>27682.82</v>
      </c>
    </row>
    <row r="10" spans="1:41" x14ac:dyDescent="0.25">
      <c r="A10" s="23" t="s">
        <v>49</v>
      </c>
      <c r="B10">
        <v>83091.839999999997</v>
      </c>
      <c r="C10">
        <v>310</v>
      </c>
      <c r="D10">
        <v>250</v>
      </c>
      <c r="E10">
        <v>117</v>
      </c>
      <c r="F10">
        <v>204</v>
      </c>
      <c r="G10">
        <v>548</v>
      </c>
      <c r="H10">
        <v>310</v>
      </c>
      <c r="I10">
        <v>947</v>
      </c>
      <c r="J10">
        <v>300</v>
      </c>
      <c r="K10">
        <v>320</v>
      </c>
      <c r="L10">
        <v>760</v>
      </c>
      <c r="M10">
        <v>1130</v>
      </c>
      <c r="N10">
        <v>150</v>
      </c>
      <c r="O10">
        <v>897</v>
      </c>
      <c r="P10">
        <v>2325</v>
      </c>
      <c r="Q10">
        <v>3908</v>
      </c>
      <c r="R10">
        <v>1675</v>
      </c>
      <c r="S10">
        <v>0</v>
      </c>
      <c r="T10">
        <v>650</v>
      </c>
      <c r="U10">
        <v>438</v>
      </c>
      <c r="V10">
        <v>644</v>
      </c>
      <c r="W10">
        <v>706.82</v>
      </c>
      <c r="X10">
        <v>0</v>
      </c>
      <c r="Y10">
        <v>530</v>
      </c>
      <c r="Z10">
        <v>0</v>
      </c>
      <c r="AA10">
        <v>3429</v>
      </c>
      <c r="AB10">
        <v>0</v>
      </c>
      <c r="AC10">
        <v>45730.22</v>
      </c>
      <c r="AD10">
        <v>0</v>
      </c>
      <c r="AE10">
        <v>0</v>
      </c>
      <c r="AF10">
        <v>835</v>
      </c>
      <c r="AG10">
        <v>0</v>
      </c>
      <c r="AH10">
        <v>950</v>
      </c>
      <c r="AI10">
        <v>9500</v>
      </c>
      <c r="AJ10">
        <v>0</v>
      </c>
      <c r="AK10">
        <v>0</v>
      </c>
      <c r="AL10">
        <v>0</v>
      </c>
      <c r="AM10">
        <v>0</v>
      </c>
      <c r="AN10">
        <v>0</v>
      </c>
      <c r="AO10">
        <v>77564.039999999994</v>
      </c>
    </row>
    <row r="11" spans="1:41" x14ac:dyDescent="0.25">
      <c r="A11" s="23" t="s">
        <v>50</v>
      </c>
      <c r="B11">
        <v>38407.01</v>
      </c>
      <c r="C11">
        <v>535</v>
      </c>
      <c r="D11">
        <v>15</v>
      </c>
      <c r="E11">
        <v>200</v>
      </c>
      <c r="F11">
        <v>0</v>
      </c>
      <c r="G11">
        <v>547</v>
      </c>
      <c r="H11">
        <v>335</v>
      </c>
      <c r="I11">
        <v>952</v>
      </c>
      <c r="J11">
        <v>360</v>
      </c>
      <c r="K11">
        <v>155</v>
      </c>
      <c r="L11">
        <v>1330</v>
      </c>
      <c r="M11">
        <v>1120</v>
      </c>
      <c r="N11">
        <v>380</v>
      </c>
      <c r="O11">
        <v>210</v>
      </c>
      <c r="P11">
        <v>930</v>
      </c>
      <c r="Q11">
        <v>534</v>
      </c>
      <c r="R11">
        <v>1255</v>
      </c>
      <c r="S11">
        <v>0</v>
      </c>
      <c r="T11">
        <v>650</v>
      </c>
      <c r="U11">
        <v>100</v>
      </c>
      <c r="V11">
        <v>636</v>
      </c>
      <c r="W11">
        <v>3306.82</v>
      </c>
      <c r="X11">
        <v>0</v>
      </c>
      <c r="Y11">
        <v>580</v>
      </c>
      <c r="Z11">
        <v>0</v>
      </c>
      <c r="AA11">
        <v>4987.8</v>
      </c>
      <c r="AB11">
        <v>0</v>
      </c>
      <c r="AC11">
        <v>1600</v>
      </c>
      <c r="AD11">
        <v>0</v>
      </c>
      <c r="AE11">
        <v>0</v>
      </c>
      <c r="AF11">
        <v>1660</v>
      </c>
      <c r="AG11">
        <v>0</v>
      </c>
      <c r="AH11">
        <v>1828</v>
      </c>
      <c r="AI11">
        <v>9500</v>
      </c>
      <c r="AJ11">
        <v>0</v>
      </c>
      <c r="AK11">
        <v>0</v>
      </c>
      <c r="AL11">
        <v>0</v>
      </c>
      <c r="AM11">
        <v>0</v>
      </c>
      <c r="AN11">
        <v>0</v>
      </c>
      <c r="AO11">
        <v>33706.620000000003</v>
      </c>
    </row>
    <row r="12" spans="1:41" x14ac:dyDescent="0.25">
      <c r="A12" s="23" t="s">
        <v>51</v>
      </c>
      <c r="B12">
        <v>152703.84</v>
      </c>
      <c r="C12">
        <v>470</v>
      </c>
      <c r="D12">
        <v>0</v>
      </c>
      <c r="E12">
        <v>120</v>
      </c>
      <c r="F12">
        <v>0</v>
      </c>
      <c r="G12">
        <v>372</v>
      </c>
      <c r="H12">
        <v>281</v>
      </c>
      <c r="I12">
        <v>1152</v>
      </c>
      <c r="J12">
        <v>330</v>
      </c>
      <c r="K12">
        <v>220</v>
      </c>
      <c r="L12">
        <v>2748</v>
      </c>
      <c r="M12">
        <v>1075</v>
      </c>
      <c r="N12">
        <v>738</v>
      </c>
      <c r="O12">
        <v>275</v>
      </c>
      <c r="P12">
        <v>810</v>
      </c>
      <c r="Q12">
        <v>1161</v>
      </c>
      <c r="R12">
        <v>268</v>
      </c>
      <c r="S12">
        <v>0</v>
      </c>
      <c r="T12">
        <v>650</v>
      </c>
      <c r="U12">
        <v>98</v>
      </c>
      <c r="V12">
        <v>663</v>
      </c>
      <c r="W12">
        <v>3064.46</v>
      </c>
      <c r="X12">
        <v>0</v>
      </c>
      <c r="Y12" t="s">
        <v>48</v>
      </c>
      <c r="Z12">
        <v>0</v>
      </c>
      <c r="AA12">
        <v>9470.2999999999993</v>
      </c>
      <c r="AB12">
        <v>0</v>
      </c>
      <c r="AC12">
        <v>3724</v>
      </c>
      <c r="AD12">
        <v>0</v>
      </c>
      <c r="AE12">
        <v>2000</v>
      </c>
      <c r="AF12">
        <v>2820</v>
      </c>
      <c r="AG12">
        <v>0</v>
      </c>
      <c r="AH12">
        <v>1420</v>
      </c>
      <c r="AI12">
        <v>9500</v>
      </c>
      <c r="AJ12">
        <v>8380</v>
      </c>
      <c r="AK12">
        <v>0</v>
      </c>
      <c r="AL12">
        <v>0</v>
      </c>
      <c r="AM12">
        <v>0</v>
      </c>
      <c r="AN12">
        <v>0</v>
      </c>
      <c r="AO12">
        <v>51809.760000000002</v>
      </c>
    </row>
    <row r="13" spans="1:41" x14ac:dyDescent="0.25">
      <c r="A13" s="23" t="s">
        <v>52</v>
      </c>
      <c r="B13">
        <v>50071.4</v>
      </c>
      <c r="C13">
        <v>451</v>
      </c>
      <c r="D13">
        <v>150</v>
      </c>
      <c r="E13">
        <v>154</v>
      </c>
      <c r="F13">
        <v>170</v>
      </c>
      <c r="G13">
        <v>440</v>
      </c>
      <c r="H13">
        <v>284</v>
      </c>
      <c r="I13">
        <v>1157</v>
      </c>
      <c r="J13">
        <v>360</v>
      </c>
      <c r="K13">
        <v>325</v>
      </c>
      <c r="L13">
        <v>2278</v>
      </c>
      <c r="M13">
        <v>1343</v>
      </c>
      <c r="N13">
        <v>1250</v>
      </c>
      <c r="O13">
        <v>1105</v>
      </c>
      <c r="P13">
        <v>620</v>
      </c>
      <c r="Q13">
        <v>1769</v>
      </c>
      <c r="R13">
        <v>1755</v>
      </c>
      <c r="S13">
        <v>0</v>
      </c>
      <c r="T13">
        <v>650</v>
      </c>
      <c r="U13">
        <v>49</v>
      </c>
      <c r="V13">
        <v>798</v>
      </c>
      <c r="W13">
        <v>2153.64</v>
      </c>
      <c r="X13">
        <v>0</v>
      </c>
      <c r="Y13">
        <v>530</v>
      </c>
      <c r="Z13">
        <v>0</v>
      </c>
      <c r="AA13">
        <v>4816.92</v>
      </c>
      <c r="AB13">
        <v>0</v>
      </c>
      <c r="AC13">
        <v>3560</v>
      </c>
      <c r="AD13">
        <v>0</v>
      </c>
      <c r="AE13">
        <v>3000</v>
      </c>
      <c r="AF13">
        <v>4040</v>
      </c>
      <c r="AG13">
        <v>0</v>
      </c>
      <c r="AH13">
        <v>5403</v>
      </c>
      <c r="AI13">
        <v>9500</v>
      </c>
      <c r="AJ13">
        <v>5050</v>
      </c>
      <c r="AK13">
        <v>0</v>
      </c>
      <c r="AL13">
        <v>0</v>
      </c>
      <c r="AM13">
        <v>0</v>
      </c>
      <c r="AN13">
        <v>0</v>
      </c>
      <c r="AO13">
        <v>53161.56</v>
      </c>
    </row>
    <row r="14" spans="1:41" x14ac:dyDescent="0.25">
      <c r="A14" s="23" t="s">
        <v>53</v>
      </c>
      <c r="B14">
        <v>50000</v>
      </c>
      <c r="C14">
        <v>555</v>
      </c>
      <c r="D14">
        <v>153</v>
      </c>
      <c r="E14">
        <v>118</v>
      </c>
      <c r="F14">
        <v>60</v>
      </c>
      <c r="G14">
        <v>473</v>
      </c>
      <c r="H14">
        <v>237</v>
      </c>
      <c r="I14">
        <v>1156</v>
      </c>
      <c r="J14">
        <v>240</v>
      </c>
      <c r="K14">
        <v>645</v>
      </c>
      <c r="L14">
        <v>1066</v>
      </c>
      <c r="M14">
        <v>959</v>
      </c>
      <c r="N14">
        <v>319</v>
      </c>
      <c r="O14">
        <v>515</v>
      </c>
      <c r="P14">
        <v>600</v>
      </c>
      <c r="Q14">
        <v>665</v>
      </c>
      <c r="R14">
        <v>1544</v>
      </c>
      <c r="S14">
        <v>0</v>
      </c>
      <c r="T14">
        <v>700</v>
      </c>
      <c r="U14">
        <v>517</v>
      </c>
      <c r="V14">
        <v>661</v>
      </c>
      <c r="W14">
        <v>1903.34</v>
      </c>
      <c r="X14">
        <v>0</v>
      </c>
      <c r="Y14" t="s">
        <v>48</v>
      </c>
      <c r="Z14">
        <v>0</v>
      </c>
      <c r="AA14">
        <v>2430</v>
      </c>
      <c r="AB14">
        <v>0</v>
      </c>
      <c r="AC14">
        <v>2180</v>
      </c>
      <c r="AD14">
        <v>0</v>
      </c>
      <c r="AE14">
        <v>2000</v>
      </c>
      <c r="AF14">
        <v>550</v>
      </c>
      <c r="AG14">
        <v>5000</v>
      </c>
      <c r="AH14">
        <v>305</v>
      </c>
      <c r="AI14">
        <v>9500</v>
      </c>
      <c r="AJ14">
        <v>0</v>
      </c>
      <c r="AK14">
        <v>0</v>
      </c>
      <c r="AL14">
        <v>0</v>
      </c>
      <c r="AM14">
        <v>0</v>
      </c>
      <c r="AN14">
        <v>0</v>
      </c>
      <c r="AO14">
        <v>35051.339999999997</v>
      </c>
    </row>
    <row r="15" spans="1:41" x14ac:dyDescent="0.25">
      <c r="A15" s="23" t="s">
        <v>54</v>
      </c>
      <c r="B15">
        <v>100000</v>
      </c>
      <c r="C15">
        <v>626</v>
      </c>
      <c r="D15">
        <v>105</v>
      </c>
      <c r="E15">
        <v>157</v>
      </c>
      <c r="F15">
        <v>118</v>
      </c>
      <c r="G15">
        <v>532</v>
      </c>
      <c r="H15">
        <v>235</v>
      </c>
      <c r="I15">
        <v>1102</v>
      </c>
      <c r="J15">
        <v>390</v>
      </c>
      <c r="K15">
        <v>820</v>
      </c>
      <c r="L15">
        <v>4121</v>
      </c>
      <c r="M15">
        <v>789</v>
      </c>
      <c r="N15">
        <v>563</v>
      </c>
      <c r="O15">
        <v>2138</v>
      </c>
      <c r="P15">
        <v>660</v>
      </c>
      <c r="Q15">
        <v>1936</v>
      </c>
      <c r="R15">
        <v>866</v>
      </c>
      <c r="S15">
        <v>8039</v>
      </c>
      <c r="T15">
        <v>750</v>
      </c>
      <c r="U15">
        <v>487</v>
      </c>
      <c r="V15">
        <v>702</v>
      </c>
      <c r="W15">
        <v>1935.64</v>
      </c>
      <c r="X15">
        <v>0</v>
      </c>
      <c r="Y15">
        <v>3557.34</v>
      </c>
      <c r="Z15">
        <v>0</v>
      </c>
      <c r="AA15">
        <v>3830</v>
      </c>
      <c r="AB15">
        <v>99540</v>
      </c>
      <c r="AC15">
        <v>5155.38</v>
      </c>
      <c r="AD15">
        <v>1150</v>
      </c>
      <c r="AE15">
        <v>2000</v>
      </c>
      <c r="AF15">
        <v>502</v>
      </c>
      <c r="AG15">
        <v>3000</v>
      </c>
      <c r="AH15">
        <v>611</v>
      </c>
      <c r="AI15">
        <v>9500</v>
      </c>
      <c r="AJ15">
        <v>5000</v>
      </c>
      <c r="AK15">
        <v>450</v>
      </c>
      <c r="AL15">
        <v>0</v>
      </c>
      <c r="AM15">
        <v>0</v>
      </c>
      <c r="AN15">
        <v>0</v>
      </c>
      <c r="AO15">
        <v>161366.85999999999</v>
      </c>
    </row>
    <row r="16" spans="1:41" x14ac:dyDescent="0.25">
      <c r="A16" s="23" t="s">
        <v>55</v>
      </c>
      <c r="B16">
        <v>60198</v>
      </c>
      <c r="C16">
        <v>591</v>
      </c>
      <c r="D16">
        <v>220</v>
      </c>
      <c r="E16">
        <v>118</v>
      </c>
      <c r="F16">
        <v>182</v>
      </c>
      <c r="G16">
        <v>410</v>
      </c>
      <c r="H16">
        <v>447</v>
      </c>
      <c r="I16">
        <v>1080</v>
      </c>
      <c r="J16">
        <v>300</v>
      </c>
      <c r="K16">
        <v>330</v>
      </c>
      <c r="L16">
        <v>4458</v>
      </c>
      <c r="M16">
        <v>1068</v>
      </c>
      <c r="N16">
        <v>488</v>
      </c>
      <c r="O16">
        <v>875</v>
      </c>
      <c r="P16">
        <v>2265</v>
      </c>
      <c r="Q16">
        <v>914</v>
      </c>
      <c r="R16">
        <v>2178</v>
      </c>
      <c r="S16">
        <v>0</v>
      </c>
      <c r="T16">
        <v>0</v>
      </c>
      <c r="U16">
        <v>488</v>
      </c>
      <c r="V16">
        <v>702</v>
      </c>
      <c r="W16">
        <v>1112.82</v>
      </c>
      <c r="X16">
        <v>0</v>
      </c>
      <c r="Y16">
        <v>620</v>
      </c>
      <c r="Z16">
        <v>36897</v>
      </c>
      <c r="AA16">
        <v>5032</v>
      </c>
      <c r="AB16">
        <v>200</v>
      </c>
      <c r="AC16">
        <v>15113</v>
      </c>
      <c r="AD16">
        <v>6750</v>
      </c>
      <c r="AE16">
        <v>2000</v>
      </c>
      <c r="AF16">
        <v>1300</v>
      </c>
      <c r="AG16">
        <v>0</v>
      </c>
      <c r="AH16">
        <v>2336.4</v>
      </c>
      <c r="AI16">
        <v>9500</v>
      </c>
      <c r="AJ16">
        <v>5000</v>
      </c>
      <c r="AK16">
        <v>550</v>
      </c>
      <c r="AL16">
        <v>0</v>
      </c>
      <c r="AM16">
        <v>0</v>
      </c>
      <c r="AN16">
        <v>0</v>
      </c>
      <c r="AO16">
        <v>103525.22</v>
      </c>
    </row>
    <row r="17" spans="1:41" x14ac:dyDescent="0.25">
      <c r="A17" s="23" t="s">
        <v>56</v>
      </c>
      <c r="B17">
        <v>110329</v>
      </c>
      <c r="C17">
        <v>748</v>
      </c>
      <c r="D17">
        <v>336</v>
      </c>
      <c r="E17">
        <v>196</v>
      </c>
      <c r="F17">
        <v>170</v>
      </c>
      <c r="G17">
        <v>545</v>
      </c>
      <c r="H17">
        <v>260</v>
      </c>
      <c r="I17">
        <v>1275</v>
      </c>
      <c r="J17">
        <v>720</v>
      </c>
      <c r="K17">
        <v>690</v>
      </c>
      <c r="L17">
        <v>2252</v>
      </c>
      <c r="M17">
        <v>1268</v>
      </c>
      <c r="N17">
        <v>1059</v>
      </c>
      <c r="O17">
        <v>496</v>
      </c>
      <c r="P17">
        <v>680</v>
      </c>
      <c r="Q17">
        <v>820</v>
      </c>
      <c r="R17">
        <v>1648</v>
      </c>
      <c r="S17">
        <v>7210</v>
      </c>
      <c r="T17">
        <v>870</v>
      </c>
      <c r="U17">
        <v>268</v>
      </c>
      <c r="V17">
        <v>648</v>
      </c>
      <c r="W17">
        <v>2357.64</v>
      </c>
      <c r="X17">
        <v>0</v>
      </c>
      <c r="Y17">
        <v>1030</v>
      </c>
      <c r="Z17" t="s">
        <v>48</v>
      </c>
      <c r="AA17">
        <v>6101</v>
      </c>
      <c r="AB17">
        <v>500</v>
      </c>
      <c r="AC17">
        <v>3934</v>
      </c>
      <c r="AD17">
        <v>2000</v>
      </c>
      <c r="AE17">
        <v>4400.33</v>
      </c>
      <c r="AF17">
        <v>480</v>
      </c>
      <c r="AG17">
        <v>0</v>
      </c>
      <c r="AH17">
        <v>16060.7</v>
      </c>
      <c r="AI17">
        <v>9500</v>
      </c>
      <c r="AJ17">
        <v>5000</v>
      </c>
      <c r="AK17">
        <v>0</v>
      </c>
      <c r="AL17">
        <v>0</v>
      </c>
      <c r="AM17">
        <v>0</v>
      </c>
      <c r="AN17">
        <v>0</v>
      </c>
      <c r="AO17">
        <v>83522.42</v>
      </c>
    </row>
    <row r="18" spans="1:41" x14ac:dyDescent="0.25">
      <c r="A18" s="23" t="s">
        <v>57</v>
      </c>
      <c r="B18">
        <v>0</v>
      </c>
      <c r="C18">
        <v>674</v>
      </c>
      <c r="D18">
        <v>0</v>
      </c>
      <c r="E18">
        <v>185</v>
      </c>
      <c r="F18">
        <v>231</v>
      </c>
      <c r="G18">
        <v>921</v>
      </c>
      <c r="H18">
        <v>280</v>
      </c>
      <c r="I18">
        <v>1095</v>
      </c>
      <c r="J18">
        <v>900</v>
      </c>
      <c r="K18">
        <v>330</v>
      </c>
      <c r="L18">
        <v>1858</v>
      </c>
      <c r="M18">
        <v>802</v>
      </c>
      <c r="N18">
        <v>1288</v>
      </c>
      <c r="O18">
        <v>707</v>
      </c>
      <c r="P18">
        <v>745</v>
      </c>
      <c r="Q18">
        <v>1969</v>
      </c>
      <c r="R18">
        <v>580</v>
      </c>
      <c r="S18">
        <v>0</v>
      </c>
      <c r="T18">
        <v>1720</v>
      </c>
      <c r="U18">
        <v>268</v>
      </c>
      <c r="V18">
        <v>968</v>
      </c>
      <c r="W18">
        <v>1178.82</v>
      </c>
      <c r="X18">
        <v>0</v>
      </c>
      <c r="Y18">
        <v>540</v>
      </c>
      <c r="Z18">
        <v>100</v>
      </c>
      <c r="AA18">
        <v>2490</v>
      </c>
      <c r="AB18">
        <v>0</v>
      </c>
      <c r="AC18">
        <v>4578</v>
      </c>
      <c r="AD18">
        <v>2000</v>
      </c>
      <c r="AE18">
        <v>2000</v>
      </c>
      <c r="AF18">
        <v>2679</v>
      </c>
      <c r="AG18">
        <v>0</v>
      </c>
      <c r="AH18">
        <v>2933</v>
      </c>
      <c r="AI18">
        <v>9500</v>
      </c>
      <c r="AJ18">
        <v>5000</v>
      </c>
      <c r="AK18">
        <v>300</v>
      </c>
      <c r="AL18">
        <v>0</v>
      </c>
      <c r="AM18">
        <v>0</v>
      </c>
      <c r="AN18">
        <v>0</v>
      </c>
      <c r="AO18">
        <v>48819.82</v>
      </c>
    </row>
    <row r="19" spans="1:41" x14ac:dyDescent="0.25">
      <c r="A19" s="23" t="s">
        <v>58</v>
      </c>
      <c r="B19">
        <v>80320</v>
      </c>
      <c r="C19">
        <v>517</v>
      </c>
      <c r="D19">
        <v>405</v>
      </c>
      <c r="E19">
        <v>223</v>
      </c>
      <c r="F19">
        <v>175</v>
      </c>
      <c r="G19">
        <v>832</v>
      </c>
      <c r="H19">
        <v>240</v>
      </c>
      <c r="I19">
        <v>1220</v>
      </c>
      <c r="J19">
        <v>630</v>
      </c>
      <c r="K19">
        <v>310</v>
      </c>
      <c r="L19">
        <v>832</v>
      </c>
      <c r="M19">
        <v>1537</v>
      </c>
      <c r="N19">
        <v>2390</v>
      </c>
      <c r="O19">
        <v>709</v>
      </c>
      <c r="P19">
        <v>777</v>
      </c>
      <c r="Q19">
        <v>1966</v>
      </c>
      <c r="R19">
        <v>1662</v>
      </c>
      <c r="S19">
        <v>158</v>
      </c>
      <c r="T19">
        <v>880</v>
      </c>
      <c r="U19">
        <v>268</v>
      </c>
      <c r="V19">
        <v>1181</v>
      </c>
      <c r="W19">
        <v>1178.82</v>
      </c>
      <c r="X19">
        <v>0</v>
      </c>
      <c r="Y19" t="s">
        <v>48</v>
      </c>
      <c r="Z19">
        <v>100</v>
      </c>
      <c r="AA19">
        <v>1440</v>
      </c>
      <c r="AB19">
        <v>0</v>
      </c>
      <c r="AC19">
        <v>30241</v>
      </c>
      <c r="AD19">
        <v>0</v>
      </c>
      <c r="AE19">
        <v>2000</v>
      </c>
      <c r="AF19">
        <v>2925</v>
      </c>
      <c r="AG19">
        <v>0</v>
      </c>
      <c r="AH19">
        <v>312</v>
      </c>
      <c r="AI19">
        <v>9500</v>
      </c>
      <c r="AJ19">
        <v>0</v>
      </c>
      <c r="AK19">
        <v>0</v>
      </c>
      <c r="AL19">
        <v>0</v>
      </c>
      <c r="AM19">
        <v>0</v>
      </c>
      <c r="AN19">
        <v>0</v>
      </c>
      <c r="AO19">
        <v>64608.82</v>
      </c>
    </row>
    <row r="20" spans="1:41" x14ac:dyDescent="0.25">
      <c r="A20" s="23" t="s">
        <v>59</v>
      </c>
      <c r="B20">
        <v>60025</v>
      </c>
      <c r="C20">
        <v>682</v>
      </c>
      <c r="D20">
        <v>0</v>
      </c>
      <c r="E20">
        <v>179</v>
      </c>
      <c r="F20">
        <v>260</v>
      </c>
      <c r="G20">
        <v>965</v>
      </c>
      <c r="H20">
        <v>224</v>
      </c>
      <c r="I20">
        <v>1095</v>
      </c>
      <c r="J20">
        <v>360</v>
      </c>
      <c r="K20">
        <v>917</v>
      </c>
      <c r="L20">
        <v>2460.4499999999998</v>
      </c>
      <c r="M20">
        <v>1337</v>
      </c>
      <c r="N20">
        <v>1573</v>
      </c>
      <c r="O20">
        <v>720</v>
      </c>
      <c r="P20">
        <v>690</v>
      </c>
      <c r="Q20">
        <v>2059</v>
      </c>
      <c r="R20">
        <v>2187</v>
      </c>
      <c r="S20">
        <v>2400</v>
      </c>
      <c r="T20">
        <v>860</v>
      </c>
      <c r="U20">
        <v>268</v>
      </c>
      <c r="V20">
        <v>1212</v>
      </c>
      <c r="W20">
        <v>1178.82</v>
      </c>
      <c r="X20">
        <v>13400</v>
      </c>
      <c r="Y20">
        <v>700</v>
      </c>
      <c r="Z20">
        <v>5800</v>
      </c>
      <c r="AA20">
        <v>1953</v>
      </c>
      <c r="AB20">
        <v>470</v>
      </c>
      <c r="AC20">
        <v>2974</v>
      </c>
      <c r="AD20">
        <v>2000</v>
      </c>
      <c r="AE20">
        <v>2500</v>
      </c>
      <c r="AF20">
        <v>1240</v>
      </c>
      <c r="AG20">
        <v>3000</v>
      </c>
      <c r="AH20">
        <v>2337.6999999999998</v>
      </c>
      <c r="AI20">
        <v>9500</v>
      </c>
      <c r="AJ20">
        <v>10050</v>
      </c>
      <c r="AK20">
        <v>0</v>
      </c>
      <c r="AL20">
        <v>10792</v>
      </c>
      <c r="AM20">
        <v>3535</v>
      </c>
      <c r="AN20">
        <v>3065.02</v>
      </c>
      <c r="AO20">
        <v>94944</v>
      </c>
    </row>
    <row r="21" spans="1:41" x14ac:dyDescent="0.25">
      <c r="A21" s="23" t="s">
        <v>60</v>
      </c>
      <c r="B21">
        <v>65890</v>
      </c>
      <c r="C21">
        <v>812</v>
      </c>
      <c r="D21">
        <v>210</v>
      </c>
      <c r="E21">
        <v>203</v>
      </c>
      <c r="F21">
        <v>185</v>
      </c>
      <c r="G21">
        <v>740</v>
      </c>
      <c r="H21">
        <v>445</v>
      </c>
      <c r="I21">
        <v>1485</v>
      </c>
      <c r="J21">
        <v>420</v>
      </c>
      <c r="K21">
        <v>680</v>
      </c>
      <c r="L21">
        <v>1608</v>
      </c>
      <c r="M21">
        <v>1100</v>
      </c>
      <c r="N21">
        <v>804</v>
      </c>
      <c r="O21">
        <v>586</v>
      </c>
      <c r="P21">
        <v>760</v>
      </c>
      <c r="Q21">
        <v>1503</v>
      </c>
      <c r="R21">
        <v>2364</v>
      </c>
      <c r="S21">
        <v>448</v>
      </c>
      <c r="T21">
        <v>900</v>
      </c>
      <c r="U21">
        <v>268</v>
      </c>
      <c r="V21">
        <v>890</v>
      </c>
      <c r="W21">
        <v>1178.82</v>
      </c>
      <c r="X21">
        <v>16000</v>
      </c>
      <c r="Y21">
        <v>1195</v>
      </c>
      <c r="Z21">
        <v>0</v>
      </c>
      <c r="AA21">
        <v>3163</v>
      </c>
      <c r="AB21">
        <v>0</v>
      </c>
      <c r="AC21">
        <v>1827</v>
      </c>
      <c r="AD21">
        <v>3000</v>
      </c>
      <c r="AE21">
        <v>5000</v>
      </c>
      <c r="AF21">
        <v>1159</v>
      </c>
      <c r="AG21">
        <v>3000</v>
      </c>
      <c r="AH21">
        <v>2030</v>
      </c>
      <c r="AI21">
        <v>9500</v>
      </c>
      <c r="AJ21">
        <v>5000</v>
      </c>
      <c r="AK21">
        <v>0</v>
      </c>
      <c r="AL21">
        <v>0</v>
      </c>
      <c r="AM21">
        <v>800</v>
      </c>
      <c r="AN21">
        <v>100</v>
      </c>
      <c r="AO21">
        <v>72253.820000000007</v>
      </c>
    </row>
    <row r="22" spans="1:41" x14ac:dyDescent="0.25">
      <c r="A22" s="23" t="s">
        <v>61</v>
      </c>
      <c r="B22">
        <v>80172</v>
      </c>
      <c r="C22">
        <v>555</v>
      </c>
      <c r="D22">
        <v>152</v>
      </c>
      <c r="E22">
        <v>180</v>
      </c>
      <c r="F22">
        <v>195</v>
      </c>
      <c r="G22">
        <v>965</v>
      </c>
      <c r="H22">
        <v>315</v>
      </c>
      <c r="I22">
        <v>1169</v>
      </c>
      <c r="J22">
        <v>360</v>
      </c>
      <c r="K22">
        <v>360</v>
      </c>
      <c r="L22">
        <v>1991</v>
      </c>
      <c r="M22">
        <v>1111</v>
      </c>
      <c r="N22">
        <v>536</v>
      </c>
      <c r="O22">
        <v>987</v>
      </c>
      <c r="P22">
        <v>780</v>
      </c>
      <c r="Q22">
        <v>871</v>
      </c>
      <c r="R22">
        <v>1281</v>
      </c>
      <c r="S22">
        <v>0</v>
      </c>
      <c r="T22">
        <v>910</v>
      </c>
      <c r="U22">
        <v>298</v>
      </c>
      <c r="V22">
        <v>1062</v>
      </c>
      <c r="W22">
        <v>1178.82</v>
      </c>
      <c r="X22">
        <v>13000</v>
      </c>
      <c r="Y22">
        <v>885</v>
      </c>
      <c r="Z22">
        <v>500</v>
      </c>
      <c r="AA22">
        <v>4337</v>
      </c>
      <c r="AB22">
        <v>110</v>
      </c>
      <c r="AC22">
        <v>15219.77</v>
      </c>
      <c r="AD22">
        <v>3000</v>
      </c>
      <c r="AE22">
        <v>3000</v>
      </c>
      <c r="AF22">
        <v>1840</v>
      </c>
      <c r="AG22">
        <v>3000</v>
      </c>
      <c r="AH22">
        <v>2133.8000000000002</v>
      </c>
      <c r="AI22">
        <v>9500</v>
      </c>
      <c r="AJ22">
        <v>5000</v>
      </c>
      <c r="AK22">
        <v>0</v>
      </c>
      <c r="AL22">
        <v>300</v>
      </c>
      <c r="AM22">
        <v>1520</v>
      </c>
      <c r="AN22">
        <v>650</v>
      </c>
      <c r="AO22">
        <v>82452.39</v>
      </c>
    </row>
    <row r="23" spans="1:41" x14ac:dyDescent="0.25">
      <c r="A23" s="23" t="s">
        <v>62</v>
      </c>
      <c r="B23">
        <v>75000</v>
      </c>
      <c r="C23">
        <v>744</v>
      </c>
      <c r="D23">
        <v>255</v>
      </c>
      <c r="E23">
        <v>231</v>
      </c>
      <c r="F23">
        <v>175</v>
      </c>
      <c r="G23">
        <v>880</v>
      </c>
      <c r="H23">
        <v>225</v>
      </c>
      <c r="I23">
        <v>875</v>
      </c>
      <c r="J23">
        <v>360</v>
      </c>
      <c r="K23">
        <v>480</v>
      </c>
      <c r="L23">
        <v>1902.8</v>
      </c>
      <c r="M23">
        <v>750</v>
      </c>
      <c r="N23">
        <v>692</v>
      </c>
      <c r="O23">
        <v>475</v>
      </c>
      <c r="P23">
        <v>810</v>
      </c>
      <c r="Q23">
        <v>1120</v>
      </c>
      <c r="R23">
        <v>1137</v>
      </c>
      <c r="S23">
        <v>0</v>
      </c>
      <c r="T23">
        <v>950</v>
      </c>
      <c r="U23">
        <v>298</v>
      </c>
      <c r="V23">
        <v>1003</v>
      </c>
      <c r="W23">
        <v>1178.82</v>
      </c>
      <c r="X23">
        <v>19050</v>
      </c>
      <c r="Y23">
        <v>945</v>
      </c>
      <c r="Z23">
        <v>700</v>
      </c>
      <c r="AA23">
        <v>2526</v>
      </c>
      <c r="AB23">
        <v>0</v>
      </c>
      <c r="AC23">
        <v>2470</v>
      </c>
      <c r="AD23">
        <v>5500</v>
      </c>
      <c r="AE23">
        <v>3000</v>
      </c>
      <c r="AF23">
        <v>75</v>
      </c>
      <c r="AG23">
        <v>3100</v>
      </c>
      <c r="AH23">
        <v>3383.9</v>
      </c>
      <c r="AI23">
        <v>9500</v>
      </c>
      <c r="AJ23">
        <v>5000</v>
      </c>
      <c r="AK23">
        <v>300</v>
      </c>
      <c r="AL23">
        <v>400</v>
      </c>
      <c r="AM23">
        <v>700</v>
      </c>
      <c r="AN23">
        <v>0</v>
      </c>
      <c r="AO23">
        <v>71191.520000000004</v>
      </c>
    </row>
    <row r="24" spans="1:41" x14ac:dyDescent="0.25">
      <c r="A24" s="23" t="s">
        <v>63</v>
      </c>
      <c r="B24">
        <v>105000</v>
      </c>
      <c r="C24">
        <v>1030</v>
      </c>
      <c r="D24">
        <v>440</v>
      </c>
      <c r="E24">
        <v>147</v>
      </c>
      <c r="F24">
        <v>195</v>
      </c>
      <c r="G24">
        <v>930</v>
      </c>
      <c r="H24">
        <v>170</v>
      </c>
      <c r="I24">
        <v>1012</v>
      </c>
      <c r="J24">
        <v>120</v>
      </c>
      <c r="K24">
        <v>0</v>
      </c>
      <c r="L24">
        <v>2767</v>
      </c>
      <c r="M24">
        <v>1213</v>
      </c>
      <c r="N24">
        <v>1372</v>
      </c>
      <c r="O24">
        <v>948</v>
      </c>
      <c r="P24">
        <v>860</v>
      </c>
      <c r="Q24">
        <v>1312</v>
      </c>
      <c r="R24">
        <v>1470</v>
      </c>
      <c r="S24">
        <v>90</v>
      </c>
      <c r="T24">
        <v>950</v>
      </c>
      <c r="U24">
        <v>298</v>
      </c>
      <c r="V24">
        <v>1160</v>
      </c>
      <c r="W24">
        <v>1178.82</v>
      </c>
      <c r="X24">
        <v>2520</v>
      </c>
      <c r="Y24">
        <v>340</v>
      </c>
      <c r="Z24">
        <v>1330</v>
      </c>
      <c r="AA24">
        <v>1900</v>
      </c>
      <c r="AB24">
        <v>0</v>
      </c>
      <c r="AC24">
        <v>52890</v>
      </c>
      <c r="AD24">
        <v>0</v>
      </c>
      <c r="AE24">
        <v>3200</v>
      </c>
      <c r="AF24">
        <v>2045</v>
      </c>
      <c r="AG24">
        <v>3000</v>
      </c>
      <c r="AH24">
        <v>672.2</v>
      </c>
      <c r="AI24">
        <v>9500</v>
      </c>
      <c r="AJ24">
        <v>5000</v>
      </c>
      <c r="AK24">
        <v>260</v>
      </c>
      <c r="AL24">
        <v>0</v>
      </c>
      <c r="AM24">
        <v>2370</v>
      </c>
      <c r="AN24">
        <v>200</v>
      </c>
      <c r="AO24">
        <v>105890.02</v>
      </c>
    </row>
    <row r="25" spans="1:41" x14ac:dyDescent="0.25">
      <c r="A25" s="23" t="s">
        <v>64</v>
      </c>
      <c r="B25">
        <v>60000</v>
      </c>
      <c r="C25">
        <v>686</v>
      </c>
      <c r="D25">
        <v>85</v>
      </c>
      <c r="E25">
        <v>132</v>
      </c>
      <c r="F25">
        <v>240</v>
      </c>
      <c r="G25">
        <v>528</v>
      </c>
      <c r="H25">
        <v>310</v>
      </c>
      <c r="I25">
        <v>1023</v>
      </c>
      <c r="J25">
        <v>280</v>
      </c>
      <c r="K25">
        <v>335</v>
      </c>
      <c r="L25">
        <v>5235.2</v>
      </c>
      <c r="M25">
        <v>1270</v>
      </c>
      <c r="N25">
        <v>1170</v>
      </c>
      <c r="O25">
        <v>906</v>
      </c>
      <c r="P25">
        <v>4550</v>
      </c>
      <c r="Q25">
        <v>1450</v>
      </c>
      <c r="R25">
        <v>1623</v>
      </c>
      <c r="S25">
        <v>1910</v>
      </c>
      <c r="T25">
        <v>950</v>
      </c>
      <c r="U25">
        <v>298</v>
      </c>
      <c r="V25">
        <v>1153</v>
      </c>
      <c r="W25">
        <v>1178.82</v>
      </c>
      <c r="X25">
        <v>0</v>
      </c>
      <c r="Y25">
        <v>2100</v>
      </c>
      <c r="Z25">
        <v>2900</v>
      </c>
      <c r="AA25">
        <v>2469</v>
      </c>
      <c r="AB25">
        <v>0</v>
      </c>
      <c r="AC25">
        <v>5862</v>
      </c>
      <c r="AD25">
        <v>0</v>
      </c>
      <c r="AE25">
        <v>3000</v>
      </c>
      <c r="AF25">
        <v>1963</v>
      </c>
      <c r="AG25">
        <v>3000</v>
      </c>
      <c r="AH25">
        <v>1281</v>
      </c>
      <c r="AI25">
        <v>9500</v>
      </c>
      <c r="AJ25">
        <v>5000</v>
      </c>
      <c r="AK25">
        <v>300</v>
      </c>
      <c r="AL25">
        <v>528.64</v>
      </c>
      <c r="AM25">
        <v>900</v>
      </c>
      <c r="AN25">
        <v>0</v>
      </c>
      <c r="AO25">
        <v>67116.66</v>
      </c>
    </row>
    <row r="26" spans="1:41" x14ac:dyDescent="0.25">
      <c r="A26" s="23" t="s">
        <v>65</v>
      </c>
      <c r="B26">
        <v>60000</v>
      </c>
      <c r="C26">
        <v>560</v>
      </c>
      <c r="D26">
        <v>350</v>
      </c>
      <c r="E26">
        <v>184</v>
      </c>
      <c r="F26">
        <v>120</v>
      </c>
      <c r="G26">
        <v>720</v>
      </c>
      <c r="H26">
        <v>221</v>
      </c>
      <c r="I26">
        <v>1265</v>
      </c>
      <c r="J26">
        <v>120</v>
      </c>
      <c r="K26">
        <v>615</v>
      </c>
      <c r="L26">
        <v>3345.9</v>
      </c>
      <c r="M26">
        <v>1240</v>
      </c>
      <c r="N26">
        <v>700</v>
      </c>
      <c r="O26">
        <v>790</v>
      </c>
      <c r="P26">
        <v>1620</v>
      </c>
      <c r="Q26">
        <v>2842</v>
      </c>
      <c r="R26">
        <v>1136</v>
      </c>
      <c r="S26">
        <v>0</v>
      </c>
      <c r="T26">
        <v>950</v>
      </c>
      <c r="U26">
        <v>537</v>
      </c>
      <c r="V26">
        <v>1035</v>
      </c>
      <c r="W26">
        <v>1178.82</v>
      </c>
      <c r="X26">
        <v>0</v>
      </c>
      <c r="Y26">
        <v>380</v>
      </c>
      <c r="Z26">
        <v>850</v>
      </c>
      <c r="AA26">
        <v>1972</v>
      </c>
      <c r="AB26">
        <v>0</v>
      </c>
      <c r="AC26">
        <v>3634</v>
      </c>
      <c r="AD26">
        <v>0</v>
      </c>
      <c r="AE26">
        <v>3000</v>
      </c>
      <c r="AF26">
        <v>475</v>
      </c>
      <c r="AG26">
        <v>5000</v>
      </c>
      <c r="AH26">
        <v>788.75</v>
      </c>
      <c r="AI26">
        <v>9500</v>
      </c>
      <c r="AJ26">
        <v>5000</v>
      </c>
      <c r="AK26">
        <v>660</v>
      </c>
      <c r="AL26">
        <v>0</v>
      </c>
      <c r="AM26">
        <v>0</v>
      </c>
      <c r="AN26">
        <v>0</v>
      </c>
      <c r="AO26">
        <v>50789.47</v>
      </c>
    </row>
    <row r="27" spans="1:41" x14ac:dyDescent="0.25">
      <c r="A27" s="23" t="s">
        <v>66</v>
      </c>
      <c r="B27">
        <v>60000</v>
      </c>
      <c r="C27">
        <v>855</v>
      </c>
      <c r="D27">
        <v>0</v>
      </c>
      <c r="E27">
        <v>181</v>
      </c>
      <c r="F27">
        <v>240</v>
      </c>
      <c r="G27">
        <v>700</v>
      </c>
      <c r="H27">
        <v>200</v>
      </c>
      <c r="I27">
        <v>1111</v>
      </c>
      <c r="J27">
        <v>120</v>
      </c>
      <c r="K27">
        <v>660</v>
      </c>
      <c r="L27">
        <v>3439.2</v>
      </c>
      <c r="M27">
        <v>1400</v>
      </c>
      <c r="N27">
        <v>1165</v>
      </c>
      <c r="O27">
        <v>700</v>
      </c>
      <c r="P27">
        <v>2230</v>
      </c>
      <c r="Q27">
        <v>1301</v>
      </c>
      <c r="R27">
        <v>2128</v>
      </c>
      <c r="S27">
        <v>0</v>
      </c>
      <c r="T27">
        <v>1050</v>
      </c>
      <c r="U27">
        <v>639</v>
      </c>
      <c r="V27">
        <v>920</v>
      </c>
      <c r="W27">
        <v>1178.82</v>
      </c>
      <c r="X27">
        <v>0</v>
      </c>
      <c r="Y27">
        <v>2959</v>
      </c>
      <c r="Z27">
        <v>4000</v>
      </c>
      <c r="AA27">
        <v>1090</v>
      </c>
      <c r="AB27">
        <v>1486</v>
      </c>
      <c r="AC27">
        <v>7957.51</v>
      </c>
      <c r="AD27">
        <v>1500</v>
      </c>
      <c r="AE27">
        <v>6936.8</v>
      </c>
      <c r="AF27">
        <v>550</v>
      </c>
      <c r="AG27">
        <v>3000</v>
      </c>
      <c r="AH27">
        <v>2069.7800000000002</v>
      </c>
      <c r="AI27">
        <v>9500</v>
      </c>
      <c r="AJ27">
        <v>5000</v>
      </c>
      <c r="AK27">
        <v>260</v>
      </c>
      <c r="AL27">
        <v>0</v>
      </c>
      <c r="AM27">
        <v>500</v>
      </c>
      <c r="AN27">
        <v>0</v>
      </c>
      <c r="AO27">
        <v>67021.100000000006</v>
      </c>
    </row>
    <row r="28" spans="1:41" x14ac:dyDescent="0.25">
      <c r="A28" s="23" t="s">
        <v>67</v>
      </c>
      <c r="B28">
        <v>75000</v>
      </c>
      <c r="C28">
        <v>500</v>
      </c>
      <c r="D28">
        <v>0</v>
      </c>
      <c r="E28">
        <v>141</v>
      </c>
      <c r="F28">
        <v>130</v>
      </c>
      <c r="G28">
        <v>815</v>
      </c>
      <c r="H28">
        <v>218</v>
      </c>
      <c r="I28">
        <v>1092</v>
      </c>
      <c r="J28">
        <v>370</v>
      </c>
      <c r="K28">
        <v>460</v>
      </c>
      <c r="L28">
        <v>4011</v>
      </c>
      <c r="M28">
        <v>810</v>
      </c>
      <c r="N28">
        <v>815</v>
      </c>
      <c r="O28">
        <v>752</v>
      </c>
      <c r="P28">
        <v>12078</v>
      </c>
      <c r="Q28">
        <v>1260</v>
      </c>
      <c r="R28">
        <v>1368</v>
      </c>
      <c r="S28">
        <v>529</v>
      </c>
      <c r="T28">
        <v>950</v>
      </c>
      <c r="U28">
        <v>398</v>
      </c>
      <c r="V28">
        <v>804</v>
      </c>
      <c r="W28">
        <v>1178.82</v>
      </c>
      <c r="X28">
        <v>0</v>
      </c>
      <c r="Y28">
        <v>4260</v>
      </c>
      <c r="Z28">
        <v>46850</v>
      </c>
      <c r="AA28">
        <v>1376</v>
      </c>
      <c r="AB28">
        <v>0</v>
      </c>
      <c r="AC28">
        <v>2160</v>
      </c>
      <c r="AD28">
        <v>0</v>
      </c>
      <c r="AE28">
        <v>3000</v>
      </c>
      <c r="AF28">
        <v>180</v>
      </c>
      <c r="AG28">
        <v>3000</v>
      </c>
      <c r="AH28">
        <v>9645</v>
      </c>
      <c r="AI28">
        <v>9500</v>
      </c>
      <c r="AJ28">
        <v>5000</v>
      </c>
      <c r="AK28">
        <v>320</v>
      </c>
      <c r="AL28">
        <v>332</v>
      </c>
      <c r="AM28">
        <v>540</v>
      </c>
      <c r="AN28">
        <v>550</v>
      </c>
      <c r="AO28">
        <v>119392.82</v>
      </c>
    </row>
    <row r="29" spans="1:41" x14ac:dyDescent="0.25">
      <c r="A29" s="23" t="s">
        <v>68</v>
      </c>
      <c r="B29">
        <v>85000</v>
      </c>
      <c r="C29">
        <v>1096</v>
      </c>
      <c r="D29">
        <v>320</v>
      </c>
      <c r="E29">
        <v>180</v>
      </c>
      <c r="F29">
        <v>502</v>
      </c>
      <c r="G29">
        <v>803</v>
      </c>
      <c r="H29">
        <v>105</v>
      </c>
      <c r="I29">
        <v>1373</v>
      </c>
      <c r="J29">
        <v>360</v>
      </c>
      <c r="K29">
        <v>662</v>
      </c>
      <c r="L29">
        <v>5280.7</v>
      </c>
      <c r="M29">
        <v>632</v>
      </c>
      <c r="N29">
        <v>1100</v>
      </c>
      <c r="O29">
        <v>2652</v>
      </c>
      <c r="P29">
        <v>2090</v>
      </c>
      <c r="Q29">
        <v>2723</v>
      </c>
      <c r="R29">
        <v>1024</v>
      </c>
      <c r="S29">
        <v>0</v>
      </c>
      <c r="T29">
        <v>950</v>
      </c>
      <c r="U29">
        <v>637</v>
      </c>
      <c r="V29">
        <v>835</v>
      </c>
      <c r="W29">
        <v>1178.82</v>
      </c>
      <c r="X29">
        <v>0</v>
      </c>
      <c r="Y29">
        <v>120</v>
      </c>
      <c r="Z29">
        <v>1000</v>
      </c>
      <c r="AA29">
        <v>2709</v>
      </c>
      <c r="AB29">
        <v>0</v>
      </c>
      <c r="AC29">
        <v>26095</v>
      </c>
      <c r="AD29">
        <v>3000</v>
      </c>
      <c r="AE29">
        <v>3500</v>
      </c>
      <c r="AF29">
        <v>350</v>
      </c>
      <c r="AG29">
        <v>3000</v>
      </c>
      <c r="AH29">
        <v>2751.6</v>
      </c>
      <c r="AI29">
        <v>9500</v>
      </c>
      <c r="AJ29">
        <v>5000</v>
      </c>
      <c r="AK29">
        <v>370</v>
      </c>
      <c r="AL29">
        <v>0</v>
      </c>
      <c r="AM29">
        <v>0</v>
      </c>
      <c r="AN29">
        <v>0</v>
      </c>
      <c r="AO29">
        <v>81899.12000000001</v>
      </c>
    </row>
    <row r="30" spans="1:41" x14ac:dyDescent="0.25">
      <c r="A30" s="23" t="s">
        <v>69</v>
      </c>
      <c r="B30">
        <v>60000</v>
      </c>
      <c r="C30">
        <v>820</v>
      </c>
      <c r="D30">
        <v>0</v>
      </c>
      <c r="E30">
        <v>85</v>
      </c>
      <c r="F30">
        <v>260</v>
      </c>
      <c r="G30">
        <v>540</v>
      </c>
      <c r="H30">
        <v>60</v>
      </c>
      <c r="I30">
        <v>1430</v>
      </c>
      <c r="J30">
        <v>360</v>
      </c>
      <c r="K30">
        <v>0</v>
      </c>
      <c r="L30">
        <v>4127.3500000000004</v>
      </c>
      <c r="M30">
        <v>765</v>
      </c>
      <c r="N30">
        <v>1335</v>
      </c>
      <c r="O30">
        <v>265</v>
      </c>
      <c r="P30">
        <v>740</v>
      </c>
      <c r="Q30">
        <v>435</v>
      </c>
      <c r="R30">
        <v>715</v>
      </c>
      <c r="S30">
        <v>500</v>
      </c>
      <c r="T30">
        <v>1000</v>
      </c>
      <c r="U30">
        <v>637</v>
      </c>
      <c r="V30">
        <v>1230</v>
      </c>
      <c r="W30">
        <v>1178.82</v>
      </c>
      <c r="X30">
        <v>10000</v>
      </c>
      <c r="Y30">
        <v>0</v>
      </c>
      <c r="Z30">
        <v>354</v>
      </c>
      <c r="AA30">
        <v>1585</v>
      </c>
      <c r="AB30">
        <v>0</v>
      </c>
      <c r="AC30">
        <v>1088</v>
      </c>
      <c r="AD30">
        <v>3000</v>
      </c>
      <c r="AE30">
        <v>6000</v>
      </c>
      <c r="AF30">
        <v>0</v>
      </c>
      <c r="AG30">
        <v>13000</v>
      </c>
      <c r="AH30">
        <v>4270</v>
      </c>
      <c r="AI30">
        <v>9500</v>
      </c>
      <c r="AJ30">
        <v>5000</v>
      </c>
      <c r="AK30">
        <v>250</v>
      </c>
      <c r="AL30">
        <v>640</v>
      </c>
      <c r="AM30">
        <v>620</v>
      </c>
      <c r="AN30">
        <v>0</v>
      </c>
      <c r="AO30">
        <v>71790.17</v>
      </c>
    </row>
    <row r="31" spans="1:41" x14ac:dyDescent="0.25">
      <c r="A31" s="23" t="s">
        <v>70</v>
      </c>
      <c r="B31">
        <v>105000</v>
      </c>
      <c r="C31">
        <v>785</v>
      </c>
      <c r="D31">
        <v>270</v>
      </c>
      <c r="E31">
        <v>90</v>
      </c>
      <c r="F31">
        <v>240</v>
      </c>
      <c r="G31">
        <v>535</v>
      </c>
      <c r="H31">
        <v>130</v>
      </c>
      <c r="I31">
        <v>1247</v>
      </c>
      <c r="J31">
        <v>420</v>
      </c>
      <c r="K31">
        <v>345</v>
      </c>
      <c r="L31">
        <v>8983.42</v>
      </c>
      <c r="M31">
        <v>1155</v>
      </c>
      <c r="N31">
        <v>1200</v>
      </c>
      <c r="O31">
        <v>760</v>
      </c>
      <c r="P31">
        <v>2180</v>
      </c>
      <c r="Q31">
        <v>1260</v>
      </c>
      <c r="R31">
        <v>1308</v>
      </c>
      <c r="S31">
        <v>0</v>
      </c>
      <c r="T31">
        <v>1050</v>
      </c>
      <c r="U31">
        <v>642</v>
      </c>
      <c r="V31">
        <v>1278</v>
      </c>
      <c r="W31">
        <v>1178.82</v>
      </c>
      <c r="X31">
        <v>10000</v>
      </c>
      <c r="Y31">
        <v>2610</v>
      </c>
      <c r="Z31">
        <v>520</v>
      </c>
      <c r="AA31">
        <v>2460</v>
      </c>
      <c r="AB31">
        <v>0</v>
      </c>
      <c r="AC31">
        <v>36615</v>
      </c>
      <c r="AD31">
        <v>3000</v>
      </c>
      <c r="AE31">
        <v>3000</v>
      </c>
      <c r="AF31">
        <v>438</v>
      </c>
      <c r="AG31">
        <v>23000</v>
      </c>
      <c r="AH31">
        <v>9807</v>
      </c>
      <c r="AI31">
        <v>9500</v>
      </c>
      <c r="AJ31">
        <v>5000</v>
      </c>
      <c r="AK31">
        <v>0</v>
      </c>
      <c r="AL31">
        <v>0</v>
      </c>
      <c r="AM31">
        <v>3943</v>
      </c>
      <c r="AN31">
        <v>100</v>
      </c>
      <c r="AO31">
        <v>135050.23999999999</v>
      </c>
    </row>
    <row r="32" spans="1:41" x14ac:dyDescent="0.25">
      <c r="A32" s="23" t="s">
        <v>71</v>
      </c>
      <c r="B32">
        <v>210000</v>
      </c>
      <c r="C32">
        <v>250</v>
      </c>
      <c r="D32">
        <v>150</v>
      </c>
      <c r="E32">
        <v>0</v>
      </c>
      <c r="F32">
        <v>130</v>
      </c>
      <c r="G32">
        <v>470</v>
      </c>
      <c r="H32">
        <v>40</v>
      </c>
      <c r="I32">
        <v>657</v>
      </c>
      <c r="J32">
        <v>150</v>
      </c>
      <c r="K32">
        <v>250</v>
      </c>
      <c r="L32">
        <v>13036.65</v>
      </c>
      <c r="M32">
        <v>605</v>
      </c>
      <c r="N32">
        <v>1450</v>
      </c>
      <c r="O32">
        <v>1388</v>
      </c>
      <c r="P32">
        <v>96233</v>
      </c>
      <c r="Q32">
        <v>171</v>
      </c>
      <c r="R32">
        <v>493</v>
      </c>
      <c r="S32">
        <v>0</v>
      </c>
      <c r="T32">
        <v>0</v>
      </c>
      <c r="U32">
        <v>723</v>
      </c>
      <c r="V32">
        <v>1033</v>
      </c>
      <c r="W32">
        <v>1178.82</v>
      </c>
      <c r="X32">
        <v>10000</v>
      </c>
      <c r="Y32">
        <v>14178</v>
      </c>
      <c r="Z32">
        <v>7330</v>
      </c>
      <c r="AA32">
        <v>370</v>
      </c>
      <c r="AB32">
        <v>0</v>
      </c>
      <c r="AC32">
        <v>10919</v>
      </c>
      <c r="AD32">
        <v>3000</v>
      </c>
      <c r="AE32">
        <v>3500</v>
      </c>
      <c r="AF32">
        <v>230</v>
      </c>
      <c r="AG32">
        <v>44000</v>
      </c>
      <c r="AH32">
        <v>17491.7</v>
      </c>
      <c r="AI32">
        <v>9500</v>
      </c>
      <c r="AJ32">
        <v>5000</v>
      </c>
      <c r="AK32">
        <v>350</v>
      </c>
      <c r="AL32">
        <v>1430</v>
      </c>
      <c r="AM32">
        <v>850</v>
      </c>
      <c r="AN32">
        <v>0</v>
      </c>
      <c r="AO32">
        <v>246557.17000000004</v>
      </c>
    </row>
    <row r="33" spans="1:41" x14ac:dyDescent="0.25">
      <c r="A33" s="23" t="s">
        <v>72</v>
      </c>
      <c r="B33">
        <v>70000</v>
      </c>
      <c r="C33">
        <v>570</v>
      </c>
      <c r="D33">
        <v>310</v>
      </c>
      <c r="E33">
        <v>0</v>
      </c>
      <c r="F33">
        <v>257</v>
      </c>
      <c r="G33">
        <v>380</v>
      </c>
      <c r="H33">
        <v>40</v>
      </c>
      <c r="I33">
        <v>1075</v>
      </c>
      <c r="J33">
        <v>300</v>
      </c>
      <c r="K33">
        <v>330</v>
      </c>
      <c r="L33">
        <v>4953</v>
      </c>
      <c r="M33">
        <v>895</v>
      </c>
      <c r="N33">
        <v>2085</v>
      </c>
      <c r="O33">
        <v>555</v>
      </c>
      <c r="P33">
        <v>5680</v>
      </c>
      <c r="Q33">
        <v>740</v>
      </c>
      <c r="R33">
        <v>1620</v>
      </c>
      <c r="S33">
        <v>480</v>
      </c>
      <c r="T33">
        <v>1100</v>
      </c>
      <c r="U33">
        <v>542</v>
      </c>
      <c r="V33">
        <v>776</v>
      </c>
      <c r="W33">
        <v>1178.82</v>
      </c>
      <c r="X33">
        <v>10000</v>
      </c>
      <c r="Y33">
        <v>6553.4</v>
      </c>
      <c r="Z33">
        <v>9986.61</v>
      </c>
      <c r="AA33">
        <v>1670</v>
      </c>
      <c r="AB33">
        <v>0</v>
      </c>
      <c r="AC33">
        <v>15091</v>
      </c>
      <c r="AD33">
        <v>3000</v>
      </c>
      <c r="AE33">
        <v>4000</v>
      </c>
      <c r="AF33">
        <v>100</v>
      </c>
      <c r="AG33">
        <v>3000</v>
      </c>
      <c r="AH33">
        <v>12124</v>
      </c>
      <c r="AI33">
        <v>9500</v>
      </c>
      <c r="AJ33">
        <v>5000</v>
      </c>
      <c r="AK33">
        <v>1540.14</v>
      </c>
      <c r="AL33">
        <v>0</v>
      </c>
      <c r="AM33">
        <v>200</v>
      </c>
      <c r="AN33">
        <v>2201</v>
      </c>
      <c r="AO33">
        <v>107832.97</v>
      </c>
    </row>
    <row r="34" spans="1:41" x14ac:dyDescent="0.25">
      <c r="A34" s="23" t="s">
        <v>73</v>
      </c>
      <c r="B34">
        <v>60000</v>
      </c>
      <c r="C34">
        <v>915</v>
      </c>
      <c r="D34">
        <v>420</v>
      </c>
      <c r="E34">
        <v>90</v>
      </c>
      <c r="F34">
        <v>250</v>
      </c>
      <c r="G34">
        <v>845</v>
      </c>
      <c r="H34">
        <v>80</v>
      </c>
      <c r="I34">
        <v>1129</v>
      </c>
      <c r="J34">
        <v>360</v>
      </c>
      <c r="K34">
        <v>68</v>
      </c>
      <c r="L34">
        <v>1681</v>
      </c>
      <c r="M34">
        <v>1088</v>
      </c>
      <c r="N34">
        <v>1050</v>
      </c>
      <c r="O34">
        <v>570</v>
      </c>
      <c r="P34">
        <v>1150</v>
      </c>
      <c r="Q34">
        <v>1427</v>
      </c>
      <c r="R34">
        <v>1165</v>
      </c>
      <c r="S34">
        <v>0</v>
      </c>
      <c r="T34">
        <v>0</v>
      </c>
      <c r="U34">
        <v>747</v>
      </c>
      <c r="V34">
        <v>1116</v>
      </c>
      <c r="W34">
        <v>1178.82</v>
      </c>
      <c r="X34">
        <v>10000</v>
      </c>
      <c r="Y34">
        <v>666.8</v>
      </c>
      <c r="Z34">
        <v>0</v>
      </c>
      <c r="AA34">
        <v>2332</v>
      </c>
      <c r="AB34">
        <v>0</v>
      </c>
      <c r="AC34">
        <v>7854.0300000000007</v>
      </c>
      <c r="AD34">
        <v>3000</v>
      </c>
      <c r="AE34">
        <v>3200</v>
      </c>
      <c r="AF34">
        <v>1213</v>
      </c>
      <c r="AG34">
        <v>6000</v>
      </c>
      <c r="AH34">
        <v>1695</v>
      </c>
      <c r="AI34">
        <v>9500</v>
      </c>
      <c r="AJ34">
        <v>5000</v>
      </c>
      <c r="AK34">
        <v>1022.95</v>
      </c>
      <c r="AL34">
        <v>0</v>
      </c>
      <c r="AM34">
        <v>0</v>
      </c>
      <c r="AN34">
        <v>0</v>
      </c>
      <c r="AO34">
        <v>66813.600000000006</v>
      </c>
    </row>
    <row r="35" spans="1:41" x14ac:dyDescent="0.25">
      <c r="A35" s="23" t="s">
        <v>74</v>
      </c>
      <c r="B35">
        <v>90000</v>
      </c>
      <c r="C35">
        <v>330</v>
      </c>
      <c r="D35">
        <v>195</v>
      </c>
      <c r="E35">
        <v>90</v>
      </c>
      <c r="F35">
        <v>240</v>
      </c>
      <c r="G35">
        <v>690</v>
      </c>
      <c r="H35">
        <v>175</v>
      </c>
      <c r="I35">
        <v>905</v>
      </c>
      <c r="J35">
        <v>300</v>
      </c>
      <c r="K35">
        <v>670</v>
      </c>
      <c r="L35">
        <v>4346</v>
      </c>
      <c r="M35">
        <v>820</v>
      </c>
      <c r="N35">
        <v>695</v>
      </c>
      <c r="O35">
        <v>525</v>
      </c>
      <c r="P35">
        <v>1025</v>
      </c>
      <c r="Q35">
        <v>1130</v>
      </c>
      <c r="R35">
        <v>1350</v>
      </c>
      <c r="S35">
        <v>0</v>
      </c>
      <c r="T35">
        <v>1100</v>
      </c>
      <c r="U35">
        <v>747</v>
      </c>
      <c r="V35">
        <v>1197</v>
      </c>
      <c r="W35">
        <v>1178.82</v>
      </c>
      <c r="X35">
        <v>20000</v>
      </c>
      <c r="Y35">
        <v>3541.5</v>
      </c>
      <c r="Z35">
        <v>880</v>
      </c>
      <c r="AA35">
        <v>1650</v>
      </c>
      <c r="AB35">
        <v>0</v>
      </c>
      <c r="AC35">
        <v>16660</v>
      </c>
      <c r="AD35">
        <v>3000</v>
      </c>
      <c r="AE35">
        <v>3000</v>
      </c>
      <c r="AF35">
        <v>720</v>
      </c>
      <c r="AG35">
        <v>10000</v>
      </c>
      <c r="AH35">
        <v>4067.7</v>
      </c>
      <c r="AI35">
        <v>9500</v>
      </c>
      <c r="AJ35">
        <v>5000</v>
      </c>
      <c r="AK35">
        <v>672</v>
      </c>
      <c r="AL35">
        <v>15067</v>
      </c>
      <c r="AM35">
        <v>200</v>
      </c>
      <c r="AN35">
        <v>60</v>
      </c>
      <c r="AO35">
        <v>111727.02</v>
      </c>
    </row>
    <row r="36" spans="1:41" x14ac:dyDescent="0.25">
      <c r="A36" s="23" t="s">
        <v>75</v>
      </c>
      <c r="B36">
        <v>90000</v>
      </c>
      <c r="C36">
        <v>615</v>
      </c>
      <c r="D36">
        <v>125</v>
      </c>
      <c r="E36">
        <v>90</v>
      </c>
      <c r="F36">
        <v>260</v>
      </c>
      <c r="G36">
        <v>715</v>
      </c>
      <c r="H36">
        <v>150</v>
      </c>
      <c r="I36">
        <v>1030</v>
      </c>
      <c r="J36">
        <v>240</v>
      </c>
      <c r="K36">
        <v>165</v>
      </c>
      <c r="L36">
        <v>4027</v>
      </c>
      <c r="M36">
        <v>1075</v>
      </c>
      <c r="N36">
        <v>1310</v>
      </c>
      <c r="O36">
        <v>1130</v>
      </c>
      <c r="P36">
        <v>1180</v>
      </c>
      <c r="Q36">
        <v>1745</v>
      </c>
      <c r="R36">
        <v>710</v>
      </c>
      <c r="S36">
        <v>0</v>
      </c>
      <c r="T36">
        <v>1100</v>
      </c>
      <c r="U36">
        <v>750</v>
      </c>
      <c r="V36">
        <v>961</v>
      </c>
      <c r="W36">
        <v>1178.82</v>
      </c>
      <c r="X36">
        <v>17900</v>
      </c>
      <c r="Y36">
        <v>3435</v>
      </c>
      <c r="Z36">
        <v>1399</v>
      </c>
      <c r="AA36">
        <v>3815</v>
      </c>
      <c r="AB36">
        <v>0</v>
      </c>
      <c r="AC36">
        <v>10865</v>
      </c>
      <c r="AD36">
        <v>3000</v>
      </c>
      <c r="AE36">
        <v>3400</v>
      </c>
      <c r="AF36">
        <v>720</v>
      </c>
      <c r="AG36">
        <v>3000</v>
      </c>
      <c r="AH36">
        <v>6208</v>
      </c>
      <c r="AI36">
        <v>9500</v>
      </c>
      <c r="AJ36">
        <v>5000</v>
      </c>
      <c r="AK36">
        <v>0</v>
      </c>
      <c r="AL36">
        <v>0</v>
      </c>
      <c r="AM36">
        <v>560</v>
      </c>
      <c r="AN36">
        <v>0</v>
      </c>
      <c r="AO36">
        <v>87358.82</v>
      </c>
    </row>
    <row r="37" spans="1:41" x14ac:dyDescent="0.25">
      <c r="A37" s="23" t="s">
        <v>40</v>
      </c>
      <c r="B37">
        <v>2424306.5300000003</v>
      </c>
      <c r="C37">
        <v>19922</v>
      </c>
      <c r="D37">
        <v>5989</v>
      </c>
      <c r="E37">
        <v>4477</v>
      </c>
      <c r="F37">
        <v>5791</v>
      </c>
      <c r="G37">
        <v>19764</v>
      </c>
      <c r="H37">
        <v>6929</v>
      </c>
      <c r="I37">
        <v>33107</v>
      </c>
      <c r="J37">
        <v>11010</v>
      </c>
      <c r="K37">
        <v>13372</v>
      </c>
      <c r="L37">
        <v>101019.66999999998</v>
      </c>
      <c r="M37">
        <v>32543</v>
      </c>
      <c r="N37">
        <v>30883</v>
      </c>
      <c r="O37">
        <v>24528</v>
      </c>
      <c r="P37">
        <v>147548</v>
      </c>
      <c r="Q37">
        <v>47402</v>
      </c>
      <c r="R37">
        <v>40897</v>
      </c>
      <c r="S37">
        <v>21764</v>
      </c>
      <c r="T37">
        <v>25250</v>
      </c>
      <c r="U37">
        <v>14704</v>
      </c>
      <c r="V37">
        <v>29204</v>
      </c>
      <c r="W37">
        <v>44285.859999999993</v>
      </c>
      <c r="X37">
        <v>151870</v>
      </c>
      <c r="Y37">
        <v>59441.210000000006</v>
      </c>
      <c r="Z37">
        <v>121496.61</v>
      </c>
      <c r="AA37">
        <v>85168.01999999999</v>
      </c>
      <c r="AB37">
        <v>102306</v>
      </c>
      <c r="AC37">
        <v>346860.91000000003</v>
      </c>
      <c r="AD37">
        <v>51900</v>
      </c>
      <c r="AE37">
        <v>84227.13</v>
      </c>
      <c r="AF37">
        <v>35593</v>
      </c>
      <c r="AG37">
        <v>142100</v>
      </c>
      <c r="AH37">
        <v>173033.23</v>
      </c>
      <c r="AI37">
        <v>323000</v>
      </c>
      <c r="AJ37">
        <v>135480</v>
      </c>
      <c r="AK37">
        <v>7605.09</v>
      </c>
      <c r="AL37">
        <v>29489.64</v>
      </c>
      <c r="AM37">
        <v>17238</v>
      </c>
      <c r="AN37">
        <v>6926.02</v>
      </c>
      <c r="AO37">
        <v>2580208</v>
      </c>
    </row>
    <row r="43" spans="1:41" x14ac:dyDescent="0.25">
      <c r="A43" s="24"/>
      <c r="B43" s="1"/>
      <c r="C43" s="1"/>
      <c r="D43" s="1"/>
      <c r="E43" s="1"/>
      <c r="F43" s="1"/>
      <c r="G43" s="1"/>
      <c r="H43" s="1"/>
      <c r="I43" s="1"/>
      <c r="J43" s="1"/>
      <c r="K43" s="1"/>
      <c r="L43" s="1"/>
      <c r="M43" s="1"/>
      <c r="N43" s="1"/>
      <c r="O43" s="1"/>
      <c r="P43" s="1"/>
      <c r="Q43" s="1"/>
      <c r="R43" s="1"/>
      <c r="S43" s="1"/>
      <c r="T43" s="1"/>
      <c r="U43" s="1"/>
      <c r="V43" s="1"/>
      <c r="W43" s="1"/>
      <c r="X43" s="2"/>
      <c r="Y43" s="2"/>
      <c r="Z43" s="2"/>
      <c r="AA43" s="3"/>
      <c r="AB43" s="3"/>
      <c r="AC43" s="3"/>
      <c r="AD43" s="3"/>
      <c r="AE43" s="3"/>
      <c r="AF43" s="3"/>
      <c r="AG43" s="3"/>
      <c r="AH43" s="3"/>
      <c r="AI43" s="3"/>
      <c r="AJ43" s="4"/>
    </row>
    <row r="44" spans="1:41" x14ac:dyDescent="0.25">
      <c r="A44" s="24"/>
      <c r="B44" s="1"/>
      <c r="C44" s="1"/>
      <c r="D44" s="1"/>
      <c r="E44" s="1"/>
      <c r="F44" s="1"/>
      <c r="G44" s="1"/>
      <c r="H44" s="1"/>
      <c r="I44" s="1"/>
      <c r="J44" s="1"/>
      <c r="K44" s="1"/>
      <c r="L44" s="2"/>
      <c r="M44" s="1"/>
      <c r="N44" s="1"/>
      <c r="O44" s="1"/>
      <c r="P44" s="1"/>
      <c r="Q44" s="1"/>
      <c r="R44" s="1"/>
      <c r="S44" s="1"/>
      <c r="T44" s="1"/>
      <c r="U44" s="1"/>
      <c r="V44" s="1"/>
      <c r="W44" s="1"/>
      <c r="X44" s="2"/>
      <c r="Y44" s="2"/>
      <c r="Z44" s="2"/>
      <c r="AA44" s="3"/>
      <c r="AB44" s="3"/>
      <c r="AC44" s="3"/>
      <c r="AD44" s="3"/>
      <c r="AE44" s="3"/>
      <c r="AF44" s="3"/>
      <c r="AG44" s="3"/>
      <c r="AH44" s="3"/>
      <c r="AI44" s="3"/>
      <c r="AJ44"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E49AE-5E67-4BF7-A133-70E88EA3D7F0}">
  <dimension ref="A1:AP58"/>
  <sheetViews>
    <sheetView topLeftCell="K1" workbookViewId="0">
      <selection activeCell="N13" sqref="N13"/>
    </sheetView>
  </sheetViews>
  <sheetFormatPr defaultRowHeight="15" x14ac:dyDescent="0.25"/>
  <cols>
    <col min="1" max="1" width="16.42578125" bestFit="1" customWidth="1"/>
    <col min="2" max="10" width="9" bestFit="1" customWidth="1"/>
    <col min="11" max="11" width="10" bestFit="1" customWidth="1"/>
    <col min="12" max="13" width="9" bestFit="1" customWidth="1"/>
    <col min="14" max="14" width="14.85546875" customWidth="1"/>
    <col min="15" max="15" width="15.28515625" customWidth="1"/>
    <col min="16" max="16" width="16.42578125" customWidth="1"/>
    <col min="17" max="17" width="10" bestFit="1" customWidth="1"/>
    <col min="18" max="20" width="9" bestFit="1" customWidth="1"/>
    <col min="21" max="21" width="8.28515625" bestFit="1" customWidth="1"/>
    <col min="22" max="24" width="9" bestFit="1" customWidth="1"/>
    <col min="25" max="25" width="10" bestFit="1" customWidth="1"/>
    <col min="26" max="27" width="9" bestFit="1" customWidth="1"/>
    <col min="28" max="28" width="8" bestFit="1" customWidth="1"/>
    <col min="29" max="29" width="18.28515625" customWidth="1"/>
    <col min="30" max="30" width="14.85546875" customWidth="1"/>
    <col min="31" max="31" width="16.42578125" bestFit="1" customWidth="1"/>
    <col min="32" max="32" width="10" bestFit="1" customWidth="1"/>
    <col min="33" max="34" width="9" bestFit="1" customWidth="1"/>
    <col min="35" max="37" width="10" bestFit="1" customWidth="1"/>
    <col min="38" max="38" width="8" bestFit="1" customWidth="1"/>
    <col min="39" max="39" width="10" bestFit="1" customWidth="1"/>
    <col min="40" max="40" width="9" bestFit="1" customWidth="1"/>
    <col min="41" max="41" width="11" bestFit="1" customWidth="1"/>
    <col min="42" max="42" width="12.28515625" bestFit="1" customWidth="1"/>
    <col min="43" max="43" width="12.5703125" bestFit="1" customWidth="1"/>
    <col min="44" max="44" width="7.7109375" bestFit="1" customWidth="1"/>
    <col min="45" max="45" width="10.85546875" bestFit="1" customWidth="1"/>
    <col min="46" max="46" width="10" bestFit="1" customWidth="1"/>
  </cols>
  <sheetData>
    <row r="1" spans="1:42" x14ac:dyDescent="0.25">
      <c r="E1" t="s">
        <v>141</v>
      </c>
    </row>
    <row r="2" spans="1:42" x14ac:dyDescent="0.25">
      <c r="A2" s="26" t="s">
        <v>0</v>
      </c>
      <c r="B2" s="27" t="s">
        <v>133</v>
      </c>
      <c r="C2" s="27" t="s">
        <v>2</v>
      </c>
      <c r="D2" s="27" t="s">
        <v>3</v>
      </c>
      <c r="E2" s="27" t="s">
        <v>4</v>
      </c>
      <c r="F2" s="27" t="s">
        <v>5</v>
      </c>
      <c r="G2" s="27" t="s">
        <v>6</v>
      </c>
      <c r="H2" s="27" t="s">
        <v>7</v>
      </c>
      <c r="I2" s="27" t="s">
        <v>8</v>
      </c>
      <c r="J2" s="27" t="s">
        <v>9</v>
      </c>
      <c r="K2" s="27" t="s">
        <v>10</v>
      </c>
      <c r="L2" s="27" t="s">
        <v>11</v>
      </c>
      <c r="M2" s="27" t="s">
        <v>12</v>
      </c>
      <c r="N2" s="27" t="s">
        <v>13</v>
      </c>
      <c r="O2" s="27" t="s">
        <v>14</v>
      </c>
      <c r="P2" s="27" t="s">
        <v>15</v>
      </c>
      <c r="Q2" s="27" t="s">
        <v>16</v>
      </c>
      <c r="R2" s="27" t="s">
        <v>17</v>
      </c>
      <c r="S2" s="27" t="s">
        <v>18</v>
      </c>
      <c r="T2" s="27" t="s">
        <v>19</v>
      </c>
      <c r="U2" s="27" t="s">
        <v>20</v>
      </c>
      <c r="V2" s="27" t="s">
        <v>21</v>
      </c>
      <c r="W2" s="27" t="s">
        <v>22</v>
      </c>
      <c r="X2" s="27" t="s">
        <v>23</v>
      </c>
      <c r="Y2" s="27" t="s">
        <v>24</v>
      </c>
      <c r="Z2" s="27" t="s">
        <v>25</v>
      </c>
      <c r="AA2" s="27" t="s">
        <v>26</v>
      </c>
      <c r="AB2" s="27" t="s">
        <v>27</v>
      </c>
      <c r="AC2" s="27" t="s">
        <v>28</v>
      </c>
      <c r="AD2" s="27" t="s">
        <v>29</v>
      </c>
      <c r="AE2" s="27" t="s">
        <v>30</v>
      </c>
      <c r="AF2" s="27" t="s">
        <v>31</v>
      </c>
      <c r="AG2" s="27" t="s">
        <v>32</v>
      </c>
      <c r="AH2" s="27" t="s">
        <v>33</v>
      </c>
      <c r="AI2" s="27" t="s">
        <v>34</v>
      </c>
      <c r="AJ2" s="27" t="s">
        <v>35</v>
      </c>
      <c r="AK2" s="27" t="s">
        <v>36</v>
      </c>
      <c r="AL2" s="27" t="s">
        <v>37</v>
      </c>
      <c r="AM2" s="27" t="s">
        <v>38</v>
      </c>
      <c r="AN2" s="27" t="s">
        <v>39</v>
      </c>
      <c r="AO2" s="27" t="s">
        <v>40</v>
      </c>
    </row>
    <row r="3" spans="1:42" x14ac:dyDescent="0.25">
      <c r="A3" s="27" t="s">
        <v>41</v>
      </c>
      <c r="B3" s="27">
        <v>52622.27</v>
      </c>
      <c r="C3" s="27">
        <v>0</v>
      </c>
      <c r="D3" s="27">
        <v>0</v>
      </c>
      <c r="E3" s="27">
        <v>0</v>
      </c>
      <c r="F3" s="27">
        <v>0</v>
      </c>
      <c r="G3" s="27">
        <v>0</v>
      </c>
      <c r="H3" s="27">
        <v>0</v>
      </c>
      <c r="I3" s="27">
        <v>0</v>
      </c>
      <c r="J3" s="27">
        <v>0</v>
      </c>
      <c r="K3" s="27">
        <v>0</v>
      </c>
      <c r="L3" s="27">
        <v>0</v>
      </c>
      <c r="M3" s="27">
        <v>0</v>
      </c>
      <c r="N3" s="27">
        <v>0</v>
      </c>
      <c r="O3" s="27">
        <v>0</v>
      </c>
      <c r="P3" s="27">
        <v>0</v>
      </c>
      <c r="Q3" s="27">
        <v>0</v>
      </c>
      <c r="R3" s="27">
        <v>0</v>
      </c>
      <c r="S3" s="27">
        <v>0</v>
      </c>
      <c r="T3" s="27">
        <v>0</v>
      </c>
      <c r="U3" s="27">
        <v>438</v>
      </c>
      <c r="V3" s="27">
        <v>522</v>
      </c>
      <c r="W3" s="27">
        <v>706.82</v>
      </c>
      <c r="X3" s="27">
        <v>0</v>
      </c>
      <c r="Y3" s="27">
        <v>0</v>
      </c>
      <c r="Z3" s="27">
        <v>0</v>
      </c>
      <c r="AA3" s="27">
        <v>0</v>
      </c>
      <c r="AB3" s="27">
        <v>0</v>
      </c>
      <c r="AC3" s="27">
        <v>2795</v>
      </c>
      <c r="AD3" s="27">
        <v>0</v>
      </c>
      <c r="AE3" s="27">
        <v>0</v>
      </c>
      <c r="AF3" s="27">
        <v>0</v>
      </c>
      <c r="AG3" s="27">
        <v>0</v>
      </c>
      <c r="AH3" s="27">
        <v>23369</v>
      </c>
      <c r="AI3" s="27">
        <v>9500</v>
      </c>
      <c r="AJ3" s="27">
        <v>0</v>
      </c>
      <c r="AK3" s="27">
        <v>0</v>
      </c>
      <c r="AL3" s="27">
        <v>0</v>
      </c>
      <c r="AM3" s="27">
        <v>0</v>
      </c>
      <c r="AN3" s="27">
        <v>0</v>
      </c>
      <c r="AO3" s="27">
        <v>37331</v>
      </c>
      <c r="AP3" s="23"/>
    </row>
    <row r="4" spans="1:42" x14ac:dyDescent="0.25">
      <c r="A4" s="27" t="s">
        <v>42</v>
      </c>
      <c r="B4" s="27">
        <v>46780.61</v>
      </c>
      <c r="C4" s="27">
        <v>0</v>
      </c>
      <c r="D4" s="27">
        <v>0</v>
      </c>
      <c r="E4" s="27">
        <v>0</v>
      </c>
      <c r="F4" s="27">
        <v>0</v>
      </c>
      <c r="G4" s="27">
        <v>0</v>
      </c>
      <c r="H4" s="27">
        <v>0</v>
      </c>
      <c r="I4" s="27">
        <v>0</v>
      </c>
      <c r="J4" s="27">
        <v>0</v>
      </c>
      <c r="K4" s="27">
        <v>0</v>
      </c>
      <c r="L4" s="27">
        <v>0</v>
      </c>
      <c r="M4" s="27">
        <v>0</v>
      </c>
      <c r="N4" s="27">
        <v>0</v>
      </c>
      <c r="O4" s="27">
        <v>0</v>
      </c>
      <c r="P4" s="27">
        <v>0</v>
      </c>
      <c r="Q4" s="27">
        <v>0</v>
      </c>
      <c r="R4" s="27">
        <v>0</v>
      </c>
      <c r="S4" s="27">
        <v>0</v>
      </c>
      <c r="T4" s="27">
        <v>0</v>
      </c>
      <c r="U4" s="27">
        <v>438</v>
      </c>
      <c r="V4" s="27">
        <v>528</v>
      </c>
      <c r="W4" s="27">
        <v>706.82</v>
      </c>
      <c r="X4" s="27">
        <v>0</v>
      </c>
      <c r="Y4" s="27">
        <v>2264</v>
      </c>
      <c r="Z4" s="27">
        <v>0</v>
      </c>
      <c r="AA4" s="27">
        <v>0</v>
      </c>
      <c r="AB4" s="27">
        <v>0</v>
      </c>
      <c r="AC4" s="27">
        <v>0</v>
      </c>
      <c r="AD4" s="27">
        <v>0</v>
      </c>
      <c r="AE4" s="27">
        <v>0</v>
      </c>
      <c r="AF4" s="27">
        <v>0</v>
      </c>
      <c r="AG4" s="27">
        <v>0</v>
      </c>
      <c r="AH4" s="27">
        <v>18520</v>
      </c>
      <c r="AI4" s="27">
        <v>9500</v>
      </c>
      <c r="AJ4" s="27">
        <v>6000</v>
      </c>
      <c r="AK4" s="27">
        <v>0</v>
      </c>
      <c r="AL4" s="27">
        <v>0</v>
      </c>
      <c r="AM4" s="27">
        <v>0</v>
      </c>
      <c r="AN4" s="27">
        <v>0</v>
      </c>
      <c r="AO4" s="27">
        <v>37957</v>
      </c>
    </row>
    <row r="5" spans="1:42" x14ac:dyDescent="0.25">
      <c r="A5" s="27" t="s">
        <v>43</v>
      </c>
      <c r="B5" s="27">
        <v>74321.820000000007</v>
      </c>
      <c r="C5" s="27">
        <v>900</v>
      </c>
      <c r="D5" s="27">
        <v>135</v>
      </c>
      <c r="E5" s="27">
        <v>245</v>
      </c>
      <c r="F5" s="27">
        <v>150</v>
      </c>
      <c r="G5" s="27">
        <v>505</v>
      </c>
      <c r="H5" s="27">
        <v>202</v>
      </c>
      <c r="I5" s="27">
        <v>604</v>
      </c>
      <c r="J5" s="27">
        <v>370</v>
      </c>
      <c r="K5" s="27">
        <v>155</v>
      </c>
      <c r="L5" s="27">
        <v>2000</v>
      </c>
      <c r="M5" s="27">
        <v>1130</v>
      </c>
      <c r="N5" s="27">
        <v>570</v>
      </c>
      <c r="O5" s="27">
        <v>555</v>
      </c>
      <c r="P5" s="27">
        <v>430</v>
      </c>
      <c r="Q5" s="27">
        <v>934</v>
      </c>
      <c r="R5" s="27">
        <v>555</v>
      </c>
      <c r="S5" s="27">
        <v>0</v>
      </c>
      <c r="T5" s="27">
        <v>860</v>
      </c>
      <c r="U5" s="27">
        <v>368</v>
      </c>
      <c r="V5" s="27">
        <v>522</v>
      </c>
      <c r="W5" s="27">
        <v>707</v>
      </c>
      <c r="X5" s="27">
        <v>0</v>
      </c>
      <c r="Y5" s="27">
        <v>2051.17</v>
      </c>
      <c r="Z5" s="27">
        <v>0</v>
      </c>
      <c r="AA5" s="27">
        <v>730</v>
      </c>
      <c r="AB5" s="27">
        <v>0</v>
      </c>
      <c r="AC5" s="27">
        <v>2380</v>
      </c>
      <c r="AD5" s="27">
        <v>1000</v>
      </c>
      <c r="AE5" s="27">
        <v>2090</v>
      </c>
      <c r="AF5" s="27">
        <v>960</v>
      </c>
      <c r="AG5" s="27">
        <v>0</v>
      </c>
      <c r="AH5" s="27">
        <v>440</v>
      </c>
      <c r="AI5" s="27">
        <v>9500</v>
      </c>
      <c r="AJ5" s="27">
        <v>3000</v>
      </c>
      <c r="AK5" s="27">
        <v>0</v>
      </c>
      <c r="AL5" s="27">
        <v>0</v>
      </c>
      <c r="AM5" s="27">
        <v>0</v>
      </c>
      <c r="AN5" s="27">
        <v>0</v>
      </c>
      <c r="AO5" s="27">
        <v>34048.17</v>
      </c>
    </row>
    <row r="6" spans="1:42" x14ac:dyDescent="0.25">
      <c r="A6" s="27" t="s">
        <v>44</v>
      </c>
      <c r="B6" s="27">
        <v>1095</v>
      </c>
      <c r="C6" s="27">
        <v>510</v>
      </c>
      <c r="D6" s="27">
        <v>540</v>
      </c>
      <c r="E6" s="27">
        <v>80</v>
      </c>
      <c r="F6" s="27">
        <v>120</v>
      </c>
      <c r="G6" s="27">
        <v>360</v>
      </c>
      <c r="H6" s="27">
        <v>205</v>
      </c>
      <c r="I6" s="27">
        <v>562</v>
      </c>
      <c r="J6" s="27">
        <v>450</v>
      </c>
      <c r="K6" s="27">
        <v>690</v>
      </c>
      <c r="L6" s="27">
        <v>500</v>
      </c>
      <c r="M6" s="27">
        <v>1005</v>
      </c>
      <c r="N6" s="27">
        <v>780</v>
      </c>
      <c r="O6" s="27">
        <v>368</v>
      </c>
      <c r="P6" s="27">
        <v>450</v>
      </c>
      <c r="Q6" s="27">
        <v>3665</v>
      </c>
      <c r="R6" s="27">
        <v>287</v>
      </c>
      <c r="S6" s="27">
        <v>0</v>
      </c>
      <c r="T6" s="27">
        <v>800</v>
      </c>
      <c r="U6" s="27">
        <v>438</v>
      </c>
      <c r="V6" s="27">
        <v>506</v>
      </c>
      <c r="W6" s="27">
        <v>1105.82</v>
      </c>
      <c r="X6" s="27">
        <v>0</v>
      </c>
      <c r="Y6" s="27">
        <v>0</v>
      </c>
      <c r="Z6" s="27">
        <v>0</v>
      </c>
      <c r="AA6" s="27">
        <v>898</v>
      </c>
      <c r="AB6" s="27">
        <v>0</v>
      </c>
      <c r="AC6" s="27">
        <v>495</v>
      </c>
      <c r="AD6" s="27">
        <v>0</v>
      </c>
      <c r="AE6" s="27">
        <v>0</v>
      </c>
      <c r="AF6" s="27">
        <v>915</v>
      </c>
      <c r="AG6" s="27">
        <v>0</v>
      </c>
      <c r="AH6" s="27">
        <v>766</v>
      </c>
      <c r="AI6" s="27">
        <v>9500</v>
      </c>
      <c r="AJ6" s="27">
        <v>0</v>
      </c>
      <c r="AK6" s="27">
        <v>0</v>
      </c>
      <c r="AL6" s="27">
        <v>0</v>
      </c>
      <c r="AM6" s="27">
        <v>0</v>
      </c>
      <c r="AN6" s="27">
        <v>0</v>
      </c>
      <c r="AO6" s="27">
        <v>25995.82</v>
      </c>
    </row>
    <row r="7" spans="1:42" x14ac:dyDescent="0.25">
      <c r="A7" s="27" t="s">
        <v>45</v>
      </c>
      <c r="B7" s="27">
        <v>37416.910000000003</v>
      </c>
      <c r="C7" s="27">
        <v>0</v>
      </c>
      <c r="D7" s="27">
        <v>0</v>
      </c>
      <c r="E7" s="27">
        <v>0</v>
      </c>
      <c r="F7" s="27">
        <v>0</v>
      </c>
      <c r="G7" s="27">
        <v>0</v>
      </c>
      <c r="H7" s="27">
        <v>0</v>
      </c>
      <c r="I7" s="27">
        <v>0</v>
      </c>
      <c r="J7" s="27">
        <v>0</v>
      </c>
      <c r="K7" s="27">
        <v>0</v>
      </c>
      <c r="L7" s="27">
        <v>0</v>
      </c>
      <c r="M7" s="27">
        <v>0</v>
      </c>
      <c r="N7" s="27">
        <v>0</v>
      </c>
      <c r="O7" s="27">
        <v>0</v>
      </c>
      <c r="P7" s="27">
        <v>0</v>
      </c>
      <c r="Q7" s="27">
        <v>0</v>
      </c>
      <c r="R7" s="27">
        <v>0</v>
      </c>
      <c r="S7" s="27">
        <v>0</v>
      </c>
      <c r="T7" s="27">
        <v>0</v>
      </c>
      <c r="U7" s="27">
        <v>219</v>
      </c>
      <c r="V7" s="27">
        <v>692</v>
      </c>
      <c r="W7" s="27">
        <v>707</v>
      </c>
      <c r="X7" s="27">
        <v>0</v>
      </c>
      <c r="Y7" s="27">
        <v>0</v>
      </c>
      <c r="Z7" s="27">
        <v>0</v>
      </c>
      <c r="AA7" s="27">
        <v>0</v>
      </c>
      <c r="AB7" s="27">
        <v>0</v>
      </c>
      <c r="AC7" s="27">
        <v>3100</v>
      </c>
      <c r="AD7" s="27">
        <v>0</v>
      </c>
      <c r="AE7" s="27">
        <v>0</v>
      </c>
      <c r="AF7" s="27">
        <v>0</v>
      </c>
      <c r="AG7" s="27">
        <v>0</v>
      </c>
      <c r="AH7" s="27">
        <v>10944</v>
      </c>
      <c r="AI7" s="27">
        <v>9500</v>
      </c>
      <c r="AJ7" s="27">
        <v>3000</v>
      </c>
      <c r="AK7" s="27">
        <v>0</v>
      </c>
      <c r="AL7" s="27">
        <v>0</v>
      </c>
      <c r="AM7" s="27">
        <v>0</v>
      </c>
      <c r="AN7" s="27">
        <v>0</v>
      </c>
      <c r="AO7" s="27">
        <v>28162</v>
      </c>
    </row>
    <row r="8" spans="1:42" x14ac:dyDescent="0.25">
      <c r="A8" s="27" t="s">
        <v>46</v>
      </c>
      <c r="B8" s="27">
        <v>37750</v>
      </c>
      <c r="C8" s="27">
        <v>560</v>
      </c>
      <c r="D8" s="27">
        <v>198</v>
      </c>
      <c r="E8" s="27">
        <v>156</v>
      </c>
      <c r="F8" s="27">
        <v>112</v>
      </c>
      <c r="G8" s="27">
        <v>438</v>
      </c>
      <c r="H8" s="27">
        <v>220</v>
      </c>
      <c r="I8" s="27">
        <v>907</v>
      </c>
      <c r="J8" s="27">
        <v>360</v>
      </c>
      <c r="K8" s="27">
        <v>660</v>
      </c>
      <c r="L8" s="27">
        <v>2811</v>
      </c>
      <c r="M8" s="27">
        <v>1085</v>
      </c>
      <c r="N8" s="27">
        <v>1171</v>
      </c>
      <c r="O8" s="27">
        <v>443</v>
      </c>
      <c r="P8" s="27">
        <v>690</v>
      </c>
      <c r="Q8" s="27">
        <v>1590</v>
      </c>
      <c r="R8" s="27">
        <v>2595</v>
      </c>
      <c r="S8" s="27">
        <v>0</v>
      </c>
      <c r="T8" s="27">
        <v>650</v>
      </c>
      <c r="U8" s="27">
        <v>438</v>
      </c>
      <c r="V8" s="27">
        <v>577</v>
      </c>
      <c r="W8" s="27">
        <v>706.82</v>
      </c>
      <c r="X8" s="27">
        <v>0</v>
      </c>
      <c r="Y8" s="27">
        <v>2870</v>
      </c>
      <c r="Z8" s="27">
        <v>0</v>
      </c>
      <c r="AA8" s="27">
        <v>1048</v>
      </c>
      <c r="AB8" s="27">
        <v>0</v>
      </c>
      <c r="AC8" s="27">
        <v>1064</v>
      </c>
      <c r="AD8" s="27">
        <v>0</v>
      </c>
      <c r="AE8" s="27">
        <v>500</v>
      </c>
      <c r="AF8" s="27">
        <v>1334</v>
      </c>
      <c r="AG8" s="27">
        <v>0</v>
      </c>
      <c r="AH8" s="27">
        <v>3130</v>
      </c>
      <c r="AI8" s="27">
        <v>9500</v>
      </c>
      <c r="AJ8" s="27">
        <v>0</v>
      </c>
      <c r="AK8" s="27">
        <v>0</v>
      </c>
      <c r="AL8" s="27">
        <v>0</v>
      </c>
      <c r="AM8" s="27">
        <v>0</v>
      </c>
      <c r="AN8" s="27">
        <v>0</v>
      </c>
      <c r="AO8" s="27">
        <v>35813.82</v>
      </c>
    </row>
    <row r="9" spans="1:42" x14ac:dyDescent="0.25">
      <c r="A9" s="27" t="s">
        <v>47</v>
      </c>
      <c r="B9" s="27">
        <v>38111.83</v>
      </c>
      <c r="C9" s="27">
        <v>670</v>
      </c>
      <c r="D9" s="27">
        <v>200</v>
      </c>
      <c r="E9" s="27">
        <v>205</v>
      </c>
      <c r="F9" s="27">
        <v>220</v>
      </c>
      <c r="G9" s="27">
        <v>620</v>
      </c>
      <c r="H9" s="27">
        <v>285</v>
      </c>
      <c r="I9" s="27">
        <v>925</v>
      </c>
      <c r="J9" s="27">
        <v>300</v>
      </c>
      <c r="K9" s="27">
        <v>725</v>
      </c>
      <c r="L9" s="27">
        <v>810</v>
      </c>
      <c r="M9" s="27">
        <v>966</v>
      </c>
      <c r="N9" s="27">
        <v>685</v>
      </c>
      <c r="O9" s="27">
        <v>526</v>
      </c>
      <c r="P9" s="27">
        <v>910</v>
      </c>
      <c r="Q9" s="27">
        <v>2222</v>
      </c>
      <c r="R9" s="27">
        <v>950</v>
      </c>
      <c r="S9" s="27">
        <v>0</v>
      </c>
      <c r="T9" s="27">
        <v>650</v>
      </c>
      <c r="U9" s="27">
        <v>657</v>
      </c>
      <c r="V9" s="27">
        <v>589</v>
      </c>
      <c r="W9" s="27">
        <v>706.82</v>
      </c>
      <c r="X9" s="27">
        <v>0</v>
      </c>
      <c r="Y9" s="27" t="s">
        <v>48</v>
      </c>
      <c r="Z9" s="27">
        <v>0</v>
      </c>
      <c r="AA9" s="27">
        <v>1088</v>
      </c>
      <c r="AB9" s="27">
        <v>0</v>
      </c>
      <c r="AC9" s="27">
        <v>1030</v>
      </c>
      <c r="AD9" s="27">
        <v>0</v>
      </c>
      <c r="AE9" s="27">
        <v>0</v>
      </c>
      <c r="AF9" s="27">
        <v>1295</v>
      </c>
      <c r="AG9" s="27">
        <v>0</v>
      </c>
      <c r="AH9" s="27">
        <v>948</v>
      </c>
      <c r="AI9" s="27">
        <v>9500</v>
      </c>
      <c r="AJ9" s="27">
        <v>0</v>
      </c>
      <c r="AK9" s="27">
        <v>0</v>
      </c>
      <c r="AL9" s="27">
        <v>0</v>
      </c>
      <c r="AM9" s="27">
        <v>0</v>
      </c>
      <c r="AN9" s="27">
        <v>0</v>
      </c>
      <c r="AO9" s="27">
        <v>27682.82</v>
      </c>
    </row>
    <row r="10" spans="1:42" x14ac:dyDescent="0.25">
      <c r="A10" s="27" t="s">
        <v>49</v>
      </c>
      <c r="B10" s="27">
        <v>83091.839999999997</v>
      </c>
      <c r="C10" s="27">
        <v>310</v>
      </c>
      <c r="D10" s="27">
        <v>250</v>
      </c>
      <c r="E10" s="27">
        <v>117</v>
      </c>
      <c r="F10" s="27">
        <v>204</v>
      </c>
      <c r="G10" s="27">
        <v>548</v>
      </c>
      <c r="H10" s="27">
        <v>310</v>
      </c>
      <c r="I10" s="27">
        <v>947</v>
      </c>
      <c r="J10" s="27">
        <v>300</v>
      </c>
      <c r="K10" s="27">
        <v>320</v>
      </c>
      <c r="L10" s="27">
        <v>760</v>
      </c>
      <c r="M10" s="27">
        <v>1130</v>
      </c>
      <c r="N10" s="27">
        <v>150</v>
      </c>
      <c r="O10" s="27">
        <v>897</v>
      </c>
      <c r="P10" s="27">
        <v>2325</v>
      </c>
      <c r="Q10" s="27">
        <v>3908</v>
      </c>
      <c r="R10" s="27">
        <v>1675</v>
      </c>
      <c r="S10" s="27">
        <v>0</v>
      </c>
      <c r="T10" s="27">
        <v>650</v>
      </c>
      <c r="U10" s="27">
        <v>438</v>
      </c>
      <c r="V10" s="27">
        <v>644</v>
      </c>
      <c r="W10" s="27">
        <v>706.82</v>
      </c>
      <c r="X10" s="27">
        <v>0</v>
      </c>
      <c r="Y10" s="27">
        <v>530</v>
      </c>
      <c r="Z10" s="27">
        <v>0</v>
      </c>
      <c r="AA10" s="27">
        <v>3429</v>
      </c>
      <c r="AB10" s="27">
        <v>0</v>
      </c>
      <c r="AC10" s="27">
        <v>45730.22</v>
      </c>
      <c r="AD10" s="27">
        <v>0</v>
      </c>
      <c r="AE10" s="27">
        <v>0</v>
      </c>
      <c r="AF10" s="27">
        <v>835</v>
      </c>
      <c r="AG10" s="27">
        <v>0</v>
      </c>
      <c r="AH10" s="27">
        <v>950</v>
      </c>
      <c r="AI10" s="27">
        <v>9500</v>
      </c>
      <c r="AJ10" s="27">
        <v>0</v>
      </c>
      <c r="AK10" s="27">
        <v>0</v>
      </c>
      <c r="AL10" s="27">
        <v>0</v>
      </c>
      <c r="AM10" s="27">
        <v>0</v>
      </c>
      <c r="AN10" s="27">
        <v>0</v>
      </c>
      <c r="AO10" s="27">
        <v>77564.039999999994</v>
      </c>
    </row>
    <row r="11" spans="1:42" x14ac:dyDescent="0.25">
      <c r="A11" s="27" t="s">
        <v>50</v>
      </c>
      <c r="B11" s="27">
        <v>38407.01</v>
      </c>
      <c r="C11" s="27">
        <v>535</v>
      </c>
      <c r="D11" s="27">
        <v>15</v>
      </c>
      <c r="E11" s="27">
        <v>200</v>
      </c>
      <c r="F11" s="27">
        <v>0</v>
      </c>
      <c r="G11" s="27">
        <v>547</v>
      </c>
      <c r="H11" s="27">
        <v>335</v>
      </c>
      <c r="I11" s="27">
        <v>952</v>
      </c>
      <c r="J11" s="27">
        <v>360</v>
      </c>
      <c r="K11" s="27">
        <v>155</v>
      </c>
      <c r="L11" s="27">
        <v>1330</v>
      </c>
      <c r="M11" s="27">
        <v>1120</v>
      </c>
      <c r="N11" s="27">
        <v>380</v>
      </c>
      <c r="O11" s="27">
        <v>210</v>
      </c>
      <c r="P11" s="27">
        <v>930</v>
      </c>
      <c r="Q11" s="27">
        <v>534</v>
      </c>
      <c r="R11" s="27">
        <v>1255</v>
      </c>
      <c r="S11" s="27">
        <v>0</v>
      </c>
      <c r="T11" s="27">
        <v>650</v>
      </c>
      <c r="U11" s="27">
        <v>100</v>
      </c>
      <c r="V11" s="27">
        <v>636</v>
      </c>
      <c r="W11" s="27">
        <v>3306.82</v>
      </c>
      <c r="X11" s="27">
        <v>0</v>
      </c>
      <c r="Y11" s="27">
        <v>580</v>
      </c>
      <c r="Z11" s="27">
        <v>0</v>
      </c>
      <c r="AA11" s="27">
        <v>4987.8</v>
      </c>
      <c r="AB11" s="27">
        <v>0</v>
      </c>
      <c r="AC11" s="27">
        <v>1600</v>
      </c>
      <c r="AD11" s="27">
        <v>0</v>
      </c>
      <c r="AE11" s="27">
        <v>0</v>
      </c>
      <c r="AF11" s="27">
        <v>1660</v>
      </c>
      <c r="AG11" s="27">
        <v>0</v>
      </c>
      <c r="AH11" s="27">
        <v>1828</v>
      </c>
      <c r="AI11" s="27">
        <v>9500</v>
      </c>
      <c r="AJ11" s="27">
        <v>0</v>
      </c>
      <c r="AK11" s="27">
        <v>0</v>
      </c>
      <c r="AL11" s="27">
        <v>0</v>
      </c>
      <c r="AM11" s="27">
        <v>0</v>
      </c>
      <c r="AN11" s="27">
        <v>0</v>
      </c>
      <c r="AO11" s="27">
        <v>33706.620000000003</v>
      </c>
    </row>
    <row r="12" spans="1:42" x14ac:dyDescent="0.25">
      <c r="A12" s="27" t="s">
        <v>51</v>
      </c>
      <c r="B12" s="27">
        <v>152703.84</v>
      </c>
      <c r="C12" s="27">
        <v>470</v>
      </c>
      <c r="D12" s="27">
        <v>0</v>
      </c>
      <c r="E12" s="27">
        <v>120</v>
      </c>
      <c r="F12" s="27">
        <v>0</v>
      </c>
      <c r="G12" s="27">
        <v>372</v>
      </c>
      <c r="H12" s="27">
        <v>281</v>
      </c>
      <c r="I12" s="27">
        <v>1152</v>
      </c>
      <c r="J12" s="27">
        <v>330</v>
      </c>
      <c r="K12" s="27">
        <v>220</v>
      </c>
      <c r="L12" s="27">
        <v>2748</v>
      </c>
      <c r="M12" s="27">
        <v>1075</v>
      </c>
      <c r="N12" s="27">
        <v>738</v>
      </c>
      <c r="O12" s="27">
        <v>275</v>
      </c>
      <c r="P12" s="27">
        <v>810</v>
      </c>
      <c r="Q12" s="27">
        <v>1161</v>
      </c>
      <c r="R12" s="27">
        <v>268</v>
      </c>
      <c r="S12" s="27">
        <v>0</v>
      </c>
      <c r="T12" s="27">
        <v>650</v>
      </c>
      <c r="U12" s="27">
        <v>98</v>
      </c>
      <c r="V12" s="27">
        <v>663</v>
      </c>
      <c r="W12" s="27">
        <v>3064.46</v>
      </c>
      <c r="X12" s="27">
        <v>0</v>
      </c>
      <c r="Y12" s="27" t="s">
        <v>48</v>
      </c>
      <c r="Z12" s="27">
        <v>0</v>
      </c>
      <c r="AA12" s="27">
        <v>9470.2999999999993</v>
      </c>
      <c r="AB12" s="27">
        <v>0</v>
      </c>
      <c r="AC12" s="27">
        <v>3724</v>
      </c>
      <c r="AD12" s="27">
        <v>0</v>
      </c>
      <c r="AE12" s="27">
        <v>2000</v>
      </c>
      <c r="AF12" s="27">
        <v>2820</v>
      </c>
      <c r="AG12" s="27">
        <v>0</v>
      </c>
      <c r="AH12" s="27">
        <v>1420</v>
      </c>
      <c r="AI12" s="27">
        <v>9500</v>
      </c>
      <c r="AJ12" s="27">
        <v>8380</v>
      </c>
      <c r="AK12" s="27">
        <v>0</v>
      </c>
      <c r="AL12" s="27">
        <v>0</v>
      </c>
      <c r="AM12" s="27">
        <v>0</v>
      </c>
      <c r="AN12" s="27">
        <v>0</v>
      </c>
      <c r="AO12" s="27">
        <v>51809.760000000002</v>
      </c>
    </row>
    <row r="13" spans="1:42" x14ac:dyDescent="0.25">
      <c r="A13" s="27" t="s">
        <v>52</v>
      </c>
      <c r="B13" s="27">
        <v>50071.4</v>
      </c>
      <c r="C13" s="27">
        <v>451</v>
      </c>
      <c r="D13" s="27">
        <v>150</v>
      </c>
      <c r="E13" s="27">
        <v>154</v>
      </c>
      <c r="F13" s="27">
        <v>170</v>
      </c>
      <c r="G13" s="27">
        <v>440</v>
      </c>
      <c r="H13" s="27">
        <v>284</v>
      </c>
      <c r="I13" s="27">
        <v>1157</v>
      </c>
      <c r="J13" s="27">
        <v>360</v>
      </c>
      <c r="K13" s="27">
        <v>325</v>
      </c>
      <c r="L13" s="27">
        <v>2278</v>
      </c>
      <c r="M13" s="27">
        <v>1343</v>
      </c>
      <c r="N13" s="27">
        <v>1250</v>
      </c>
      <c r="O13" s="27">
        <v>1105</v>
      </c>
      <c r="P13" s="27">
        <v>620</v>
      </c>
      <c r="Q13" s="27">
        <v>1769</v>
      </c>
      <c r="R13" s="27">
        <v>1755</v>
      </c>
      <c r="S13" s="27">
        <v>0</v>
      </c>
      <c r="T13" s="27">
        <v>650</v>
      </c>
      <c r="U13" s="27">
        <v>49</v>
      </c>
      <c r="V13" s="27">
        <v>798</v>
      </c>
      <c r="W13" s="27">
        <v>2153.64</v>
      </c>
      <c r="X13" s="27">
        <v>0</v>
      </c>
      <c r="Y13" s="27">
        <v>530</v>
      </c>
      <c r="Z13" s="27">
        <v>0</v>
      </c>
      <c r="AA13" s="27">
        <v>4816.92</v>
      </c>
      <c r="AB13" s="27">
        <v>0</v>
      </c>
      <c r="AC13" s="27">
        <v>3560</v>
      </c>
      <c r="AD13" s="27">
        <v>0</v>
      </c>
      <c r="AE13" s="27">
        <v>3000</v>
      </c>
      <c r="AF13" s="27">
        <v>4040</v>
      </c>
      <c r="AG13" s="27">
        <v>0</v>
      </c>
      <c r="AH13" s="27">
        <v>5403</v>
      </c>
      <c r="AI13" s="27">
        <v>9500</v>
      </c>
      <c r="AJ13" s="27">
        <v>5050</v>
      </c>
      <c r="AK13" s="27">
        <v>0</v>
      </c>
      <c r="AL13" s="27">
        <v>0</v>
      </c>
      <c r="AM13" s="27">
        <v>0</v>
      </c>
      <c r="AN13" s="27">
        <v>0</v>
      </c>
      <c r="AO13" s="27">
        <v>53161.56</v>
      </c>
    </row>
    <row r="14" spans="1:42" x14ac:dyDescent="0.25">
      <c r="A14" s="27" t="s">
        <v>53</v>
      </c>
      <c r="B14" s="27">
        <v>50000</v>
      </c>
      <c r="C14" s="27">
        <v>555</v>
      </c>
      <c r="D14" s="27">
        <v>153</v>
      </c>
      <c r="E14" s="27">
        <v>118</v>
      </c>
      <c r="F14" s="27">
        <v>60</v>
      </c>
      <c r="G14" s="27">
        <v>473</v>
      </c>
      <c r="H14" s="27">
        <v>237</v>
      </c>
      <c r="I14" s="27">
        <v>1156</v>
      </c>
      <c r="J14" s="27">
        <v>240</v>
      </c>
      <c r="K14" s="27">
        <v>645</v>
      </c>
      <c r="L14" s="27">
        <v>1066</v>
      </c>
      <c r="M14" s="27">
        <v>959</v>
      </c>
      <c r="N14" s="27">
        <v>319</v>
      </c>
      <c r="O14" s="27">
        <v>515</v>
      </c>
      <c r="P14" s="27">
        <v>600</v>
      </c>
      <c r="Q14" s="27">
        <v>665</v>
      </c>
      <c r="R14" s="27">
        <v>1544</v>
      </c>
      <c r="S14" s="27">
        <v>0</v>
      </c>
      <c r="T14" s="27">
        <v>700</v>
      </c>
      <c r="U14" s="27">
        <v>517</v>
      </c>
      <c r="V14" s="27">
        <v>661</v>
      </c>
      <c r="W14" s="27">
        <v>1903.34</v>
      </c>
      <c r="X14" s="27">
        <v>0</v>
      </c>
      <c r="Y14" s="27" t="s">
        <v>48</v>
      </c>
      <c r="Z14" s="27">
        <v>0</v>
      </c>
      <c r="AA14" s="27">
        <v>2430</v>
      </c>
      <c r="AB14" s="27">
        <v>0</v>
      </c>
      <c r="AC14" s="27">
        <v>2180</v>
      </c>
      <c r="AD14" s="27">
        <v>0</v>
      </c>
      <c r="AE14" s="27">
        <v>2000</v>
      </c>
      <c r="AF14" s="27">
        <v>550</v>
      </c>
      <c r="AG14" s="27">
        <v>5000</v>
      </c>
      <c r="AH14" s="27">
        <v>305</v>
      </c>
      <c r="AI14" s="27">
        <v>9500</v>
      </c>
      <c r="AJ14" s="27">
        <v>0</v>
      </c>
      <c r="AK14" s="27">
        <v>0</v>
      </c>
      <c r="AL14" s="27">
        <v>0</v>
      </c>
      <c r="AM14" s="27">
        <v>0</v>
      </c>
      <c r="AN14" s="27">
        <v>0</v>
      </c>
      <c r="AO14" s="27">
        <v>35051.339999999997</v>
      </c>
    </row>
    <row r="15" spans="1:42" x14ac:dyDescent="0.25">
      <c r="A15" s="26" t="s">
        <v>124</v>
      </c>
      <c r="B15" s="27">
        <f t="shared" ref="B15:AO15" si="0">SUM(B3:B14)</f>
        <v>662372.53</v>
      </c>
      <c r="C15" s="27">
        <f t="shared" si="0"/>
        <v>4961</v>
      </c>
      <c r="D15" s="27">
        <f t="shared" si="0"/>
        <v>1641</v>
      </c>
      <c r="E15" s="27">
        <f t="shared" si="0"/>
        <v>1395</v>
      </c>
      <c r="F15" s="27">
        <f t="shared" si="0"/>
        <v>1036</v>
      </c>
      <c r="G15" s="27">
        <f t="shared" si="0"/>
        <v>4303</v>
      </c>
      <c r="H15" s="27">
        <f t="shared" si="0"/>
        <v>2359</v>
      </c>
      <c r="I15" s="27">
        <f t="shared" si="0"/>
        <v>8362</v>
      </c>
      <c r="J15" s="27">
        <f t="shared" si="0"/>
        <v>3070</v>
      </c>
      <c r="K15" s="27">
        <f t="shared" si="0"/>
        <v>3895</v>
      </c>
      <c r="L15" s="27">
        <f t="shared" si="0"/>
        <v>14303</v>
      </c>
      <c r="M15" s="27">
        <f t="shared" si="0"/>
        <v>9813</v>
      </c>
      <c r="N15" s="27">
        <f t="shared" si="0"/>
        <v>6043</v>
      </c>
      <c r="O15" s="27">
        <f t="shared" si="0"/>
        <v>4894</v>
      </c>
      <c r="P15" s="27">
        <f t="shared" si="0"/>
        <v>7765</v>
      </c>
      <c r="Q15" s="27">
        <f t="shared" si="0"/>
        <v>16448</v>
      </c>
      <c r="R15" s="27">
        <f t="shared" si="0"/>
        <v>10884</v>
      </c>
      <c r="S15" s="27">
        <f t="shared" si="0"/>
        <v>0</v>
      </c>
      <c r="T15" s="27">
        <f t="shared" si="0"/>
        <v>6260</v>
      </c>
      <c r="U15" s="27">
        <f t="shared" si="0"/>
        <v>4198</v>
      </c>
      <c r="V15" s="27">
        <f t="shared" si="0"/>
        <v>7338</v>
      </c>
      <c r="W15" s="27">
        <f t="shared" si="0"/>
        <v>16482.18</v>
      </c>
      <c r="X15" s="27">
        <f t="shared" si="0"/>
        <v>0</v>
      </c>
      <c r="Y15" s="27">
        <f t="shared" si="0"/>
        <v>8825.17</v>
      </c>
      <c r="Z15" s="27">
        <f t="shared" si="0"/>
        <v>0</v>
      </c>
      <c r="AA15" s="27">
        <f t="shared" si="0"/>
        <v>28898.019999999997</v>
      </c>
      <c r="AB15" s="27">
        <f t="shared" si="0"/>
        <v>0</v>
      </c>
      <c r="AC15" s="27">
        <f t="shared" si="0"/>
        <v>67658.22</v>
      </c>
      <c r="AD15" s="27">
        <f t="shared" si="0"/>
        <v>1000</v>
      </c>
      <c r="AE15" s="27">
        <f t="shared" si="0"/>
        <v>9590</v>
      </c>
      <c r="AF15" s="27">
        <f t="shared" si="0"/>
        <v>14409</v>
      </c>
      <c r="AG15" s="27">
        <f t="shared" si="0"/>
        <v>5000</v>
      </c>
      <c r="AH15" s="27">
        <f t="shared" si="0"/>
        <v>68023</v>
      </c>
      <c r="AI15" s="27">
        <f t="shared" si="0"/>
        <v>114000</v>
      </c>
      <c r="AJ15" s="27">
        <f t="shared" si="0"/>
        <v>25430</v>
      </c>
      <c r="AK15" s="27">
        <f t="shared" si="0"/>
        <v>0</v>
      </c>
      <c r="AL15" s="27">
        <f t="shared" si="0"/>
        <v>0</v>
      </c>
      <c r="AM15" s="27">
        <f t="shared" si="0"/>
        <v>0</v>
      </c>
      <c r="AN15" s="27">
        <f t="shared" si="0"/>
        <v>0</v>
      </c>
      <c r="AO15" s="27">
        <f t="shared" si="0"/>
        <v>478283.94999999995</v>
      </c>
    </row>
    <row r="18" spans="1:41" x14ac:dyDescent="0.25">
      <c r="E18" t="s">
        <v>142</v>
      </c>
    </row>
    <row r="20" spans="1:41" x14ac:dyDescent="0.25">
      <c r="A20" s="26" t="s">
        <v>0</v>
      </c>
      <c r="B20" s="27" t="s">
        <v>133</v>
      </c>
      <c r="C20" s="27" t="s">
        <v>2</v>
      </c>
      <c r="D20" s="27" t="s">
        <v>3</v>
      </c>
      <c r="E20" s="27" t="s">
        <v>4</v>
      </c>
      <c r="F20" s="27" t="s">
        <v>5</v>
      </c>
      <c r="G20" s="27" t="s">
        <v>6</v>
      </c>
      <c r="H20" s="27" t="s">
        <v>7</v>
      </c>
      <c r="I20" s="27" t="s">
        <v>8</v>
      </c>
      <c r="J20" s="27" t="s">
        <v>9</v>
      </c>
      <c r="K20" s="27" t="s">
        <v>10</v>
      </c>
      <c r="L20" s="27" t="s">
        <v>11</v>
      </c>
      <c r="M20" s="27" t="s">
        <v>12</v>
      </c>
      <c r="N20" s="27" t="s">
        <v>13</v>
      </c>
      <c r="O20" s="27" t="s">
        <v>14</v>
      </c>
      <c r="P20" s="27" t="s">
        <v>15</v>
      </c>
      <c r="Q20" s="27" t="s">
        <v>16</v>
      </c>
      <c r="R20" s="27" t="s">
        <v>17</v>
      </c>
      <c r="S20" s="27" t="s">
        <v>18</v>
      </c>
      <c r="T20" s="27" t="s">
        <v>19</v>
      </c>
      <c r="U20" s="27" t="s">
        <v>20</v>
      </c>
      <c r="V20" s="27" t="s">
        <v>21</v>
      </c>
      <c r="W20" s="27" t="s">
        <v>22</v>
      </c>
      <c r="X20" s="27" t="s">
        <v>23</v>
      </c>
      <c r="Y20" s="27" t="s">
        <v>24</v>
      </c>
      <c r="Z20" s="27" t="s">
        <v>25</v>
      </c>
      <c r="AA20" s="27" t="s">
        <v>26</v>
      </c>
      <c r="AB20" s="27" t="s">
        <v>27</v>
      </c>
      <c r="AC20" s="27" t="s">
        <v>28</v>
      </c>
      <c r="AD20" s="27" t="s">
        <v>29</v>
      </c>
      <c r="AE20" s="27" t="s">
        <v>30</v>
      </c>
      <c r="AF20" s="27" t="s">
        <v>31</v>
      </c>
      <c r="AG20" s="27" t="s">
        <v>32</v>
      </c>
      <c r="AH20" s="27" t="s">
        <v>33</v>
      </c>
      <c r="AI20" s="27" t="s">
        <v>34</v>
      </c>
      <c r="AJ20" s="27" t="s">
        <v>35</v>
      </c>
      <c r="AK20" s="27" t="s">
        <v>36</v>
      </c>
      <c r="AL20" s="27" t="s">
        <v>37</v>
      </c>
      <c r="AM20" s="27" t="s">
        <v>38</v>
      </c>
      <c r="AN20" s="27" t="s">
        <v>39</v>
      </c>
      <c r="AO20" s="27" t="s">
        <v>40</v>
      </c>
    </row>
    <row r="21" spans="1:41" x14ac:dyDescent="0.25">
      <c r="A21" s="26" t="s">
        <v>54</v>
      </c>
      <c r="B21" s="27">
        <v>100000</v>
      </c>
      <c r="C21" s="27">
        <v>626</v>
      </c>
      <c r="D21" s="27">
        <v>105</v>
      </c>
      <c r="E21" s="27">
        <v>157</v>
      </c>
      <c r="F21" s="27">
        <v>118</v>
      </c>
      <c r="G21" s="27">
        <v>532</v>
      </c>
      <c r="H21" s="27">
        <v>235</v>
      </c>
      <c r="I21" s="27">
        <v>1102</v>
      </c>
      <c r="J21" s="27">
        <v>390</v>
      </c>
      <c r="K21" s="27">
        <v>820</v>
      </c>
      <c r="L21" s="27">
        <v>4121</v>
      </c>
      <c r="M21" s="27">
        <v>789</v>
      </c>
      <c r="N21" s="27">
        <v>563</v>
      </c>
      <c r="O21" s="27">
        <v>2138</v>
      </c>
      <c r="P21" s="27">
        <v>660</v>
      </c>
      <c r="Q21" s="27">
        <v>1936</v>
      </c>
      <c r="R21" s="27">
        <v>866</v>
      </c>
      <c r="S21" s="27">
        <v>8039</v>
      </c>
      <c r="T21" s="27">
        <v>750</v>
      </c>
      <c r="U21" s="27">
        <v>487</v>
      </c>
      <c r="V21" s="27">
        <v>702</v>
      </c>
      <c r="W21" s="27">
        <v>1935.64</v>
      </c>
      <c r="X21" s="27">
        <v>0</v>
      </c>
      <c r="Y21" s="27">
        <v>3557.34</v>
      </c>
      <c r="Z21" s="27">
        <v>0</v>
      </c>
      <c r="AA21" s="27">
        <v>3830</v>
      </c>
      <c r="AB21" s="27">
        <v>99540</v>
      </c>
      <c r="AC21" s="27">
        <v>5155.38</v>
      </c>
      <c r="AD21" s="27">
        <v>1150</v>
      </c>
      <c r="AE21" s="27">
        <v>2000</v>
      </c>
      <c r="AF21" s="27">
        <v>502</v>
      </c>
      <c r="AG21" s="27">
        <v>3000</v>
      </c>
      <c r="AH21" s="27">
        <v>611</v>
      </c>
      <c r="AI21" s="27">
        <v>9500</v>
      </c>
      <c r="AJ21" s="27">
        <v>5000</v>
      </c>
      <c r="AK21" s="27">
        <v>450</v>
      </c>
      <c r="AL21" s="27">
        <v>0</v>
      </c>
      <c r="AM21" s="27">
        <v>0</v>
      </c>
      <c r="AN21" s="27">
        <v>0</v>
      </c>
      <c r="AO21" s="27">
        <v>103525.22</v>
      </c>
    </row>
    <row r="22" spans="1:41" x14ac:dyDescent="0.25">
      <c r="A22" s="26" t="s">
        <v>55</v>
      </c>
      <c r="B22" s="27">
        <v>60198</v>
      </c>
      <c r="C22" s="27">
        <v>591</v>
      </c>
      <c r="D22" s="27">
        <v>220</v>
      </c>
      <c r="E22" s="27">
        <v>118</v>
      </c>
      <c r="F22" s="27">
        <v>182</v>
      </c>
      <c r="G22" s="27">
        <v>410</v>
      </c>
      <c r="H22" s="27">
        <v>447</v>
      </c>
      <c r="I22" s="27">
        <v>1080</v>
      </c>
      <c r="J22" s="27">
        <v>300</v>
      </c>
      <c r="K22" s="27">
        <v>330</v>
      </c>
      <c r="L22" s="27">
        <v>4458</v>
      </c>
      <c r="M22" s="27">
        <v>1068</v>
      </c>
      <c r="N22" s="27">
        <v>488</v>
      </c>
      <c r="O22" s="27">
        <v>875</v>
      </c>
      <c r="P22" s="27">
        <v>2265</v>
      </c>
      <c r="Q22" s="27">
        <v>914</v>
      </c>
      <c r="R22" s="27">
        <v>2178</v>
      </c>
      <c r="S22" s="27">
        <v>0</v>
      </c>
      <c r="T22" s="27">
        <v>0</v>
      </c>
      <c r="U22" s="27">
        <v>488</v>
      </c>
      <c r="V22" s="27">
        <v>702</v>
      </c>
      <c r="W22" s="27">
        <v>1112.82</v>
      </c>
      <c r="X22" s="27">
        <v>0</v>
      </c>
      <c r="Y22" s="27">
        <v>620</v>
      </c>
      <c r="Z22" s="27">
        <v>36897</v>
      </c>
      <c r="AA22" s="27">
        <v>5032</v>
      </c>
      <c r="AB22" s="27">
        <v>200</v>
      </c>
      <c r="AC22" s="27">
        <v>15113</v>
      </c>
      <c r="AD22" s="27">
        <v>6750</v>
      </c>
      <c r="AE22" s="27">
        <v>2000</v>
      </c>
      <c r="AF22" s="27">
        <v>1300</v>
      </c>
      <c r="AG22" s="27">
        <v>0</v>
      </c>
      <c r="AH22" s="27">
        <v>2336.4</v>
      </c>
      <c r="AI22" s="27">
        <v>9500</v>
      </c>
      <c r="AJ22" s="27">
        <v>5000</v>
      </c>
      <c r="AK22" s="27">
        <v>550</v>
      </c>
      <c r="AL22" s="27">
        <v>0</v>
      </c>
      <c r="AM22" s="27">
        <v>0</v>
      </c>
      <c r="AN22" s="27">
        <v>0</v>
      </c>
      <c r="AO22" s="27">
        <v>83522.42</v>
      </c>
    </row>
    <row r="23" spans="1:41" x14ac:dyDescent="0.25">
      <c r="A23" s="26" t="s">
        <v>56</v>
      </c>
      <c r="B23" s="27">
        <v>110329</v>
      </c>
      <c r="C23" s="27">
        <v>748</v>
      </c>
      <c r="D23" s="27">
        <v>336</v>
      </c>
      <c r="E23" s="27">
        <v>196</v>
      </c>
      <c r="F23" s="27">
        <v>170</v>
      </c>
      <c r="G23" s="27">
        <v>545</v>
      </c>
      <c r="H23" s="27">
        <v>260</v>
      </c>
      <c r="I23" s="27">
        <v>1275</v>
      </c>
      <c r="J23" s="27">
        <v>720</v>
      </c>
      <c r="K23" s="27">
        <v>690</v>
      </c>
      <c r="L23" s="27">
        <v>2252</v>
      </c>
      <c r="M23" s="27">
        <v>1268</v>
      </c>
      <c r="N23" s="27">
        <v>1059</v>
      </c>
      <c r="O23" s="27">
        <v>496</v>
      </c>
      <c r="P23" s="27">
        <v>680</v>
      </c>
      <c r="Q23" s="27">
        <v>820</v>
      </c>
      <c r="R23" s="27">
        <v>1648</v>
      </c>
      <c r="S23" s="27">
        <v>7210</v>
      </c>
      <c r="T23" s="27">
        <v>870</v>
      </c>
      <c r="U23" s="27">
        <v>268</v>
      </c>
      <c r="V23" s="27">
        <v>648</v>
      </c>
      <c r="W23" s="27">
        <v>2357.64</v>
      </c>
      <c r="X23" s="27">
        <v>0</v>
      </c>
      <c r="Y23" s="27">
        <v>1030</v>
      </c>
      <c r="Z23" s="27" t="s">
        <v>48</v>
      </c>
      <c r="AA23" s="27">
        <v>6101</v>
      </c>
      <c r="AB23" s="27">
        <v>500</v>
      </c>
      <c r="AC23" s="27">
        <v>3934</v>
      </c>
      <c r="AD23" s="27">
        <v>2000</v>
      </c>
      <c r="AE23" s="27">
        <v>4400.33</v>
      </c>
      <c r="AF23" s="27">
        <v>480</v>
      </c>
      <c r="AG23" s="27">
        <v>0</v>
      </c>
      <c r="AH23" s="27">
        <v>16060.7</v>
      </c>
      <c r="AI23" s="27">
        <v>9500</v>
      </c>
      <c r="AJ23" s="27">
        <v>5000</v>
      </c>
      <c r="AK23" s="27">
        <v>0</v>
      </c>
      <c r="AL23" s="27">
        <v>0</v>
      </c>
      <c r="AM23" s="27">
        <v>0</v>
      </c>
      <c r="AN23" s="27">
        <v>0</v>
      </c>
      <c r="AO23" s="27">
        <v>48819.82</v>
      </c>
    </row>
    <row r="24" spans="1:41" x14ac:dyDescent="0.25">
      <c r="A24" s="26" t="s">
        <v>57</v>
      </c>
      <c r="B24" s="27">
        <v>60000</v>
      </c>
      <c r="C24" s="27">
        <v>674</v>
      </c>
      <c r="D24" s="27">
        <v>0</v>
      </c>
      <c r="E24" s="27">
        <v>185</v>
      </c>
      <c r="F24" s="27">
        <v>231</v>
      </c>
      <c r="G24" s="27">
        <v>921</v>
      </c>
      <c r="H24" s="27">
        <v>280</v>
      </c>
      <c r="I24" s="27">
        <v>1095</v>
      </c>
      <c r="J24" s="27">
        <v>900</v>
      </c>
      <c r="K24" s="27">
        <v>330</v>
      </c>
      <c r="L24" s="27">
        <v>1858</v>
      </c>
      <c r="M24" s="27">
        <v>802</v>
      </c>
      <c r="N24" s="27">
        <v>1288</v>
      </c>
      <c r="O24" s="27">
        <v>707</v>
      </c>
      <c r="P24" s="27">
        <v>745</v>
      </c>
      <c r="Q24" s="27">
        <v>1969</v>
      </c>
      <c r="R24" s="27">
        <v>580</v>
      </c>
      <c r="S24" s="27">
        <v>0</v>
      </c>
      <c r="T24" s="27">
        <v>1720</v>
      </c>
      <c r="U24" s="27">
        <v>268</v>
      </c>
      <c r="V24" s="27">
        <v>968</v>
      </c>
      <c r="W24" s="27">
        <v>1178.82</v>
      </c>
      <c r="X24" s="27">
        <v>0</v>
      </c>
      <c r="Y24" s="27">
        <v>540</v>
      </c>
      <c r="Z24" s="27">
        <v>100</v>
      </c>
      <c r="AA24" s="27">
        <v>2490</v>
      </c>
      <c r="AB24" s="27">
        <v>0</v>
      </c>
      <c r="AC24" s="27">
        <v>4578</v>
      </c>
      <c r="AD24" s="27">
        <v>2000</v>
      </c>
      <c r="AE24" s="27">
        <v>2000</v>
      </c>
      <c r="AF24" s="27">
        <v>2679</v>
      </c>
      <c r="AG24" s="27">
        <v>0</v>
      </c>
      <c r="AH24" s="27">
        <v>2933</v>
      </c>
      <c r="AI24" s="27">
        <v>9500</v>
      </c>
      <c r="AJ24" s="27">
        <v>5000</v>
      </c>
      <c r="AK24" s="27">
        <v>300</v>
      </c>
      <c r="AL24" s="27">
        <v>0</v>
      </c>
      <c r="AM24" s="27">
        <v>0</v>
      </c>
      <c r="AN24" s="27">
        <v>0</v>
      </c>
      <c r="AO24" s="27">
        <v>64608.82</v>
      </c>
    </row>
    <row r="25" spans="1:41" x14ac:dyDescent="0.25">
      <c r="A25" s="26" t="s">
        <v>58</v>
      </c>
      <c r="B25" s="27">
        <v>80320</v>
      </c>
      <c r="C25" s="27">
        <v>517</v>
      </c>
      <c r="D25" s="27">
        <v>405</v>
      </c>
      <c r="E25" s="27">
        <v>223</v>
      </c>
      <c r="F25" s="27">
        <v>175</v>
      </c>
      <c r="G25" s="27">
        <v>832</v>
      </c>
      <c r="H25" s="27">
        <v>240</v>
      </c>
      <c r="I25" s="27">
        <v>1220</v>
      </c>
      <c r="J25" s="27">
        <v>630</v>
      </c>
      <c r="K25" s="27">
        <v>310</v>
      </c>
      <c r="L25" s="27">
        <v>832</v>
      </c>
      <c r="M25" s="27">
        <v>1537</v>
      </c>
      <c r="N25" s="27">
        <v>2390</v>
      </c>
      <c r="O25" s="27">
        <v>709</v>
      </c>
      <c r="P25" s="27">
        <v>777</v>
      </c>
      <c r="Q25" s="27">
        <v>1966</v>
      </c>
      <c r="R25" s="27">
        <v>1662</v>
      </c>
      <c r="S25" s="27">
        <v>158</v>
      </c>
      <c r="T25" s="27">
        <v>880</v>
      </c>
      <c r="U25" s="27">
        <v>268</v>
      </c>
      <c r="V25" s="27">
        <v>1181</v>
      </c>
      <c r="W25" s="27">
        <v>1178.82</v>
      </c>
      <c r="X25" s="27">
        <v>0</v>
      </c>
      <c r="Y25" s="27" t="s">
        <v>48</v>
      </c>
      <c r="Z25" s="27">
        <v>100</v>
      </c>
      <c r="AA25" s="27">
        <v>1440</v>
      </c>
      <c r="AB25" s="27">
        <v>0</v>
      </c>
      <c r="AC25" s="27">
        <v>30241</v>
      </c>
      <c r="AD25" s="27">
        <v>0</v>
      </c>
      <c r="AE25" s="27">
        <v>2000</v>
      </c>
      <c r="AF25" s="27">
        <v>2925</v>
      </c>
      <c r="AG25" s="27">
        <v>0</v>
      </c>
      <c r="AH25" s="27">
        <v>312</v>
      </c>
      <c r="AI25" s="27">
        <v>9500</v>
      </c>
      <c r="AJ25" s="27">
        <v>0</v>
      </c>
      <c r="AK25" s="27">
        <v>0</v>
      </c>
      <c r="AL25" s="27">
        <v>0</v>
      </c>
      <c r="AM25" s="27">
        <v>0</v>
      </c>
      <c r="AN25" s="27">
        <v>0</v>
      </c>
      <c r="AO25" s="27">
        <v>94944</v>
      </c>
    </row>
    <row r="26" spans="1:41" x14ac:dyDescent="0.25">
      <c r="A26" s="26" t="s">
        <v>59</v>
      </c>
      <c r="B26" s="27">
        <v>60025</v>
      </c>
      <c r="C26" s="27">
        <v>682</v>
      </c>
      <c r="D26" s="27">
        <v>0</v>
      </c>
      <c r="E26" s="27">
        <v>179</v>
      </c>
      <c r="F26" s="27">
        <v>260</v>
      </c>
      <c r="G26" s="27">
        <v>965</v>
      </c>
      <c r="H26" s="27">
        <v>224</v>
      </c>
      <c r="I26" s="27">
        <v>1095</v>
      </c>
      <c r="J26" s="27">
        <v>360</v>
      </c>
      <c r="K26" s="27">
        <v>917</v>
      </c>
      <c r="L26" s="27">
        <v>2460.4499999999998</v>
      </c>
      <c r="M26" s="27">
        <v>1337</v>
      </c>
      <c r="N26" s="27">
        <v>1573</v>
      </c>
      <c r="O26" s="27">
        <v>720</v>
      </c>
      <c r="P26" s="27">
        <v>690</v>
      </c>
      <c r="Q26" s="27">
        <v>2059</v>
      </c>
      <c r="R26" s="27">
        <v>2187</v>
      </c>
      <c r="S26" s="27">
        <v>2400</v>
      </c>
      <c r="T26" s="27">
        <v>860</v>
      </c>
      <c r="U26" s="27">
        <v>268</v>
      </c>
      <c r="V26" s="27">
        <v>1212</v>
      </c>
      <c r="W26" s="27">
        <v>1178.82</v>
      </c>
      <c r="X26" s="27">
        <v>13400</v>
      </c>
      <c r="Y26" s="27">
        <v>700</v>
      </c>
      <c r="Z26" s="27">
        <v>5800</v>
      </c>
      <c r="AA26" s="27">
        <v>1953</v>
      </c>
      <c r="AB26" s="27">
        <v>470</v>
      </c>
      <c r="AC26" s="27">
        <v>2974</v>
      </c>
      <c r="AD26" s="27">
        <v>2000</v>
      </c>
      <c r="AE26" s="27">
        <v>2500</v>
      </c>
      <c r="AF26" s="27">
        <v>1240</v>
      </c>
      <c r="AG26" s="27">
        <v>3000</v>
      </c>
      <c r="AH26" s="27">
        <v>2337.6999999999998</v>
      </c>
      <c r="AI26" s="27">
        <v>9500</v>
      </c>
      <c r="AJ26" s="27">
        <v>10050</v>
      </c>
      <c r="AK26" s="27">
        <v>0</v>
      </c>
      <c r="AL26" s="27">
        <v>10792</v>
      </c>
      <c r="AM26" s="27">
        <v>3535</v>
      </c>
      <c r="AN26" s="27">
        <v>3065.02</v>
      </c>
      <c r="AO26" s="27">
        <v>72253.820000000007</v>
      </c>
    </row>
    <row r="27" spans="1:41" x14ac:dyDescent="0.25">
      <c r="A27" s="26" t="s">
        <v>60</v>
      </c>
      <c r="B27" s="27">
        <v>65890</v>
      </c>
      <c r="C27" s="27">
        <v>812</v>
      </c>
      <c r="D27" s="27">
        <v>210</v>
      </c>
      <c r="E27" s="27">
        <v>203</v>
      </c>
      <c r="F27" s="27">
        <v>185</v>
      </c>
      <c r="G27" s="27">
        <v>740</v>
      </c>
      <c r="H27" s="27">
        <v>445</v>
      </c>
      <c r="I27" s="27">
        <v>1485</v>
      </c>
      <c r="J27" s="27">
        <v>420</v>
      </c>
      <c r="K27" s="27">
        <v>680</v>
      </c>
      <c r="L27" s="27">
        <v>1608</v>
      </c>
      <c r="M27" s="27">
        <v>1100</v>
      </c>
      <c r="N27" s="27">
        <v>804</v>
      </c>
      <c r="O27" s="27">
        <v>586</v>
      </c>
      <c r="P27" s="27">
        <v>760</v>
      </c>
      <c r="Q27" s="27">
        <v>1503</v>
      </c>
      <c r="R27" s="27">
        <v>2364</v>
      </c>
      <c r="S27" s="27">
        <v>448</v>
      </c>
      <c r="T27" s="27">
        <v>900</v>
      </c>
      <c r="U27" s="27">
        <v>268</v>
      </c>
      <c r="V27" s="27">
        <v>890</v>
      </c>
      <c r="W27" s="27">
        <v>1178.82</v>
      </c>
      <c r="X27" s="27">
        <v>16000</v>
      </c>
      <c r="Y27" s="27">
        <v>1195</v>
      </c>
      <c r="Z27" s="27">
        <v>0</v>
      </c>
      <c r="AA27" s="27">
        <v>3163</v>
      </c>
      <c r="AB27" s="27">
        <v>0</v>
      </c>
      <c r="AC27" s="27">
        <v>1827</v>
      </c>
      <c r="AD27" s="27">
        <v>3000</v>
      </c>
      <c r="AE27" s="27">
        <v>5000</v>
      </c>
      <c r="AF27" s="27">
        <v>1159</v>
      </c>
      <c r="AG27" s="27">
        <v>3000</v>
      </c>
      <c r="AH27" s="27">
        <v>2030</v>
      </c>
      <c r="AI27" s="27">
        <v>9500</v>
      </c>
      <c r="AJ27" s="27">
        <v>5000</v>
      </c>
      <c r="AK27" s="27">
        <v>0</v>
      </c>
      <c r="AL27" s="27">
        <v>0</v>
      </c>
      <c r="AM27" s="27">
        <v>800</v>
      </c>
      <c r="AN27" s="27">
        <v>100</v>
      </c>
      <c r="AO27" s="27">
        <v>82452.39</v>
      </c>
    </row>
    <row r="28" spans="1:41" x14ac:dyDescent="0.25">
      <c r="A28" s="26" t="s">
        <v>61</v>
      </c>
      <c r="B28" s="27">
        <v>80172</v>
      </c>
      <c r="C28" s="27">
        <v>555</v>
      </c>
      <c r="D28" s="27">
        <v>152</v>
      </c>
      <c r="E28" s="27">
        <v>180</v>
      </c>
      <c r="F28" s="27">
        <v>195</v>
      </c>
      <c r="G28" s="27">
        <v>965</v>
      </c>
      <c r="H28" s="27">
        <v>315</v>
      </c>
      <c r="I28" s="27">
        <v>1169</v>
      </c>
      <c r="J28" s="27">
        <v>360</v>
      </c>
      <c r="K28" s="27">
        <v>360</v>
      </c>
      <c r="L28" s="27">
        <v>1991</v>
      </c>
      <c r="M28" s="27">
        <v>1111</v>
      </c>
      <c r="N28" s="27">
        <v>536</v>
      </c>
      <c r="O28" s="27">
        <v>987</v>
      </c>
      <c r="P28" s="27">
        <v>780</v>
      </c>
      <c r="Q28" s="27">
        <v>871</v>
      </c>
      <c r="R28" s="27">
        <v>1281</v>
      </c>
      <c r="S28" s="27">
        <v>0</v>
      </c>
      <c r="T28" s="27">
        <v>910</v>
      </c>
      <c r="U28" s="27">
        <v>298</v>
      </c>
      <c r="V28" s="27">
        <v>1062</v>
      </c>
      <c r="W28" s="27">
        <v>1178.82</v>
      </c>
      <c r="X28" s="27">
        <v>13000</v>
      </c>
      <c r="Y28" s="27">
        <v>885</v>
      </c>
      <c r="Z28" s="27">
        <v>500</v>
      </c>
      <c r="AA28" s="27">
        <v>4337</v>
      </c>
      <c r="AB28" s="27">
        <v>110</v>
      </c>
      <c r="AC28" s="27">
        <v>15219.77</v>
      </c>
      <c r="AD28" s="27">
        <v>3000</v>
      </c>
      <c r="AE28" s="27">
        <v>3000</v>
      </c>
      <c r="AF28" s="27">
        <v>1840</v>
      </c>
      <c r="AG28" s="27">
        <v>3000</v>
      </c>
      <c r="AH28" s="27">
        <v>2133.8000000000002</v>
      </c>
      <c r="AI28" s="27">
        <v>9500</v>
      </c>
      <c r="AJ28" s="27">
        <v>5000</v>
      </c>
      <c r="AK28" s="27">
        <v>0</v>
      </c>
      <c r="AL28" s="27">
        <v>300</v>
      </c>
      <c r="AM28" s="27">
        <v>1520</v>
      </c>
      <c r="AN28" s="27">
        <v>650</v>
      </c>
      <c r="AO28" s="27">
        <v>71191.520000000004</v>
      </c>
    </row>
    <row r="29" spans="1:41" x14ac:dyDescent="0.25">
      <c r="A29" s="26" t="s">
        <v>62</v>
      </c>
      <c r="B29" s="27">
        <v>75000</v>
      </c>
      <c r="C29" s="27">
        <v>744</v>
      </c>
      <c r="D29" s="27">
        <v>255</v>
      </c>
      <c r="E29" s="27">
        <v>231</v>
      </c>
      <c r="F29" s="27">
        <v>175</v>
      </c>
      <c r="G29" s="27">
        <v>880</v>
      </c>
      <c r="H29" s="27">
        <v>225</v>
      </c>
      <c r="I29" s="27">
        <v>875</v>
      </c>
      <c r="J29" s="27">
        <v>360</v>
      </c>
      <c r="K29" s="27">
        <v>480</v>
      </c>
      <c r="L29" s="27">
        <v>1902.8</v>
      </c>
      <c r="M29" s="27">
        <v>750</v>
      </c>
      <c r="N29" s="27">
        <v>692</v>
      </c>
      <c r="O29" s="27">
        <v>475</v>
      </c>
      <c r="P29" s="27">
        <v>810</v>
      </c>
      <c r="Q29" s="27">
        <v>1120</v>
      </c>
      <c r="R29" s="27">
        <v>1137</v>
      </c>
      <c r="S29" s="27">
        <v>0</v>
      </c>
      <c r="T29" s="27">
        <v>950</v>
      </c>
      <c r="U29" s="27">
        <v>298</v>
      </c>
      <c r="V29" s="27">
        <v>1003</v>
      </c>
      <c r="W29" s="27">
        <v>1178.82</v>
      </c>
      <c r="X29" s="27">
        <v>19050</v>
      </c>
      <c r="Y29" s="27">
        <v>945</v>
      </c>
      <c r="Z29" s="27">
        <v>700</v>
      </c>
      <c r="AA29" s="27">
        <v>2526</v>
      </c>
      <c r="AB29" s="27">
        <v>0</v>
      </c>
      <c r="AC29" s="27">
        <v>2470</v>
      </c>
      <c r="AD29" s="27">
        <v>5500</v>
      </c>
      <c r="AE29" s="27">
        <v>3000</v>
      </c>
      <c r="AF29" s="27">
        <v>75</v>
      </c>
      <c r="AG29" s="27">
        <v>3100</v>
      </c>
      <c r="AH29" s="27">
        <v>3383.9</v>
      </c>
      <c r="AI29" s="27">
        <v>9500</v>
      </c>
      <c r="AJ29" s="27">
        <v>5000</v>
      </c>
      <c r="AK29" s="27">
        <v>300</v>
      </c>
      <c r="AL29" s="27">
        <v>400</v>
      </c>
      <c r="AM29" s="27">
        <v>700</v>
      </c>
      <c r="AN29" s="27">
        <v>0</v>
      </c>
      <c r="AO29" s="27">
        <v>105890.02</v>
      </c>
    </row>
    <row r="30" spans="1:41" x14ac:dyDescent="0.25">
      <c r="A30" s="26" t="s">
        <v>63</v>
      </c>
      <c r="B30" s="27">
        <v>105000</v>
      </c>
      <c r="C30" s="27">
        <v>1030</v>
      </c>
      <c r="D30" s="27">
        <v>440</v>
      </c>
      <c r="E30" s="27">
        <v>147</v>
      </c>
      <c r="F30" s="27">
        <v>195</v>
      </c>
      <c r="G30" s="27">
        <v>930</v>
      </c>
      <c r="H30" s="27">
        <v>170</v>
      </c>
      <c r="I30" s="27">
        <v>1012</v>
      </c>
      <c r="J30" s="27">
        <v>120</v>
      </c>
      <c r="K30" s="27">
        <v>0</v>
      </c>
      <c r="L30" s="27">
        <v>2767</v>
      </c>
      <c r="M30" s="27">
        <v>1213</v>
      </c>
      <c r="N30" s="27">
        <v>1372</v>
      </c>
      <c r="O30" s="27">
        <v>948</v>
      </c>
      <c r="P30" s="27">
        <v>860</v>
      </c>
      <c r="Q30" s="27">
        <v>1312</v>
      </c>
      <c r="R30" s="27">
        <v>1470</v>
      </c>
      <c r="S30" s="27">
        <v>90</v>
      </c>
      <c r="T30" s="27">
        <v>950</v>
      </c>
      <c r="U30" s="27">
        <v>298</v>
      </c>
      <c r="V30" s="27">
        <v>1160</v>
      </c>
      <c r="W30" s="27">
        <v>1178.82</v>
      </c>
      <c r="X30" s="27">
        <v>2520</v>
      </c>
      <c r="Y30" s="27">
        <v>340</v>
      </c>
      <c r="Z30" s="27">
        <v>1330</v>
      </c>
      <c r="AA30" s="27">
        <v>1900</v>
      </c>
      <c r="AB30" s="27">
        <v>0</v>
      </c>
      <c r="AC30" s="27">
        <v>52890</v>
      </c>
      <c r="AD30" s="27">
        <v>0</v>
      </c>
      <c r="AE30" s="27">
        <v>3200</v>
      </c>
      <c r="AF30" s="27">
        <v>2045</v>
      </c>
      <c r="AG30" s="27">
        <v>3000</v>
      </c>
      <c r="AH30" s="27">
        <v>672.2</v>
      </c>
      <c r="AI30" s="27">
        <v>9500</v>
      </c>
      <c r="AJ30" s="27">
        <v>5000</v>
      </c>
      <c r="AK30" s="27">
        <v>260</v>
      </c>
      <c r="AL30" s="27">
        <v>0</v>
      </c>
      <c r="AM30" s="27">
        <v>2370</v>
      </c>
      <c r="AN30" s="27">
        <v>200</v>
      </c>
      <c r="AO30" s="27">
        <v>67116.66</v>
      </c>
    </row>
    <row r="31" spans="1:41" x14ac:dyDescent="0.25">
      <c r="A31" s="26" t="s">
        <v>64</v>
      </c>
      <c r="B31" s="27">
        <v>60000</v>
      </c>
      <c r="C31" s="27">
        <v>686</v>
      </c>
      <c r="D31" s="27">
        <v>85</v>
      </c>
      <c r="E31" s="27">
        <v>132</v>
      </c>
      <c r="F31" s="27">
        <v>240</v>
      </c>
      <c r="G31" s="27">
        <v>528</v>
      </c>
      <c r="H31" s="27">
        <v>310</v>
      </c>
      <c r="I31" s="27">
        <v>1023</v>
      </c>
      <c r="J31" s="27">
        <v>280</v>
      </c>
      <c r="K31" s="27">
        <v>335</v>
      </c>
      <c r="L31" s="27">
        <v>5235.2</v>
      </c>
      <c r="M31" s="27">
        <v>1270</v>
      </c>
      <c r="N31" s="27">
        <v>1170</v>
      </c>
      <c r="O31" s="27">
        <v>906</v>
      </c>
      <c r="P31" s="27">
        <v>4550</v>
      </c>
      <c r="Q31" s="27">
        <v>1450</v>
      </c>
      <c r="R31" s="27">
        <v>1623</v>
      </c>
      <c r="S31" s="27">
        <v>1910</v>
      </c>
      <c r="T31" s="27">
        <v>950</v>
      </c>
      <c r="U31" s="27">
        <v>298</v>
      </c>
      <c r="V31" s="27">
        <v>1153</v>
      </c>
      <c r="W31" s="27">
        <v>1178.82</v>
      </c>
      <c r="X31" s="27">
        <v>0</v>
      </c>
      <c r="Y31" s="27">
        <v>2100</v>
      </c>
      <c r="Z31" s="27">
        <v>2900</v>
      </c>
      <c r="AA31" s="27">
        <v>2469</v>
      </c>
      <c r="AB31" s="27">
        <v>0</v>
      </c>
      <c r="AC31" s="27">
        <v>5862</v>
      </c>
      <c r="AD31" s="27">
        <v>0</v>
      </c>
      <c r="AE31" s="27">
        <v>3000</v>
      </c>
      <c r="AF31" s="27">
        <v>1963</v>
      </c>
      <c r="AG31" s="27">
        <v>3000</v>
      </c>
      <c r="AH31" s="27">
        <v>1281</v>
      </c>
      <c r="AI31" s="27">
        <v>9500</v>
      </c>
      <c r="AJ31" s="27">
        <v>5000</v>
      </c>
      <c r="AK31" s="27">
        <v>300</v>
      </c>
      <c r="AL31" s="27">
        <v>528.64</v>
      </c>
      <c r="AM31" s="27">
        <v>900</v>
      </c>
      <c r="AN31" s="27">
        <v>0</v>
      </c>
      <c r="AO31" s="27">
        <v>50789.47</v>
      </c>
    </row>
    <row r="32" spans="1:41" x14ac:dyDescent="0.25">
      <c r="A32" s="26" t="s">
        <v>65</v>
      </c>
      <c r="B32" s="27">
        <v>60000</v>
      </c>
      <c r="C32" s="27">
        <v>560</v>
      </c>
      <c r="D32" s="27">
        <v>350</v>
      </c>
      <c r="E32" s="27">
        <v>184</v>
      </c>
      <c r="F32" s="27">
        <v>120</v>
      </c>
      <c r="G32" s="27">
        <v>720</v>
      </c>
      <c r="H32" s="27">
        <v>221</v>
      </c>
      <c r="I32" s="27">
        <v>1265</v>
      </c>
      <c r="J32" s="27">
        <v>120</v>
      </c>
      <c r="K32" s="27">
        <v>615</v>
      </c>
      <c r="L32" s="27">
        <v>3345.9</v>
      </c>
      <c r="M32" s="27">
        <v>1240</v>
      </c>
      <c r="N32" s="27">
        <v>700</v>
      </c>
      <c r="O32" s="27">
        <v>790</v>
      </c>
      <c r="P32" s="27">
        <v>1620</v>
      </c>
      <c r="Q32" s="27">
        <v>2842</v>
      </c>
      <c r="R32" s="27">
        <v>1136</v>
      </c>
      <c r="S32" s="27">
        <v>0</v>
      </c>
      <c r="T32" s="27">
        <v>950</v>
      </c>
      <c r="U32" s="27">
        <v>537</v>
      </c>
      <c r="V32" s="27">
        <v>1035</v>
      </c>
      <c r="W32" s="27">
        <v>1178.82</v>
      </c>
      <c r="X32" s="27">
        <v>0</v>
      </c>
      <c r="Y32" s="27">
        <v>380</v>
      </c>
      <c r="Z32" s="27">
        <v>850</v>
      </c>
      <c r="AA32" s="27">
        <v>1972</v>
      </c>
      <c r="AB32" s="27">
        <v>0</v>
      </c>
      <c r="AC32" s="27">
        <v>3634</v>
      </c>
      <c r="AD32" s="27">
        <v>0</v>
      </c>
      <c r="AE32" s="27">
        <v>3000</v>
      </c>
      <c r="AF32" s="27">
        <v>475</v>
      </c>
      <c r="AG32" s="27">
        <v>5000</v>
      </c>
      <c r="AH32" s="27">
        <v>788.75</v>
      </c>
      <c r="AI32" s="27">
        <v>9500</v>
      </c>
      <c r="AJ32" s="27">
        <v>5000</v>
      </c>
      <c r="AK32" s="27">
        <v>660</v>
      </c>
      <c r="AL32" s="27">
        <v>0</v>
      </c>
      <c r="AM32" s="27">
        <v>0</v>
      </c>
      <c r="AN32" s="27">
        <v>0</v>
      </c>
      <c r="AO32" s="27">
        <v>67021.100000000006</v>
      </c>
    </row>
    <row r="33" spans="1:41" x14ac:dyDescent="0.25">
      <c r="A33" s="26" t="s">
        <v>124</v>
      </c>
      <c r="B33" s="27">
        <f t="shared" ref="B33:AO33" si="1">SUM(B21:B32)</f>
        <v>916934</v>
      </c>
      <c r="C33" s="27">
        <f t="shared" si="1"/>
        <v>8225</v>
      </c>
      <c r="D33" s="27">
        <f t="shared" si="1"/>
        <v>2558</v>
      </c>
      <c r="E33" s="27">
        <f t="shared" si="1"/>
        <v>2135</v>
      </c>
      <c r="F33" s="27">
        <f t="shared" si="1"/>
        <v>2246</v>
      </c>
      <c r="G33" s="27">
        <f t="shared" si="1"/>
        <v>8968</v>
      </c>
      <c r="H33" s="27">
        <f t="shared" si="1"/>
        <v>3372</v>
      </c>
      <c r="I33" s="27">
        <f t="shared" si="1"/>
        <v>13696</v>
      </c>
      <c r="J33" s="27">
        <f t="shared" si="1"/>
        <v>4960</v>
      </c>
      <c r="K33" s="27">
        <f t="shared" si="1"/>
        <v>5867</v>
      </c>
      <c r="L33" s="27">
        <f t="shared" si="1"/>
        <v>32831.35</v>
      </c>
      <c r="M33" s="27">
        <f t="shared" si="1"/>
        <v>13485</v>
      </c>
      <c r="N33" s="27">
        <f t="shared" si="1"/>
        <v>12635</v>
      </c>
      <c r="O33" s="27">
        <f t="shared" si="1"/>
        <v>10337</v>
      </c>
      <c r="P33" s="27">
        <f t="shared" si="1"/>
        <v>15197</v>
      </c>
      <c r="Q33" s="27">
        <f t="shared" si="1"/>
        <v>18762</v>
      </c>
      <c r="R33" s="27">
        <f t="shared" si="1"/>
        <v>18132</v>
      </c>
      <c r="S33" s="27">
        <f t="shared" si="1"/>
        <v>20255</v>
      </c>
      <c r="T33" s="27">
        <f t="shared" si="1"/>
        <v>10690</v>
      </c>
      <c r="U33" s="27">
        <f t="shared" si="1"/>
        <v>4044</v>
      </c>
      <c r="V33" s="27">
        <f t="shared" si="1"/>
        <v>11716</v>
      </c>
      <c r="W33" s="27">
        <f t="shared" si="1"/>
        <v>16015.479999999998</v>
      </c>
      <c r="X33" s="27">
        <f t="shared" si="1"/>
        <v>63970</v>
      </c>
      <c r="Y33" s="27">
        <f t="shared" si="1"/>
        <v>12292.34</v>
      </c>
      <c r="Z33" s="27">
        <f t="shared" si="1"/>
        <v>49177</v>
      </c>
      <c r="AA33" s="27">
        <f t="shared" si="1"/>
        <v>37213</v>
      </c>
      <c r="AB33" s="27">
        <f t="shared" si="1"/>
        <v>100820</v>
      </c>
      <c r="AC33" s="27">
        <f t="shared" si="1"/>
        <v>143898.15000000002</v>
      </c>
      <c r="AD33" s="27">
        <f t="shared" si="1"/>
        <v>25400</v>
      </c>
      <c r="AE33" s="27">
        <f t="shared" si="1"/>
        <v>35100.33</v>
      </c>
      <c r="AF33" s="27">
        <f t="shared" si="1"/>
        <v>16683</v>
      </c>
      <c r="AG33" s="27">
        <f t="shared" si="1"/>
        <v>26100</v>
      </c>
      <c r="AH33" s="27">
        <f t="shared" si="1"/>
        <v>34880.450000000004</v>
      </c>
      <c r="AI33" s="27">
        <f t="shared" si="1"/>
        <v>114000</v>
      </c>
      <c r="AJ33" s="27">
        <f t="shared" si="1"/>
        <v>60050</v>
      </c>
      <c r="AK33" s="27">
        <f t="shared" si="1"/>
        <v>2820</v>
      </c>
      <c r="AL33" s="27">
        <f t="shared" si="1"/>
        <v>12020.64</v>
      </c>
      <c r="AM33" s="27">
        <f t="shared" si="1"/>
        <v>9825</v>
      </c>
      <c r="AN33" s="27">
        <f t="shared" si="1"/>
        <v>4015.02</v>
      </c>
      <c r="AO33" s="27">
        <f t="shared" si="1"/>
        <v>912135.26</v>
      </c>
    </row>
    <row r="37" spans="1:41" x14ac:dyDescent="0.25">
      <c r="E37" t="s">
        <v>143</v>
      </c>
    </row>
    <row r="38" spans="1:41" x14ac:dyDescent="0.25">
      <c r="A38" s="26" t="s">
        <v>0</v>
      </c>
      <c r="B38" s="27" t="s">
        <v>133</v>
      </c>
      <c r="C38" s="27" t="s">
        <v>2</v>
      </c>
      <c r="D38" s="27" t="s">
        <v>3</v>
      </c>
      <c r="E38" s="27" t="s">
        <v>4</v>
      </c>
      <c r="F38" s="27" t="s">
        <v>5</v>
      </c>
      <c r="G38" s="27" t="s">
        <v>6</v>
      </c>
      <c r="H38" s="27" t="s">
        <v>7</v>
      </c>
      <c r="I38" s="27" t="s">
        <v>8</v>
      </c>
      <c r="J38" s="27" t="s">
        <v>9</v>
      </c>
      <c r="K38" s="27" t="s">
        <v>10</v>
      </c>
      <c r="L38" s="27" t="s">
        <v>11</v>
      </c>
      <c r="M38" s="27" t="s">
        <v>12</v>
      </c>
      <c r="N38" s="27" t="s">
        <v>13</v>
      </c>
      <c r="O38" s="27" t="s">
        <v>14</v>
      </c>
      <c r="P38" s="27" t="s">
        <v>15</v>
      </c>
      <c r="Q38" s="27" t="s">
        <v>16</v>
      </c>
      <c r="R38" s="27" t="s">
        <v>17</v>
      </c>
      <c r="S38" s="27" t="s">
        <v>18</v>
      </c>
      <c r="T38" s="27" t="s">
        <v>19</v>
      </c>
      <c r="U38" s="27" t="s">
        <v>20</v>
      </c>
      <c r="V38" s="27" t="s">
        <v>21</v>
      </c>
      <c r="W38" s="27" t="s">
        <v>22</v>
      </c>
      <c r="X38" s="27" t="s">
        <v>23</v>
      </c>
      <c r="Y38" s="27" t="s">
        <v>24</v>
      </c>
      <c r="Z38" s="27" t="s">
        <v>25</v>
      </c>
      <c r="AA38" s="27" t="s">
        <v>26</v>
      </c>
      <c r="AB38" s="27" t="s">
        <v>27</v>
      </c>
      <c r="AC38" s="27" t="s">
        <v>28</v>
      </c>
      <c r="AD38" s="27" t="s">
        <v>29</v>
      </c>
      <c r="AE38" s="27" t="s">
        <v>30</v>
      </c>
      <c r="AF38" s="27" t="s">
        <v>31</v>
      </c>
      <c r="AG38" s="27" t="s">
        <v>32</v>
      </c>
      <c r="AH38" s="27" t="s">
        <v>33</v>
      </c>
      <c r="AI38" s="27" t="s">
        <v>34</v>
      </c>
      <c r="AJ38" s="27" t="s">
        <v>35</v>
      </c>
      <c r="AK38" s="27" t="s">
        <v>36</v>
      </c>
      <c r="AL38" s="27" t="s">
        <v>37</v>
      </c>
      <c r="AM38" s="27" t="s">
        <v>38</v>
      </c>
      <c r="AN38" s="27" t="s">
        <v>39</v>
      </c>
      <c r="AO38" s="27" t="s">
        <v>40</v>
      </c>
    </row>
    <row r="39" spans="1:41" x14ac:dyDescent="0.25">
      <c r="A39" s="26" t="s">
        <v>66</v>
      </c>
      <c r="B39" s="27">
        <v>60000</v>
      </c>
      <c r="C39" s="27">
        <v>855</v>
      </c>
      <c r="D39" s="27">
        <v>0</v>
      </c>
      <c r="E39" s="27">
        <v>181</v>
      </c>
      <c r="F39" s="27">
        <v>240</v>
      </c>
      <c r="G39" s="27">
        <v>700</v>
      </c>
      <c r="H39" s="27">
        <v>200</v>
      </c>
      <c r="I39" s="27">
        <v>1111</v>
      </c>
      <c r="J39" s="27">
        <v>120</v>
      </c>
      <c r="K39" s="27">
        <v>660</v>
      </c>
      <c r="L39" s="27">
        <v>3439.2</v>
      </c>
      <c r="M39" s="27">
        <v>1400</v>
      </c>
      <c r="N39" s="27">
        <v>1165</v>
      </c>
      <c r="O39" s="27">
        <v>700</v>
      </c>
      <c r="P39" s="27">
        <v>2230</v>
      </c>
      <c r="Q39" s="27">
        <v>1301</v>
      </c>
      <c r="R39" s="27">
        <v>2128</v>
      </c>
      <c r="S39" s="27">
        <v>0</v>
      </c>
      <c r="T39" s="27">
        <v>1050</v>
      </c>
      <c r="U39" s="27">
        <v>639</v>
      </c>
      <c r="V39" s="27">
        <v>920</v>
      </c>
      <c r="W39" s="27">
        <v>1178.82</v>
      </c>
      <c r="X39" s="27">
        <v>0</v>
      </c>
      <c r="Y39" s="27">
        <v>2959</v>
      </c>
      <c r="Z39" s="27">
        <v>4000</v>
      </c>
      <c r="AA39" s="27">
        <v>1090</v>
      </c>
      <c r="AB39" s="27">
        <v>1486</v>
      </c>
      <c r="AC39" s="27">
        <v>7957.51</v>
      </c>
      <c r="AD39" s="27">
        <v>1500</v>
      </c>
      <c r="AE39" s="27">
        <v>6936.8</v>
      </c>
      <c r="AF39" s="27">
        <v>550</v>
      </c>
      <c r="AG39" s="27">
        <v>3000</v>
      </c>
      <c r="AH39" s="27">
        <v>2069.7800000000002</v>
      </c>
      <c r="AI39" s="27">
        <v>9500</v>
      </c>
      <c r="AJ39" s="27">
        <v>5000</v>
      </c>
      <c r="AK39" s="27">
        <v>260</v>
      </c>
      <c r="AL39" s="27">
        <v>0</v>
      </c>
      <c r="AM39" s="27">
        <v>500</v>
      </c>
      <c r="AN39" s="27">
        <v>0</v>
      </c>
      <c r="AO39" s="27">
        <v>119392.82</v>
      </c>
    </row>
    <row r="40" spans="1:41" x14ac:dyDescent="0.25">
      <c r="A40" s="26" t="s">
        <v>67</v>
      </c>
      <c r="B40" s="27">
        <v>75000</v>
      </c>
      <c r="C40" s="27">
        <v>500</v>
      </c>
      <c r="D40" s="27">
        <v>0</v>
      </c>
      <c r="E40" s="27">
        <v>141</v>
      </c>
      <c r="F40" s="27">
        <v>130</v>
      </c>
      <c r="G40" s="27">
        <v>815</v>
      </c>
      <c r="H40" s="27">
        <v>218</v>
      </c>
      <c r="I40" s="27">
        <v>1092</v>
      </c>
      <c r="J40" s="27">
        <v>370</v>
      </c>
      <c r="K40" s="27">
        <v>460</v>
      </c>
      <c r="L40" s="27">
        <v>4011</v>
      </c>
      <c r="M40" s="27">
        <v>810</v>
      </c>
      <c r="N40" s="27">
        <v>815</v>
      </c>
      <c r="O40" s="27">
        <v>752</v>
      </c>
      <c r="P40" s="27">
        <v>12078</v>
      </c>
      <c r="Q40" s="27">
        <v>1260</v>
      </c>
      <c r="R40" s="27">
        <v>1368</v>
      </c>
      <c r="S40" s="27">
        <v>529</v>
      </c>
      <c r="T40" s="27">
        <v>950</v>
      </c>
      <c r="U40" s="27">
        <v>398</v>
      </c>
      <c r="V40" s="27">
        <v>804</v>
      </c>
      <c r="W40" s="27">
        <v>1178.82</v>
      </c>
      <c r="X40" s="27">
        <v>0</v>
      </c>
      <c r="Y40" s="27">
        <v>4260</v>
      </c>
      <c r="Z40" s="27">
        <v>46850</v>
      </c>
      <c r="AA40" s="27">
        <v>1376</v>
      </c>
      <c r="AB40" s="27">
        <v>0</v>
      </c>
      <c r="AC40" s="27">
        <v>2160</v>
      </c>
      <c r="AD40" s="27">
        <v>0</v>
      </c>
      <c r="AE40" s="27">
        <v>3000</v>
      </c>
      <c r="AF40" s="27">
        <v>180</v>
      </c>
      <c r="AG40" s="27">
        <v>3000</v>
      </c>
      <c r="AH40" s="27">
        <v>9645</v>
      </c>
      <c r="AI40" s="27">
        <v>9500</v>
      </c>
      <c r="AJ40" s="27">
        <v>5000</v>
      </c>
      <c r="AK40" s="27">
        <v>320</v>
      </c>
      <c r="AL40" s="27">
        <v>332</v>
      </c>
      <c r="AM40" s="27">
        <v>540</v>
      </c>
      <c r="AN40" s="27">
        <v>550</v>
      </c>
      <c r="AO40" s="27">
        <v>81899.12000000001</v>
      </c>
    </row>
    <row r="41" spans="1:41" x14ac:dyDescent="0.25">
      <c r="A41" s="26" t="s">
        <v>68</v>
      </c>
      <c r="B41" s="27">
        <v>85000</v>
      </c>
      <c r="C41" s="27">
        <v>1096</v>
      </c>
      <c r="D41" s="27">
        <v>320</v>
      </c>
      <c r="E41" s="27">
        <v>180</v>
      </c>
      <c r="F41" s="27">
        <v>502</v>
      </c>
      <c r="G41" s="27">
        <v>803</v>
      </c>
      <c r="H41" s="27">
        <v>105</v>
      </c>
      <c r="I41" s="27">
        <v>1373</v>
      </c>
      <c r="J41" s="27">
        <v>360</v>
      </c>
      <c r="K41" s="27">
        <v>662</v>
      </c>
      <c r="L41" s="27">
        <v>5280.7</v>
      </c>
      <c r="M41" s="27">
        <v>632</v>
      </c>
      <c r="N41" s="27">
        <v>1100</v>
      </c>
      <c r="O41" s="27">
        <v>2652</v>
      </c>
      <c r="P41" s="27">
        <v>2090</v>
      </c>
      <c r="Q41" s="27">
        <v>2723</v>
      </c>
      <c r="R41" s="27">
        <v>1024</v>
      </c>
      <c r="S41" s="27">
        <v>0</v>
      </c>
      <c r="T41" s="27">
        <v>950</v>
      </c>
      <c r="U41" s="27">
        <v>637</v>
      </c>
      <c r="V41" s="27">
        <v>835</v>
      </c>
      <c r="W41" s="27">
        <v>1178.82</v>
      </c>
      <c r="X41" s="27">
        <v>0</v>
      </c>
      <c r="Y41" s="27">
        <v>120</v>
      </c>
      <c r="Z41" s="27">
        <v>1000</v>
      </c>
      <c r="AA41" s="27">
        <v>2709</v>
      </c>
      <c r="AB41" s="27">
        <v>0</v>
      </c>
      <c r="AC41" s="27">
        <v>26095</v>
      </c>
      <c r="AD41" s="27">
        <v>3000</v>
      </c>
      <c r="AE41" s="27">
        <v>3500</v>
      </c>
      <c r="AF41" s="27">
        <v>350</v>
      </c>
      <c r="AG41" s="27">
        <v>3000</v>
      </c>
      <c r="AH41" s="27">
        <v>2751.6</v>
      </c>
      <c r="AI41" s="27">
        <v>9500</v>
      </c>
      <c r="AJ41" s="27">
        <v>5000</v>
      </c>
      <c r="AK41" s="27">
        <v>370</v>
      </c>
      <c r="AL41" s="27">
        <v>0</v>
      </c>
      <c r="AM41" s="27">
        <v>0</v>
      </c>
      <c r="AN41" s="27">
        <v>0</v>
      </c>
      <c r="AO41" s="27">
        <v>71790.17</v>
      </c>
    </row>
    <row r="42" spans="1:41" x14ac:dyDescent="0.25">
      <c r="A42" s="26" t="s">
        <v>69</v>
      </c>
      <c r="B42" s="27">
        <v>60000</v>
      </c>
      <c r="C42" s="27">
        <v>820</v>
      </c>
      <c r="D42" s="27">
        <v>0</v>
      </c>
      <c r="E42" s="27">
        <v>85</v>
      </c>
      <c r="F42" s="27">
        <v>260</v>
      </c>
      <c r="G42" s="27">
        <v>540</v>
      </c>
      <c r="H42" s="27">
        <v>60</v>
      </c>
      <c r="I42" s="27">
        <v>1430</v>
      </c>
      <c r="J42" s="27">
        <v>360</v>
      </c>
      <c r="K42" s="27">
        <v>0</v>
      </c>
      <c r="L42" s="27">
        <v>4127.3500000000004</v>
      </c>
      <c r="M42" s="27">
        <v>765</v>
      </c>
      <c r="N42" s="27">
        <v>1335</v>
      </c>
      <c r="O42" s="27">
        <v>265</v>
      </c>
      <c r="P42" s="27">
        <v>740</v>
      </c>
      <c r="Q42" s="27">
        <v>435</v>
      </c>
      <c r="R42" s="27">
        <v>715</v>
      </c>
      <c r="S42" s="27">
        <v>500</v>
      </c>
      <c r="T42" s="27">
        <v>1000</v>
      </c>
      <c r="U42" s="27">
        <v>637</v>
      </c>
      <c r="V42" s="27">
        <v>1230</v>
      </c>
      <c r="W42" s="27">
        <v>1178.82</v>
      </c>
      <c r="X42" s="27">
        <v>10000</v>
      </c>
      <c r="Y42" s="27">
        <v>0</v>
      </c>
      <c r="Z42" s="27">
        <v>354</v>
      </c>
      <c r="AA42" s="27">
        <v>1585</v>
      </c>
      <c r="AB42" s="27">
        <v>0</v>
      </c>
      <c r="AC42" s="27">
        <v>1088</v>
      </c>
      <c r="AD42" s="27">
        <v>3000</v>
      </c>
      <c r="AE42" s="27">
        <v>6000</v>
      </c>
      <c r="AF42" s="27">
        <v>0</v>
      </c>
      <c r="AG42" s="27">
        <v>13000</v>
      </c>
      <c r="AH42" s="27">
        <v>4270</v>
      </c>
      <c r="AI42" s="27">
        <v>9500</v>
      </c>
      <c r="AJ42" s="27">
        <v>5000</v>
      </c>
      <c r="AK42" s="27">
        <v>250</v>
      </c>
      <c r="AL42" s="27">
        <v>640</v>
      </c>
      <c r="AM42" s="27">
        <v>620</v>
      </c>
      <c r="AN42" s="27">
        <v>0</v>
      </c>
      <c r="AO42" s="27">
        <v>135050.23999999999</v>
      </c>
    </row>
    <row r="43" spans="1:41" x14ac:dyDescent="0.25">
      <c r="A43" s="26" t="s">
        <v>70</v>
      </c>
      <c r="B43" s="27">
        <v>105000</v>
      </c>
      <c r="C43" s="27">
        <v>785</v>
      </c>
      <c r="D43" s="27">
        <v>270</v>
      </c>
      <c r="E43" s="27">
        <v>90</v>
      </c>
      <c r="F43" s="27">
        <v>240</v>
      </c>
      <c r="G43" s="27">
        <v>535</v>
      </c>
      <c r="H43" s="27">
        <v>130</v>
      </c>
      <c r="I43" s="27">
        <v>1247</v>
      </c>
      <c r="J43" s="27">
        <v>420</v>
      </c>
      <c r="K43" s="27">
        <v>345</v>
      </c>
      <c r="L43" s="27">
        <v>8983.42</v>
      </c>
      <c r="M43" s="27">
        <v>1155</v>
      </c>
      <c r="N43" s="27">
        <v>1200</v>
      </c>
      <c r="O43" s="27">
        <v>760</v>
      </c>
      <c r="P43" s="27">
        <v>2180</v>
      </c>
      <c r="Q43" s="27">
        <v>1260</v>
      </c>
      <c r="R43" s="27">
        <v>1308</v>
      </c>
      <c r="S43" s="27">
        <v>0</v>
      </c>
      <c r="T43" s="27">
        <v>1050</v>
      </c>
      <c r="U43" s="27">
        <v>642</v>
      </c>
      <c r="V43" s="27">
        <v>1278</v>
      </c>
      <c r="W43" s="27">
        <v>1178.82</v>
      </c>
      <c r="X43" s="27">
        <v>10000</v>
      </c>
      <c r="Y43" s="27">
        <v>2610</v>
      </c>
      <c r="Z43" s="27">
        <v>520</v>
      </c>
      <c r="AA43" s="27">
        <v>2460</v>
      </c>
      <c r="AB43" s="27">
        <v>0</v>
      </c>
      <c r="AC43" s="27">
        <v>36615</v>
      </c>
      <c r="AD43" s="27">
        <v>3000</v>
      </c>
      <c r="AE43" s="27">
        <v>3000</v>
      </c>
      <c r="AF43" s="27">
        <v>438</v>
      </c>
      <c r="AG43" s="27">
        <v>23000</v>
      </c>
      <c r="AH43" s="27">
        <v>9807</v>
      </c>
      <c r="AI43" s="27">
        <v>9500</v>
      </c>
      <c r="AJ43" s="27">
        <v>5000</v>
      </c>
      <c r="AK43" s="27">
        <v>0</v>
      </c>
      <c r="AL43" s="27">
        <v>0</v>
      </c>
      <c r="AM43" s="27">
        <v>3943</v>
      </c>
      <c r="AN43" s="27">
        <v>100</v>
      </c>
      <c r="AO43" s="27">
        <v>246557.17000000004</v>
      </c>
    </row>
    <row r="44" spans="1:41" x14ac:dyDescent="0.25">
      <c r="A44" s="26" t="s">
        <v>71</v>
      </c>
      <c r="B44" s="27">
        <v>210000</v>
      </c>
      <c r="C44" s="27">
        <v>250</v>
      </c>
      <c r="D44" s="27">
        <v>150</v>
      </c>
      <c r="E44" s="27">
        <v>0</v>
      </c>
      <c r="F44" s="27">
        <v>130</v>
      </c>
      <c r="G44" s="27">
        <v>470</v>
      </c>
      <c r="H44" s="27">
        <v>40</v>
      </c>
      <c r="I44" s="27">
        <v>657</v>
      </c>
      <c r="J44" s="27">
        <v>150</v>
      </c>
      <c r="K44" s="27">
        <v>250</v>
      </c>
      <c r="L44" s="27">
        <v>13036.65</v>
      </c>
      <c r="M44" s="27">
        <v>605</v>
      </c>
      <c r="N44" s="27">
        <v>1450</v>
      </c>
      <c r="O44" s="27">
        <v>1388</v>
      </c>
      <c r="P44" s="27">
        <v>96233</v>
      </c>
      <c r="Q44" s="27">
        <v>171</v>
      </c>
      <c r="R44" s="27">
        <v>493</v>
      </c>
      <c r="S44" s="27">
        <v>0</v>
      </c>
      <c r="T44" s="27">
        <v>0</v>
      </c>
      <c r="U44" s="27">
        <v>723</v>
      </c>
      <c r="V44" s="27">
        <v>1033</v>
      </c>
      <c r="W44" s="27">
        <v>1178.82</v>
      </c>
      <c r="X44" s="27">
        <v>10000</v>
      </c>
      <c r="Y44" s="27">
        <v>14178</v>
      </c>
      <c r="Z44" s="27">
        <v>7330</v>
      </c>
      <c r="AA44" s="27">
        <v>370</v>
      </c>
      <c r="AB44" s="27">
        <v>0</v>
      </c>
      <c r="AC44" s="27">
        <v>10919</v>
      </c>
      <c r="AD44" s="27">
        <v>3000</v>
      </c>
      <c r="AE44" s="27">
        <v>3500</v>
      </c>
      <c r="AF44" s="27">
        <v>230</v>
      </c>
      <c r="AG44" s="27">
        <v>44000</v>
      </c>
      <c r="AH44" s="27">
        <v>17491.7</v>
      </c>
      <c r="AI44" s="27">
        <v>9500</v>
      </c>
      <c r="AJ44" s="27">
        <v>5000</v>
      </c>
      <c r="AK44" s="27">
        <v>350</v>
      </c>
      <c r="AL44" s="27">
        <v>1430</v>
      </c>
      <c r="AM44" s="27">
        <v>850</v>
      </c>
      <c r="AN44" s="27">
        <v>0</v>
      </c>
      <c r="AO44" s="27">
        <v>107832.97</v>
      </c>
    </row>
    <row r="45" spans="1:41" x14ac:dyDescent="0.25">
      <c r="A45" s="26" t="s">
        <v>72</v>
      </c>
      <c r="B45" s="27">
        <v>70000</v>
      </c>
      <c r="C45" s="27">
        <v>570</v>
      </c>
      <c r="D45" s="27">
        <v>310</v>
      </c>
      <c r="E45" s="27">
        <v>0</v>
      </c>
      <c r="F45" s="27">
        <v>257</v>
      </c>
      <c r="G45" s="27">
        <v>380</v>
      </c>
      <c r="H45" s="27">
        <v>40</v>
      </c>
      <c r="I45" s="27">
        <v>1075</v>
      </c>
      <c r="J45" s="27">
        <v>300</v>
      </c>
      <c r="K45" s="27">
        <v>330</v>
      </c>
      <c r="L45" s="27">
        <v>4953</v>
      </c>
      <c r="M45" s="27">
        <v>895</v>
      </c>
      <c r="N45" s="27">
        <v>2085</v>
      </c>
      <c r="O45" s="27">
        <v>555</v>
      </c>
      <c r="P45" s="27">
        <v>5680</v>
      </c>
      <c r="Q45" s="27">
        <v>740</v>
      </c>
      <c r="R45" s="27">
        <v>1620</v>
      </c>
      <c r="S45" s="27">
        <v>480</v>
      </c>
      <c r="T45" s="27">
        <v>1100</v>
      </c>
      <c r="U45" s="27">
        <v>542</v>
      </c>
      <c r="V45" s="27">
        <v>776</v>
      </c>
      <c r="W45" s="27">
        <v>1178.82</v>
      </c>
      <c r="X45" s="27">
        <v>10000</v>
      </c>
      <c r="Y45" s="27">
        <v>6553.4</v>
      </c>
      <c r="Z45" s="27">
        <v>9986.61</v>
      </c>
      <c r="AA45" s="27">
        <v>1670</v>
      </c>
      <c r="AB45" s="27">
        <v>0</v>
      </c>
      <c r="AC45" s="27">
        <v>15091</v>
      </c>
      <c r="AD45" s="27">
        <v>3000</v>
      </c>
      <c r="AE45" s="27">
        <v>4000</v>
      </c>
      <c r="AF45" s="27">
        <v>100</v>
      </c>
      <c r="AG45" s="27">
        <v>3000</v>
      </c>
      <c r="AH45" s="27">
        <v>12124</v>
      </c>
      <c r="AI45" s="27">
        <v>9500</v>
      </c>
      <c r="AJ45" s="27">
        <v>5000</v>
      </c>
      <c r="AK45" s="27">
        <v>1540.14</v>
      </c>
      <c r="AL45" s="27">
        <v>0</v>
      </c>
      <c r="AM45" s="27">
        <v>200</v>
      </c>
      <c r="AN45" s="27">
        <v>2201</v>
      </c>
      <c r="AO45" s="27">
        <v>66813.600000000006</v>
      </c>
    </row>
    <row r="46" spans="1:41" x14ac:dyDescent="0.25">
      <c r="A46" s="26" t="s">
        <v>73</v>
      </c>
      <c r="B46" s="27">
        <v>60000</v>
      </c>
      <c r="C46" s="27">
        <v>915</v>
      </c>
      <c r="D46" s="27">
        <v>420</v>
      </c>
      <c r="E46" s="27">
        <v>90</v>
      </c>
      <c r="F46" s="27">
        <v>250</v>
      </c>
      <c r="G46" s="27">
        <v>845</v>
      </c>
      <c r="H46" s="27">
        <v>80</v>
      </c>
      <c r="I46" s="27">
        <v>1129</v>
      </c>
      <c r="J46" s="27">
        <v>360</v>
      </c>
      <c r="K46" s="27">
        <v>68</v>
      </c>
      <c r="L46" s="27">
        <v>1681</v>
      </c>
      <c r="M46" s="27">
        <v>1088</v>
      </c>
      <c r="N46" s="27">
        <v>1050</v>
      </c>
      <c r="O46" s="27">
        <v>570</v>
      </c>
      <c r="P46" s="27">
        <v>1150</v>
      </c>
      <c r="Q46" s="27">
        <v>1427</v>
      </c>
      <c r="R46" s="27">
        <v>1165</v>
      </c>
      <c r="S46" s="27">
        <v>0</v>
      </c>
      <c r="T46" s="27">
        <v>0</v>
      </c>
      <c r="U46" s="27">
        <v>747</v>
      </c>
      <c r="V46" s="27">
        <v>1116</v>
      </c>
      <c r="W46" s="27">
        <v>1178.82</v>
      </c>
      <c r="X46" s="27">
        <v>10000</v>
      </c>
      <c r="Y46" s="27">
        <v>666.8</v>
      </c>
      <c r="Z46" s="27">
        <v>0</v>
      </c>
      <c r="AA46" s="27">
        <v>2332</v>
      </c>
      <c r="AB46" s="27">
        <v>0</v>
      </c>
      <c r="AC46" s="27">
        <v>7854.0300000000007</v>
      </c>
      <c r="AD46" s="27">
        <v>3000</v>
      </c>
      <c r="AE46" s="27">
        <v>3200</v>
      </c>
      <c r="AF46" s="27">
        <v>1213</v>
      </c>
      <c r="AG46" s="27">
        <v>6000</v>
      </c>
      <c r="AH46" s="27">
        <v>1695</v>
      </c>
      <c r="AI46" s="27">
        <v>9500</v>
      </c>
      <c r="AJ46" s="27">
        <v>5000</v>
      </c>
      <c r="AK46" s="27">
        <v>1022.95</v>
      </c>
      <c r="AL46" s="27">
        <v>0</v>
      </c>
      <c r="AM46" s="27">
        <v>0</v>
      </c>
      <c r="AN46" s="27">
        <v>0</v>
      </c>
      <c r="AO46" s="27">
        <v>111727.02</v>
      </c>
    </row>
    <row r="47" spans="1:41" x14ac:dyDescent="0.25">
      <c r="A47" s="26" t="s">
        <v>74</v>
      </c>
      <c r="B47" s="27">
        <v>90000</v>
      </c>
      <c r="C47" s="27">
        <v>330</v>
      </c>
      <c r="D47" s="27">
        <v>195</v>
      </c>
      <c r="E47" s="27">
        <v>90</v>
      </c>
      <c r="F47" s="27">
        <v>240</v>
      </c>
      <c r="G47" s="27">
        <v>690</v>
      </c>
      <c r="H47" s="27">
        <v>175</v>
      </c>
      <c r="I47" s="27">
        <v>905</v>
      </c>
      <c r="J47" s="27">
        <v>300</v>
      </c>
      <c r="K47" s="27">
        <v>670</v>
      </c>
      <c r="L47" s="27">
        <v>4346</v>
      </c>
      <c r="M47" s="27">
        <v>820</v>
      </c>
      <c r="N47" s="27">
        <v>695</v>
      </c>
      <c r="O47" s="27">
        <v>525</v>
      </c>
      <c r="P47" s="27">
        <v>1025</v>
      </c>
      <c r="Q47" s="27">
        <v>1130</v>
      </c>
      <c r="R47" s="27">
        <v>1350</v>
      </c>
      <c r="S47" s="27">
        <v>0</v>
      </c>
      <c r="T47" s="27">
        <v>1100</v>
      </c>
      <c r="U47" s="27">
        <v>747</v>
      </c>
      <c r="V47" s="27">
        <v>1197</v>
      </c>
      <c r="W47" s="27">
        <v>1178.82</v>
      </c>
      <c r="X47" s="27">
        <v>20000</v>
      </c>
      <c r="Y47" s="27">
        <v>3541.5</v>
      </c>
      <c r="Z47" s="27">
        <v>880</v>
      </c>
      <c r="AA47" s="27">
        <v>1650</v>
      </c>
      <c r="AB47" s="27">
        <v>0</v>
      </c>
      <c r="AC47" s="27">
        <v>16660</v>
      </c>
      <c r="AD47" s="27">
        <v>3000</v>
      </c>
      <c r="AE47" s="27">
        <v>3000</v>
      </c>
      <c r="AF47" s="27">
        <v>720</v>
      </c>
      <c r="AG47" s="27">
        <v>10000</v>
      </c>
      <c r="AH47" s="27">
        <v>4067.7</v>
      </c>
      <c r="AI47" s="27">
        <v>9500</v>
      </c>
      <c r="AJ47" s="27">
        <v>5000</v>
      </c>
      <c r="AK47" s="27">
        <v>672</v>
      </c>
      <c r="AL47" s="27">
        <v>15067</v>
      </c>
      <c r="AM47" s="27">
        <v>200</v>
      </c>
      <c r="AN47" s="27">
        <v>60</v>
      </c>
      <c r="AO47" s="27">
        <v>87358.82</v>
      </c>
    </row>
    <row r="48" spans="1:41" x14ac:dyDescent="0.25">
      <c r="A48" s="26" t="s">
        <v>75</v>
      </c>
      <c r="B48" s="27">
        <v>90000</v>
      </c>
      <c r="C48" s="27">
        <v>615</v>
      </c>
      <c r="D48" s="27">
        <v>125</v>
      </c>
      <c r="E48" s="27">
        <v>90</v>
      </c>
      <c r="F48" s="27">
        <v>260</v>
      </c>
      <c r="G48" s="27">
        <v>715</v>
      </c>
      <c r="H48" s="27">
        <v>150</v>
      </c>
      <c r="I48" s="27">
        <v>1030</v>
      </c>
      <c r="J48" s="27">
        <v>240</v>
      </c>
      <c r="K48" s="27">
        <v>165</v>
      </c>
      <c r="L48" s="27">
        <v>4027</v>
      </c>
      <c r="M48" s="27">
        <v>1075</v>
      </c>
      <c r="N48" s="27">
        <v>1310</v>
      </c>
      <c r="O48" s="27">
        <v>1130</v>
      </c>
      <c r="P48" s="27">
        <v>1180</v>
      </c>
      <c r="Q48" s="27">
        <v>1745</v>
      </c>
      <c r="R48" s="27">
        <v>710</v>
      </c>
      <c r="S48" s="27">
        <v>0</v>
      </c>
      <c r="T48" s="27">
        <v>1100</v>
      </c>
      <c r="U48" s="27">
        <v>750</v>
      </c>
      <c r="V48" s="27">
        <v>961</v>
      </c>
      <c r="W48" s="27">
        <v>1178.82</v>
      </c>
      <c r="X48" s="27">
        <v>17900</v>
      </c>
      <c r="Y48" s="27">
        <v>3435</v>
      </c>
      <c r="Z48" s="27">
        <v>1399</v>
      </c>
      <c r="AA48" s="27">
        <v>3815</v>
      </c>
      <c r="AB48" s="27">
        <v>0</v>
      </c>
      <c r="AC48" s="27">
        <v>10865</v>
      </c>
      <c r="AD48" s="27">
        <v>3000</v>
      </c>
      <c r="AE48" s="27">
        <v>3400</v>
      </c>
      <c r="AF48" s="27">
        <v>720</v>
      </c>
      <c r="AG48" s="27">
        <v>3000</v>
      </c>
      <c r="AH48" s="27">
        <v>6208</v>
      </c>
      <c r="AI48" s="27">
        <v>9500</v>
      </c>
      <c r="AJ48" s="27">
        <v>5000</v>
      </c>
      <c r="AK48" s="27">
        <v>0</v>
      </c>
      <c r="AL48" s="27">
        <v>0</v>
      </c>
      <c r="AM48" s="27">
        <v>560</v>
      </c>
      <c r="AN48" s="27">
        <v>0</v>
      </c>
      <c r="AO48" s="27">
        <v>2580208</v>
      </c>
    </row>
    <row r="49" spans="1:41" x14ac:dyDescent="0.25">
      <c r="A49" s="26" t="s">
        <v>124</v>
      </c>
      <c r="B49" s="27">
        <f t="shared" ref="B49:AO49" si="2">SUM(B39:B48)</f>
        <v>905000</v>
      </c>
      <c r="C49" s="27">
        <f t="shared" si="2"/>
        <v>6736</v>
      </c>
      <c r="D49" s="27">
        <f t="shared" si="2"/>
        <v>1790</v>
      </c>
      <c r="E49" s="27">
        <f t="shared" si="2"/>
        <v>947</v>
      </c>
      <c r="F49" s="27">
        <f t="shared" si="2"/>
        <v>2509</v>
      </c>
      <c r="G49" s="27">
        <f t="shared" si="2"/>
        <v>6493</v>
      </c>
      <c r="H49" s="27">
        <f t="shared" si="2"/>
        <v>1198</v>
      </c>
      <c r="I49" s="27">
        <f t="shared" si="2"/>
        <v>11049</v>
      </c>
      <c r="J49" s="27">
        <f t="shared" si="2"/>
        <v>2980</v>
      </c>
      <c r="K49" s="27">
        <f t="shared" si="2"/>
        <v>3610</v>
      </c>
      <c r="L49" s="27">
        <f t="shared" si="2"/>
        <v>53885.32</v>
      </c>
      <c r="M49" s="27">
        <f t="shared" si="2"/>
        <v>9245</v>
      </c>
      <c r="N49" s="27">
        <f t="shared" si="2"/>
        <v>12205</v>
      </c>
      <c r="O49" s="27">
        <f t="shared" si="2"/>
        <v>9297</v>
      </c>
      <c r="P49" s="27">
        <f t="shared" si="2"/>
        <v>124586</v>
      </c>
      <c r="Q49" s="27">
        <f t="shared" si="2"/>
        <v>12192</v>
      </c>
      <c r="R49" s="27">
        <f t="shared" si="2"/>
        <v>11881</v>
      </c>
      <c r="S49" s="27">
        <f t="shared" si="2"/>
        <v>1509</v>
      </c>
      <c r="T49" s="27">
        <f t="shared" si="2"/>
        <v>8300</v>
      </c>
      <c r="U49" s="27">
        <f t="shared" si="2"/>
        <v>6462</v>
      </c>
      <c r="V49" s="27">
        <f t="shared" si="2"/>
        <v>10150</v>
      </c>
      <c r="W49" s="27">
        <f t="shared" si="2"/>
        <v>11788.199999999999</v>
      </c>
      <c r="X49" s="27">
        <f t="shared" si="2"/>
        <v>87900</v>
      </c>
      <c r="Y49" s="27">
        <f t="shared" si="2"/>
        <v>38323.699999999997</v>
      </c>
      <c r="Z49" s="27">
        <f t="shared" si="2"/>
        <v>72319.61</v>
      </c>
      <c r="AA49" s="27">
        <f t="shared" si="2"/>
        <v>19057</v>
      </c>
      <c r="AB49" s="27">
        <f t="shared" si="2"/>
        <v>1486</v>
      </c>
      <c r="AC49" s="27">
        <f t="shared" si="2"/>
        <v>135304.54</v>
      </c>
      <c r="AD49" s="27">
        <f t="shared" si="2"/>
        <v>25500</v>
      </c>
      <c r="AE49" s="27">
        <f t="shared" si="2"/>
        <v>39536.800000000003</v>
      </c>
      <c r="AF49" s="27">
        <f t="shared" si="2"/>
        <v>4501</v>
      </c>
      <c r="AG49" s="27">
        <f t="shared" si="2"/>
        <v>111000</v>
      </c>
      <c r="AH49" s="27">
        <f t="shared" si="2"/>
        <v>70129.78</v>
      </c>
      <c r="AI49" s="27">
        <f t="shared" si="2"/>
        <v>95000</v>
      </c>
      <c r="AJ49" s="27">
        <f t="shared" si="2"/>
        <v>50000</v>
      </c>
      <c r="AK49" s="27">
        <f t="shared" si="2"/>
        <v>4785.09</v>
      </c>
      <c r="AL49" s="27">
        <f t="shared" si="2"/>
        <v>17469</v>
      </c>
      <c r="AM49" s="27">
        <f t="shared" si="2"/>
        <v>7413</v>
      </c>
      <c r="AN49" s="27">
        <f t="shared" si="2"/>
        <v>2911</v>
      </c>
      <c r="AO49" s="27">
        <f t="shared" si="2"/>
        <v>3608629.9299999997</v>
      </c>
    </row>
    <row r="58" spans="1:41" x14ac:dyDescent="0.25">
      <c r="A58" s="23"/>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3488B-2226-4A1C-9514-9A661EB5CE50}">
  <dimension ref="A2:L165"/>
  <sheetViews>
    <sheetView workbookViewId="0">
      <selection activeCell="O7" sqref="O7"/>
    </sheetView>
  </sheetViews>
  <sheetFormatPr defaultRowHeight="15" x14ac:dyDescent="0.25"/>
  <cols>
    <col min="1" max="1" width="13.140625" bestFit="1" customWidth="1"/>
    <col min="2" max="2" width="17.28515625" bestFit="1" customWidth="1"/>
    <col min="3" max="3" width="9" bestFit="1" customWidth="1"/>
    <col min="4" max="6" width="8" bestFit="1" customWidth="1"/>
    <col min="7" max="7" width="12.140625" bestFit="1" customWidth="1"/>
    <col min="8" max="9" width="11.42578125" bestFit="1" customWidth="1"/>
    <col min="10" max="10" width="12.140625" bestFit="1" customWidth="1"/>
    <col min="11" max="11" width="11.42578125" bestFit="1" customWidth="1"/>
    <col min="12" max="12" width="12.140625" bestFit="1" customWidth="1"/>
    <col min="13" max="13" width="8" bestFit="1" customWidth="1"/>
    <col min="14" max="14" width="11.28515625" bestFit="1" customWidth="1"/>
  </cols>
  <sheetData>
    <row r="2" spans="1:2" x14ac:dyDescent="0.25">
      <c r="A2" s="18" t="s">
        <v>80</v>
      </c>
      <c r="B2" t="s">
        <v>134</v>
      </c>
    </row>
    <row r="3" spans="1:2" x14ac:dyDescent="0.25">
      <c r="A3" s="19" t="s">
        <v>51</v>
      </c>
      <c r="B3">
        <v>152703.84</v>
      </c>
    </row>
    <row r="4" spans="1:2" x14ac:dyDescent="0.25">
      <c r="A4" s="19" t="s">
        <v>49</v>
      </c>
      <c r="B4">
        <v>83091.839999999997</v>
      </c>
    </row>
    <row r="5" spans="1:2" x14ac:dyDescent="0.25">
      <c r="A5" s="19" t="s">
        <v>43</v>
      </c>
      <c r="B5">
        <v>74321.820000000007</v>
      </c>
    </row>
    <row r="6" spans="1:2" x14ac:dyDescent="0.25">
      <c r="A6" s="19" t="s">
        <v>41</v>
      </c>
      <c r="B6">
        <v>52622.27</v>
      </c>
    </row>
    <row r="7" spans="1:2" x14ac:dyDescent="0.25">
      <c r="A7" s="19" t="s">
        <v>52</v>
      </c>
      <c r="B7">
        <v>50071.4</v>
      </c>
    </row>
    <row r="8" spans="1:2" x14ac:dyDescent="0.25">
      <c r="A8" s="19" t="s">
        <v>53</v>
      </c>
      <c r="B8">
        <v>50000</v>
      </c>
    </row>
    <row r="9" spans="1:2" x14ac:dyDescent="0.25">
      <c r="A9" s="19" t="s">
        <v>42</v>
      </c>
      <c r="B9">
        <v>46780.61</v>
      </c>
    </row>
    <row r="10" spans="1:2" x14ac:dyDescent="0.25">
      <c r="A10" s="19" t="s">
        <v>50</v>
      </c>
      <c r="B10">
        <v>38407.01</v>
      </c>
    </row>
    <row r="11" spans="1:2" x14ac:dyDescent="0.25">
      <c r="A11" s="19" t="s">
        <v>47</v>
      </c>
      <c r="B11">
        <v>38111.83</v>
      </c>
    </row>
    <row r="12" spans="1:2" x14ac:dyDescent="0.25">
      <c r="A12" s="19" t="s">
        <v>46</v>
      </c>
      <c r="B12">
        <v>37750</v>
      </c>
    </row>
    <row r="13" spans="1:2" x14ac:dyDescent="0.25">
      <c r="A13" s="19" t="s">
        <v>45</v>
      </c>
      <c r="B13">
        <v>37416.910000000003</v>
      </c>
    </row>
    <row r="14" spans="1:2" x14ac:dyDescent="0.25">
      <c r="A14" s="19" t="s">
        <v>44</v>
      </c>
      <c r="B14">
        <v>1095</v>
      </c>
    </row>
    <row r="15" spans="1:2" x14ac:dyDescent="0.25">
      <c r="A15" s="19" t="s">
        <v>81</v>
      </c>
      <c r="B15">
        <v>662372.53</v>
      </c>
    </row>
    <row r="19" spans="1:2" x14ac:dyDescent="0.25">
      <c r="A19" s="18" t="s">
        <v>80</v>
      </c>
      <c r="B19" t="s">
        <v>134</v>
      </c>
    </row>
    <row r="20" spans="1:2" x14ac:dyDescent="0.25">
      <c r="A20" s="19" t="s">
        <v>56</v>
      </c>
      <c r="B20">
        <v>110329</v>
      </c>
    </row>
    <row r="21" spans="1:2" x14ac:dyDescent="0.25">
      <c r="A21" s="19" t="s">
        <v>63</v>
      </c>
      <c r="B21">
        <v>105000</v>
      </c>
    </row>
    <row r="22" spans="1:2" x14ac:dyDescent="0.25">
      <c r="A22" s="19" t="s">
        <v>54</v>
      </c>
      <c r="B22">
        <v>100000</v>
      </c>
    </row>
    <row r="23" spans="1:2" x14ac:dyDescent="0.25">
      <c r="A23" s="19" t="s">
        <v>58</v>
      </c>
      <c r="B23">
        <v>80320</v>
      </c>
    </row>
    <row r="24" spans="1:2" x14ac:dyDescent="0.25">
      <c r="A24" s="19" t="s">
        <v>61</v>
      </c>
      <c r="B24">
        <v>80172</v>
      </c>
    </row>
    <row r="25" spans="1:2" x14ac:dyDescent="0.25">
      <c r="A25" s="19" t="s">
        <v>62</v>
      </c>
      <c r="B25">
        <v>75000</v>
      </c>
    </row>
    <row r="26" spans="1:2" x14ac:dyDescent="0.25">
      <c r="A26" s="19" t="s">
        <v>60</v>
      </c>
      <c r="B26">
        <v>65890</v>
      </c>
    </row>
    <row r="27" spans="1:2" x14ac:dyDescent="0.25">
      <c r="A27" s="19" t="s">
        <v>55</v>
      </c>
      <c r="B27">
        <v>60198</v>
      </c>
    </row>
    <row r="28" spans="1:2" x14ac:dyDescent="0.25">
      <c r="A28" s="19" t="s">
        <v>59</v>
      </c>
      <c r="B28">
        <v>60025</v>
      </c>
    </row>
    <row r="29" spans="1:2" x14ac:dyDescent="0.25">
      <c r="A29" s="19" t="s">
        <v>57</v>
      </c>
      <c r="B29">
        <v>60000</v>
      </c>
    </row>
    <row r="30" spans="1:2" x14ac:dyDescent="0.25">
      <c r="A30" s="19" t="s">
        <v>65</v>
      </c>
      <c r="B30">
        <v>60000</v>
      </c>
    </row>
    <row r="31" spans="1:2" x14ac:dyDescent="0.25">
      <c r="A31" s="19" t="s">
        <v>64</v>
      </c>
      <c r="B31">
        <v>60000</v>
      </c>
    </row>
    <row r="32" spans="1:2" x14ac:dyDescent="0.25">
      <c r="A32" s="19" t="s">
        <v>81</v>
      </c>
      <c r="B32">
        <v>916934</v>
      </c>
    </row>
    <row r="35" spans="1:2" x14ac:dyDescent="0.25">
      <c r="A35" s="18" t="s">
        <v>80</v>
      </c>
      <c r="B35" t="s">
        <v>134</v>
      </c>
    </row>
    <row r="36" spans="1:2" x14ac:dyDescent="0.25">
      <c r="A36" s="19" t="s">
        <v>71</v>
      </c>
      <c r="B36">
        <v>210000</v>
      </c>
    </row>
    <row r="37" spans="1:2" x14ac:dyDescent="0.25">
      <c r="A37" s="19" t="s">
        <v>70</v>
      </c>
      <c r="B37">
        <v>105000</v>
      </c>
    </row>
    <row r="38" spans="1:2" x14ac:dyDescent="0.25">
      <c r="A38" s="19" t="s">
        <v>74</v>
      </c>
      <c r="B38">
        <v>90000</v>
      </c>
    </row>
    <row r="39" spans="1:2" x14ac:dyDescent="0.25">
      <c r="A39" s="19" t="s">
        <v>75</v>
      </c>
      <c r="B39">
        <v>90000</v>
      </c>
    </row>
    <row r="40" spans="1:2" x14ac:dyDescent="0.25">
      <c r="A40" s="19" t="s">
        <v>68</v>
      </c>
      <c r="B40">
        <v>85000</v>
      </c>
    </row>
    <row r="41" spans="1:2" x14ac:dyDescent="0.25">
      <c r="A41" s="19" t="s">
        <v>67</v>
      </c>
      <c r="B41">
        <v>75000</v>
      </c>
    </row>
    <row r="42" spans="1:2" x14ac:dyDescent="0.25">
      <c r="A42" s="19" t="s">
        <v>72</v>
      </c>
      <c r="B42">
        <v>70000</v>
      </c>
    </row>
    <row r="43" spans="1:2" x14ac:dyDescent="0.25">
      <c r="A43" s="19" t="s">
        <v>66</v>
      </c>
      <c r="B43">
        <v>60000</v>
      </c>
    </row>
    <row r="44" spans="1:2" x14ac:dyDescent="0.25">
      <c r="A44" s="19" t="s">
        <v>69</v>
      </c>
      <c r="B44">
        <v>60000</v>
      </c>
    </row>
    <row r="45" spans="1:2" x14ac:dyDescent="0.25">
      <c r="A45" s="19" t="s">
        <v>73</v>
      </c>
      <c r="B45">
        <v>60000</v>
      </c>
    </row>
    <row r="46" spans="1:2" x14ac:dyDescent="0.25">
      <c r="A46" s="19" t="s">
        <v>81</v>
      </c>
      <c r="B46">
        <v>905000</v>
      </c>
    </row>
    <row r="51" spans="1:2" x14ac:dyDescent="0.25">
      <c r="A51" s="18" t="s">
        <v>80</v>
      </c>
    </row>
    <row r="52" spans="1:2" x14ac:dyDescent="0.25">
      <c r="A52" s="19" t="s">
        <v>125</v>
      </c>
    </row>
    <row r="53" spans="1:2" x14ac:dyDescent="0.25">
      <c r="A53" s="25" t="s">
        <v>124</v>
      </c>
      <c r="B53">
        <v>8225</v>
      </c>
    </row>
    <row r="54" spans="1:2" x14ac:dyDescent="0.25">
      <c r="A54" s="19" t="s">
        <v>129</v>
      </c>
    </row>
    <row r="55" spans="1:2" x14ac:dyDescent="0.25">
      <c r="A55" s="25" t="s">
        <v>124</v>
      </c>
      <c r="B55">
        <v>2558</v>
      </c>
    </row>
    <row r="56" spans="1:2" x14ac:dyDescent="0.25">
      <c r="A56" s="19" t="s">
        <v>130</v>
      </c>
    </row>
    <row r="57" spans="1:2" x14ac:dyDescent="0.25">
      <c r="A57" s="25" t="s">
        <v>124</v>
      </c>
      <c r="B57">
        <v>2135</v>
      </c>
    </row>
    <row r="58" spans="1:2" x14ac:dyDescent="0.25">
      <c r="A58" s="19" t="s">
        <v>144</v>
      </c>
    </row>
    <row r="59" spans="1:2" x14ac:dyDescent="0.25">
      <c r="A59" s="25" t="s">
        <v>124</v>
      </c>
      <c r="B59">
        <v>2246</v>
      </c>
    </row>
    <row r="60" spans="1:2" x14ac:dyDescent="0.25">
      <c r="A60" s="19" t="s">
        <v>131</v>
      </c>
    </row>
    <row r="61" spans="1:2" x14ac:dyDescent="0.25">
      <c r="A61" s="25" t="s">
        <v>124</v>
      </c>
      <c r="B61">
        <v>8968</v>
      </c>
    </row>
    <row r="62" spans="1:2" x14ac:dyDescent="0.25">
      <c r="A62" s="19" t="s">
        <v>132</v>
      </c>
    </row>
    <row r="63" spans="1:2" x14ac:dyDescent="0.25">
      <c r="A63" s="25" t="s">
        <v>124</v>
      </c>
      <c r="B63">
        <v>3372</v>
      </c>
    </row>
    <row r="64" spans="1:2" x14ac:dyDescent="0.25">
      <c r="A64" s="19" t="s">
        <v>145</v>
      </c>
    </row>
    <row r="65" spans="1:12" x14ac:dyDescent="0.25">
      <c r="A65" s="25" t="s">
        <v>124</v>
      </c>
      <c r="B65">
        <v>13696</v>
      </c>
    </row>
    <row r="66" spans="1:12" x14ac:dyDescent="0.25">
      <c r="A66" s="19" t="s">
        <v>146</v>
      </c>
    </row>
    <row r="67" spans="1:12" x14ac:dyDescent="0.25">
      <c r="A67" s="25" t="s">
        <v>124</v>
      </c>
      <c r="B67">
        <v>4960</v>
      </c>
    </row>
    <row r="68" spans="1:12" x14ac:dyDescent="0.25">
      <c r="A68" s="19" t="s">
        <v>148</v>
      </c>
    </row>
    <row r="69" spans="1:12" x14ac:dyDescent="0.25">
      <c r="A69" s="25" t="s">
        <v>124</v>
      </c>
      <c r="B69">
        <v>32831.35</v>
      </c>
    </row>
    <row r="70" spans="1:12" x14ac:dyDescent="0.25">
      <c r="A70" s="19" t="s">
        <v>147</v>
      </c>
    </row>
    <row r="71" spans="1:12" x14ac:dyDescent="0.25">
      <c r="A71" s="25" t="s">
        <v>124</v>
      </c>
      <c r="B71">
        <v>5867</v>
      </c>
      <c r="G71" t="s">
        <v>129</v>
      </c>
      <c r="H71" t="s">
        <v>125</v>
      </c>
      <c r="I71" t="s">
        <v>125</v>
      </c>
      <c r="J71" t="s">
        <v>129</v>
      </c>
      <c r="K71" t="s">
        <v>125</v>
      </c>
      <c r="L71" t="s">
        <v>129</v>
      </c>
    </row>
    <row r="72" spans="1:12" x14ac:dyDescent="0.25">
      <c r="A72" s="19" t="s">
        <v>149</v>
      </c>
      <c r="G72">
        <v>1641</v>
      </c>
      <c r="H72">
        <v>4961</v>
      </c>
      <c r="I72">
        <v>8225</v>
      </c>
      <c r="J72">
        <v>2558</v>
      </c>
      <c r="K72">
        <v>6736</v>
      </c>
      <c r="L72">
        <v>1790</v>
      </c>
    </row>
    <row r="73" spans="1:12" x14ac:dyDescent="0.25">
      <c r="A73" s="25" t="s">
        <v>124</v>
      </c>
      <c r="B73">
        <v>13485</v>
      </c>
    </row>
    <row r="74" spans="1:12" x14ac:dyDescent="0.25">
      <c r="A74" s="19" t="s">
        <v>150</v>
      </c>
    </row>
    <row r="75" spans="1:12" x14ac:dyDescent="0.25">
      <c r="A75" s="25" t="s">
        <v>124</v>
      </c>
      <c r="B75">
        <v>12635</v>
      </c>
    </row>
    <row r="76" spans="1:12" x14ac:dyDescent="0.25">
      <c r="A76" s="19" t="s">
        <v>151</v>
      </c>
    </row>
    <row r="77" spans="1:12" x14ac:dyDescent="0.25">
      <c r="A77" s="25" t="s">
        <v>124</v>
      </c>
      <c r="B77">
        <v>10337</v>
      </c>
    </row>
    <row r="78" spans="1:12" x14ac:dyDescent="0.25">
      <c r="A78" s="19" t="s">
        <v>152</v>
      </c>
    </row>
    <row r="79" spans="1:12" x14ac:dyDescent="0.25">
      <c r="A79" s="25" t="s">
        <v>124</v>
      </c>
      <c r="B79">
        <v>15197</v>
      </c>
    </row>
    <row r="80" spans="1:12" x14ac:dyDescent="0.25">
      <c r="A80" s="19" t="s">
        <v>156</v>
      </c>
    </row>
    <row r="81" spans="1:2" x14ac:dyDescent="0.25">
      <c r="A81" s="25" t="s">
        <v>124</v>
      </c>
      <c r="B81">
        <v>18762</v>
      </c>
    </row>
    <row r="82" spans="1:2" x14ac:dyDescent="0.25">
      <c r="A82" s="19" t="s">
        <v>157</v>
      </c>
    </row>
    <row r="83" spans="1:2" x14ac:dyDescent="0.25">
      <c r="A83" s="25" t="s">
        <v>124</v>
      </c>
      <c r="B83">
        <v>18132</v>
      </c>
    </row>
    <row r="84" spans="1:2" x14ac:dyDescent="0.25">
      <c r="A84" s="19" t="s">
        <v>158</v>
      </c>
    </row>
    <row r="85" spans="1:2" x14ac:dyDescent="0.25">
      <c r="A85" s="25" t="s">
        <v>124</v>
      </c>
      <c r="B85">
        <v>20255</v>
      </c>
    </row>
    <row r="86" spans="1:2" x14ac:dyDescent="0.25">
      <c r="A86" s="19" t="s">
        <v>159</v>
      </c>
    </row>
    <row r="87" spans="1:2" x14ac:dyDescent="0.25">
      <c r="A87" s="25" t="s">
        <v>124</v>
      </c>
      <c r="B87">
        <v>10690</v>
      </c>
    </row>
    <row r="88" spans="1:2" x14ac:dyDescent="0.25">
      <c r="A88" s="19" t="s">
        <v>160</v>
      </c>
    </row>
    <row r="89" spans="1:2" x14ac:dyDescent="0.25">
      <c r="A89" s="25" t="s">
        <v>124</v>
      </c>
      <c r="B89">
        <v>4044</v>
      </c>
    </row>
    <row r="90" spans="1:2" x14ac:dyDescent="0.25">
      <c r="A90" s="19" t="s">
        <v>161</v>
      </c>
    </row>
    <row r="91" spans="1:2" x14ac:dyDescent="0.25">
      <c r="A91" s="25" t="s">
        <v>124</v>
      </c>
      <c r="B91">
        <v>11716</v>
      </c>
    </row>
    <row r="92" spans="1:2" x14ac:dyDescent="0.25">
      <c r="A92" s="19" t="s">
        <v>126</v>
      </c>
    </row>
    <row r="93" spans="1:2" x14ac:dyDescent="0.25">
      <c r="A93" s="25" t="s">
        <v>124</v>
      </c>
      <c r="B93">
        <v>16015.479999999998</v>
      </c>
    </row>
    <row r="94" spans="1:2" x14ac:dyDescent="0.25">
      <c r="A94" s="19" t="s">
        <v>162</v>
      </c>
    </row>
    <row r="95" spans="1:2" x14ac:dyDescent="0.25">
      <c r="A95" s="25" t="s">
        <v>124</v>
      </c>
      <c r="B95">
        <v>63970</v>
      </c>
    </row>
    <row r="96" spans="1:2" x14ac:dyDescent="0.25">
      <c r="A96" s="19" t="s">
        <v>185</v>
      </c>
    </row>
    <row r="97" spans="1:2" x14ac:dyDescent="0.25">
      <c r="A97" s="25" t="s">
        <v>124</v>
      </c>
      <c r="B97">
        <v>12292.34</v>
      </c>
    </row>
    <row r="98" spans="1:2" x14ac:dyDescent="0.25">
      <c r="A98" s="19" t="s">
        <v>187</v>
      </c>
    </row>
    <row r="99" spans="1:2" x14ac:dyDescent="0.25">
      <c r="A99" s="25" t="s">
        <v>124</v>
      </c>
      <c r="B99">
        <v>49177</v>
      </c>
    </row>
    <row r="100" spans="1:2" x14ac:dyDescent="0.25">
      <c r="A100" s="19" t="s">
        <v>127</v>
      </c>
    </row>
    <row r="101" spans="1:2" x14ac:dyDescent="0.25">
      <c r="A101" s="25" t="s">
        <v>124</v>
      </c>
      <c r="B101">
        <v>37213</v>
      </c>
    </row>
    <row r="102" spans="1:2" x14ac:dyDescent="0.25">
      <c r="A102" s="19" t="s">
        <v>188</v>
      </c>
    </row>
    <row r="103" spans="1:2" x14ac:dyDescent="0.25">
      <c r="A103" s="25" t="s">
        <v>124</v>
      </c>
      <c r="B103">
        <v>100820</v>
      </c>
    </row>
    <row r="104" spans="1:2" x14ac:dyDescent="0.25">
      <c r="A104" s="19" t="s">
        <v>128</v>
      </c>
    </row>
    <row r="105" spans="1:2" x14ac:dyDescent="0.25">
      <c r="A105" s="25" t="s">
        <v>124</v>
      </c>
      <c r="B105">
        <v>143898.15000000002</v>
      </c>
    </row>
    <row r="106" spans="1:2" x14ac:dyDescent="0.25">
      <c r="A106" s="19" t="s">
        <v>189</v>
      </c>
    </row>
    <row r="107" spans="1:2" x14ac:dyDescent="0.25">
      <c r="A107" s="25" t="s">
        <v>124</v>
      </c>
      <c r="B107">
        <v>25400</v>
      </c>
    </row>
    <row r="108" spans="1:2" x14ac:dyDescent="0.25">
      <c r="A108" s="19" t="s">
        <v>190</v>
      </c>
    </row>
    <row r="109" spans="1:2" x14ac:dyDescent="0.25">
      <c r="A109" s="25" t="s">
        <v>124</v>
      </c>
      <c r="B109">
        <v>35100.33</v>
      </c>
    </row>
    <row r="110" spans="1:2" x14ac:dyDescent="0.25">
      <c r="A110" s="19" t="s">
        <v>191</v>
      </c>
    </row>
    <row r="111" spans="1:2" x14ac:dyDescent="0.25">
      <c r="A111" s="25" t="s">
        <v>124</v>
      </c>
      <c r="B111">
        <v>16683</v>
      </c>
    </row>
    <row r="112" spans="1:2" x14ac:dyDescent="0.25">
      <c r="A112" s="19" t="s">
        <v>192</v>
      </c>
    </row>
    <row r="113" spans="1:2" x14ac:dyDescent="0.25">
      <c r="A113" s="25" t="s">
        <v>124</v>
      </c>
      <c r="B113">
        <v>26100</v>
      </c>
    </row>
    <row r="114" spans="1:2" x14ac:dyDescent="0.25">
      <c r="A114" s="19" t="s">
        <v>193</v>
      </c>
    </row>
    <row r="115" spans="1:2" x14ac:dyDescent="0.25">
      <c r="A115" s="25" t="s">
        <v>124</v>
      </c>
      <c r="B115">
        <v>34880.450000000004</v>
      </c>
    </row>
    <row r="116" spans="1:2" x14ac:dyDescent="0.25">
      <c r="A116" s="19" t="s">
        <v>140</v>
      </c>
    </row>
    <row r="117" spans="1:2" x14ac:dyDescent="0.25">
      <c r="A117" s="25" t="s">
        <v>124</v>
      </c>
      <c r="B117">
        <v>114000</v>
      </c>
    </row>
    <row r="118" spans="1:2" x14ac:dyDescent="0.25">
      <c r="A118" s="19" t="s">
        <v>139</v>
      </c>
    </row>
    <row r="119" spans="1:2" x14ac:dyDescent="0.25">
      <c r="A119" s="25" t="s">
        <v>124</v>
      </c>
      <c r="B119">
        <v>60050</v>
      </c>
    </row>
    <row r="120" spans="1:2" x14ac:dyDescent="0.25">
      <c r="A120" s="19" t="s">
        <v>138</v>
      </c>
    </row>
    <row r="121" spans="1:2" x14ac:dyDescent="0.25">
      <c r="A121" s="25" t="s">
        <v>124</v>
      </c>
      <c r="B121">
        <v>2820</v>
      </c>
    </row>
    <row r="122" spans="1:2" x14ac:dyDescent="0.25">
      <c r="A122" s="19" t="s">
        <v>137</v>
      </c>
    </row>
    <row r="123" spans="1:2" x14ac:dyDescent="0.25">
      <c r="A123" s="25" t="s">
        <v>124</v>
      </c>
      <c r="B123">
        <v>12020.64</v>
      </c>
    </row>
    <row r="124" spans="1:2" x14ac:dyDescent="0.25">
      <c r="A124" s="19" t="s">
        <v>136</v>
      </c>
    </row>
    <row r="125" spans="1:2" x14ac:dyDescent="0.25">
      <c r="A125" s="25" t="s">
        <v>124</v>
      </c>
      <c r="B125">
        <v>9825</v>
      </c>
    </row>
    <row r="126" spans="1:2" x14ac:dyDescent="0.25">
      <c r="A126" s="19" t="s">
        <v>135</v>
      </c>
    </row>
    <row r="127" spans="1:2" x14ac:dyDescent="0.25">
      <c r="A127" s="25" t="s">
        <v>124</v>
      </c>
      <c r="B127">
        <v>4015.02</v>
      </c>
    </row>
    <row r="128" spans="1:2" x14ac:dyDescent="0.25">
      <c r="A128" s="19" t="s">
        <v>163</v>
      </c>
      <c r="B128">
        <v>8225</v>
      </c>
    </row>
    <row r="129" spans="1:2" x14ac:dyDescent="0.25">
      <c r="A129" s="19" t="s">
        <v>164</v>
      </c>
      <c r="B129">
        <v>2558</v>
      </c>
    </row>
    <row r="130" spans="1:2" x14ac:dyDescent="0.25">
      <c r="A130" s="19" t="s">
        <v>165</v>
      </c>
      <c r="B130">
        <v>2135</v>
      </c>
    </row>
    <row r="131" spans="1:2" x14ac:dyDescent="0.25">
      <c r="A131" s="19" t="s">
        <v>166</v>
      </c>
      <c r="B131">
        <v>2246</v>
      </c>
    </row>
    <row r="132" spans="1:2" x14ac:dyDescent="0.25">
      <c r="A132" s="19" t="s">
        <v>167</v>
      </c>
      <c r="B132">
        <v>8968</v>
      </c>
    </row>
    <row r="133" spans="1:2" x14ac:dyDescent="0.25">
      <c r="A133" s="19" t="s">
        <v>168</v>
      </c>
      <c r="B133">
        <v>3372</v>
      </c>
    </row>
    <row r="134" spans="1:2" x14ac:dyDescent="0.25">
      <c r="A134" s="19" t="s">
        <v>169</v>
      </c>
      <c r="B134">
        <v>13696</v>
      </c>
    </row>
    <row r="135" spans="1:2" x14ac:dyDescent="0.25">
      <c r="A135" s="19" t="s">
        <v>170</v>
      </c>
      <c r="B135">
        <v>4960</v>
      </c>
    </row>
    <row r="136" spans="1:2" x14ac:dyDescent="0.25">
      <c r="A136" s="19" t="s">
        <v>171</v>
      </c>
      <c r="B136">
        <v>32831.35</v>
      </c>
    </row>
    <row r="137" spans="1:2" x14ac:dyDescent="0.25">
      <c r="A137" s="19" t="s">
        <v>172</v>
      </c>
      <c r="B137">
        <v>5867</v>
      </c>
    </row>
    <row r="138" spans="1:2" x14ac:dyDescent="0.25">
      <c r="A138" s="19" t="s">
        <v>173</v>
      </c>
      <c r="B138">
        <v>13485</v>
      </c>
    </row>
    <row r="139" spans="1:2" x14ac:dyDescent="0.25">
      <c r="A139" s="19" t="s">
        <v>174</v>
      </c>
      <c r="B139">
        <v>12635</v>
      </c>
    </row>
    <row r="140" spans="1:2" x14ac:dyDescent="0.25">
      <c r="A140" s="19" t="s">
        <v>175</v>
      </c>
      <c r="B140">
        <v>10337</v>
      </c>
    </row>
    <row r="141" spans="1:2" x14ac:dyDescent="0.25">
      <c r="A141" s="19" t="s">
        <v>176</v>
      </c>
      <c r="B141">
        <v>15197</v>
      </c>
    </row>
    <row r="142" spans="1:2" x14ac:dyDescent="0.25">
      <c r="A142" s="19" t="s">
        <v>177</v>
      </c>
      <c r="B142">
        <v>18762</v>
      </c>
    </row>
    <row r="143" spans="1:2" x14ac:dyDescent="0.25">
      <c r="A143" s="19" t="s">
        <v>178</v>
      </c>
      <c r="B143">
        <v>18132</v>
      </c>
    </row>
    <row r="144" spans="1:2" x14ac:dyDescent="0.25">
      <c r="A144" s="19" t="s">
        <v>179</v>
      </c>
      <c r="B144">
        <v>20255</v>
      </c>
    </row>
    <row r="145" spans="1:2" x14ac:dyDescent="0.25">
      <c r="A145" s="19" t="s">
        <v>180</v>
      </c>
      <c r="B145">
        <v>10690</v>
      </c>
    </row>
    <row r="146" spans="1:2" x14ac:dyDescent="0.25">
      <c r="A146" s="19" t="s">
        <v>181</v>
      </c>
      <c r="B146">
        <v>4044</v>
      </c>
    </row>
    <row r="147" spans="1:2" x14ac:dyDescent="0.25">
      <c r="A147" s="19" t="s">
        <v>182</v>
      </c>
      <c r="B147">
        <v>11716</v>
      </c>
    </row>
    <row r="148" spans="1:2" x14ac:dyDescent="0.25">
      <c r="A148" s="19" t="s">
        <v>183</v>
      </c>
      <c r="B148">
        <v>16015.479999999998</v>
      </c>
    </row>
    <row r="149" spans="1:2" x14ac:dyDescent="0.25">
      <c r="A149" s="19" t="s">
        <v>184</v>
      </c>
      <c r="B149">
        <v>63970</v>
      </c>
    </row>
    <row r="150" spans="1:2" x14ac:dyDescent="0.25">
      <c r="A150" s="19" t="s">
        <v>186</v>
      </c>
      <c r="B150">
        <v>12292.34</v>
      </c>
    </row>
    <row r="151" spans="1:2" x14ac:dyDescent="0.25">
      <c r="A151" s="19" t="s">
        <v>194</v>
      </c>
      <c r="B151">
        <v>49177</v>
      </c>
    </row>
    <row r="152" spans="1:2" x14ac:dyDescent="0.25">
      <c r="A152" s="19" t="s">
        <v>195</v>
      </c>
      <c r="B152">
        <v>37213</v>
      </c>
    </row>
    <row r="153" spans="1:2" x14ac:dyDescent="0.25">
      <c r="A153" s="19" t="s">
        <v>196</v>
      </c>
      <c r="B153">
        <v>100820</v>
      </c>
    </row>
    <row r="154" spans="1:2" x14ac:dyDescent="0.25">
      <c r="A154" s="19" t="s">
        <v>197</v>
      </c>
      <c r="B154">
        <v>143898.15000000002</v>
      </c>
    </row>
    <row r="155" spans="1:2" x14ac:dyDescent="0.25">
      <c r="A155" s="19" t="s">
        <v>198</v>
      </c>
      <c r="B155">
        <v>25400</v>
      </c>
    </row>
    <row r="156" spans="1:2" x14ac:dyDescent="0.25">
      <c r="A156" s="19" t="s">
        <v>199</v>
      </c>
      <c r="B156">
        <v>35100.33</v>
      </c>
    </row>
    <row r="157" spans="1:2" x14ac:dyDescent="0.25">
      <c r="A157" s="19" t="s">
        <v>200</v>
      </c>
      <c r="B157">
        <v>16683</v>
      </c>
    </row>
    <row r="158" spans="1:2" x14ac:dyDescent="0.25">
      <c r="A158" s="19" t="s">
        <v>201</v>
      </c>
      <c r="B158">
        <v>26100</v>
      </c>
    </row>
    <row r="159" spans="1:2" x14ac:dyDescent="0.25">
      <c r="A159" s="19" t="s">
        <v>202</v>
      </c>
      <c r="B159">
        <v>34880.450000000004</v>
      </c>
    </row>
    <row r="160" spans="1:2" x14ac:dyDescent="0.25">
      <c r="A160" s="19" t="s">
        <v>203</v>
      </c>
      <c r="B160">
        <v>114000</v>
      </c>
    </row>
    <row r="161" spans="1:2" x14ac:dyDescent="0.25">
      <c r="A161" s="19" t="s">
        <v>204</v>
      </c>
      <c r="B161">
        <v>60050</v>
      </c>
    </row>
    <row r="162" spans="1:2" x14ac:dyDescent="0.25">
      <c r="A162" s="19" t="s">
        <v>205</v>
      </c>
      <c r="B162">
        <v>2820</v>
      </c>
    </row>
    <row r="163" spans="1:2" x14ac:dyDescent="0.25">
      <c r="A163" s="19" t="s">
        <v>206</v>
      </c>
      <c r="B163">
        <v>12020.64</v>
      </c>
    </row>
    <row r="164" spans="1:2" x14ac:dyDescent="0.25">
      <c r="A164" s="19" t="s">
        <v>207</v>
      </c>
      <c r="B164">
        <v>9825</v>
      </c>
    </row>
    <row r="165" spans="1:2" x14ac:dyDescent="0.25">
      <c r="A165" s="19" t="s">
        <v>208</v>
      </c>
      <c r="B165">
        <v>4015.02</v>
      </c>
    </row>
  </sheetData>
  <pageMargins left="0.7" right="0.7" top="0.75" bottom="0.75" header="0.3" footer="0.3"/>
  <drawing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5834B-7841-47ED-9B14-307827EAF6A3}">
  <sheetPr>
    <tabColor theme="9" tint="0.39997558519241921"/>
  </sheetPr>
  <dimension ref="A1:V4"/>
  <sheetViews>
    <sheetView showGridLines="0" zoomScale="90" zoomScaleNormal="90" workbookViewId="0">
      <selection activeCell="S28" sqref="S28"/>
    </sheetView>
  </sheetViews>
  <sheetFormatPr defaultRowHeight="15" x14ac:dyDescent="0.25"/>
  <sheetData>
    <row r="1" spans="1:22" ht="15" customHeight="1" x14ac:dyDescent="0.25">
      <c r="A1" s="37" t="s">
        <v>211</v>
      </c>
      <c r="B1" s="37"/>
      <c r="C1" s="37"/>
      <c r="D1" s="37"/>
      <c r="E1" s="37"/>
      <c r="F1" s="37"/>
      <c r="G1" s="37"/>
      <c r="H1" s="37"/>
      <c r="I1" s="37"/>
      <c r="J1" s="37"/>
      <c r="K1" s="37"/>
      <c r="L1" s="37"/>
      <c r="M1" s="37"/>
      <c r="N1" s="37"/>
      <c r="O1" s="37"/>
      <c r="P1" s="37"/>
      <c r="Q1" s="37"/>
      <c r="R1" s="37"/>
      <c r="S1" s="37"/>
      <c r="T1" s="37"/>
      <c r="U1" s="37"/>
      <c r="V1" s="37"/>
    </row>
    <row r="2" spans="1:22" ht="15" customHeight="1" x14ac:dyDescent="0.25">
      <c r="A2" s="37"/>
      <c r="B2" s="37"/>
      <c r="C2" s="37"/>
      <c r="D2" s="37"/>
      <c r="E2" s="37"/>
      <c r="F2" s="37"/>
      <c r="G2" s="37"/>
      <c r="H2" s="37"/>
      <c r="I2" s="37"/>
      <c r="J2" s="37"/>
      <c r="K2" s="37"/>
      <c r="L2" s="37"/>
      <c r="M2" s="37"/>
      <c r="N2" s="37"/>
      <c r="O2" s="37"/>
      <c r="P2" s="37"/>
      <c r="Q2" s="37"/>
      <c r="R2" s="37"/>
      <c r="S2" s="37"/>
      <c r="T2" s="37"/>
      <c r="U2" s="37"/>
      <c r="V2" s="37"/>
    </row>
    <row r="3" spans="1:22" ht="15" customHeight="1" x14ac:dyDescent="0.25">
      <c r="A3" s="37"/>
      <c r="B3" s="37"/>
      <c r="C3" s="37"/>
      <c r="D3" s="37"/>
      <c r="E3" s="37"/>
      <c r="F3" s="37"/>
      <c r="G3" s="37"/>
      <c r="H3" s="37"/>
      <c r="I3" s="37"/>
      <c r="J3" s="37"/>
      <c r="K3" s="37"/>
      <c r="L3" s="37"/>
      <c r="M3" s="37"/>
      <c r="N3" s="37"/>
      <c r="O3" s="37"/>
      <c r="P3" s="37"/>
      <c r="Q3" s="37"/>
      <c r="R3" s="37"/>
      <c r="S3" s="37"/>
      <c r="T3" s="37"/>
      <c r="U3" s="37"/>
      <c r="V3" s="37"/>
    </row>
    <row r="4" spans="1:22" ht="15" customHeight="1" x14ac:dyDescent="0.25">
      <c r="A4" s="37"/>
      <c r="B4" s="37"/>
      <c r="C4" s="37"/>
      <c r="D4" s="37"/>
      <c r="E4" s="37"/>
      <c r="F4" s="37"/>
      <c r="G4" s="37"/>
      <c r="H4" s="37"/>
      <c r="I4" s="37"/>
      <c r="J4" s="37"/>
      <c r="K4" s="37"/>
      <c r="L4" s="37"/>
      <c r="M4" s="37"/>
      <c r="N4" s="37"/>
      <c r="O4" s="37"/>
      <c r="P4" s="37"/>
      <c r="Q4" s="37"/>
      <c r="R4" s="37"/>
      <c r="S4" s="37"/>
      <c r="T4" s="37"/>
      <c r="U4" s="37"/>
      <c r="V4" s="37"/>
    </row>
  </sheetData>
  <mergeCells count="1">
    <mergeCell ref="A1:V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B961A-66E3-4D22-8A1D-A74156AE88F6}">
  <sheetPr>
    <tabColor rgb="FFFF5050"/>
  </sheetPr>
  <dimension ref="A1:U5"/>
  <sheetViews>
    <sheetView showGridLines="0" zoomScale="106" zoomScaleNormal="106" workbookViewId="0">
      <selection activeCell="W30" sqref="W30"/>
    </sheetView>
  </sheetViews>
  <sheetFormatPr defaultRowHeight="15" x14ac:dyDescent="0.25"/>
  <sheetData>
    <row r="1" spans="1:21" x14ac:dyDescent="0.25">
      <c r="A1" s="38" t="s">
        <v>153</v>
      </c>
      <c r="B1" s="39"/>
      <c r="C1" s="39"/>
      <c r="D1" s="39"/>
      <c r="E1" s="39"/>
      <c r="F1" s="39"/>
      <c r="G1" s="39"/>
      <c r="H1" s="39"/>
      <c r="I1" s="39"/>
      <c r="J1" s="39"/>
      <c r="K1" s="39"/>
      <c r="L1" s="39"/>
      <c r="M1" s="39"/>
      <c r="N1" s="39"/>
      <c r="O1" s="39"/>
      <c r="P1" s="39"/>
      <c r="Q1" s="39"/>
      <c r="R1" s="39"/>
      <c r="S1" s="39"/>
      <c r="T1" s="39"/>
      <c r="U1" s="39"/>
    </row>
    <row r="2" spans="1:21" x14ac:dyDescent="0.25">
      <c r="A2" s="39"/>
      <c r="B2" s="39"/>
      <c r="C2" s="39"/>
      <c r="D2" s="39"/>
      <c r="E2" s="39"/>
      <c r="F2" s="39"/>
      <c r="G2" s="39"/>
      <c r="H2" s="39"/>
      <c r="I2" s="39"/>
      <c r="J2" s="39"/>
      <c r="K2" s="39"/>
      <c r="L2" s="39"/>
      <c r="M2" s="39"/>
      <c r="N2" s="39"/>
      <c r="O2" s="39"/>
      <c r="P2" s="39"/>
      <c r="Q2" s="39"/>
      <c r="R2" s="39"/>
      <c r="S2" s="39"/>
      <c r="T2" s="39"/>
      <c r="U2" s="39"/>
    </row>
    <row r="3" spans="1:21" x14ac:dyDescent="0.25">
      <c r="A3" s="39"/>
      <c r="B3" s="39"/>
      <c r="C3" s="39"/>
      <c r="D3" s="39"/>
      <c r="E3" s="39"/>
      <c r="F3" s="39"/>
      <c r="G3" s="39"/>
      <c r="H3" s="39"/>
      <c r="I3" s="39"/>
      <c r="J3" s="39"/>
      <c r="K3" s="39"/>
      <c r="L3" s="39"/>
      <c r="M3" s="39"/>
      <c r="N3" s="39"/>
      <c r="O3" s="39"/>
      <c r="P3" s="39"/>
      <c r="Q3" s="39"/>
      <c r="R3" s="39"/>
      <c r="S3" s="39"/>
      <c r="T3" s="39"/>
      <c r="U3" s="39"/>
    </row>
    <row r="4" spans="1:21" x14ac:dyDescent="0.25">
      <c r="A4" s="39"/>
      <c r="B4" s="39"/>
      <c r="C4" s="39"/>
      <c r="D4" s="39"/>
      <c r="E4" s="39"/>
      <c r="F4" s="39"/>
      <c r="G4" s="39"/>
      <c r="H4" s="39"/>
      <c r="I4" s="39"/>
      <c r="J4" s="39"/>
      <c r="K4" s="39"/>
      <c r="L4" s="39"/>
      <c r="M4" s="39"/>
      <c r="N4" s="39"/>
      <c r="O4" s="39"/>
      <c r="P4" s="39"/>
      <c r="Q4" s="39"/>
      <c r="R4" s="39"/>
      <c r="S4" s="39"/>
      <c r="T4" s="39"/>
      <c r="U4" s="39"/>
    </row>
    <row r="5" spans="1:21" ht="2.25" customHeight="1" x14ac:dyDescent="0.25">
      <c r="A5" s="39"/>
      <c r="B5" s="39"/>
      <c r="C5" s="39"/>
      <c r="D5" s="39"/>
      <c r="E5" s="39"/>
      <c r="F5" s="39"/>
      <c r="G5" s="39"/>
      <c r="H5" s="39"/>
      <c r="I5" s="39"/>
      <c r="J5" s="39"/>
      <c r="K5" s="39"/>
      <c r="L5" s="39"/>
      <c r="M5" s="39"/>
      <c r="N5" s="39"/>
      <c r="O5" s="39"/>
      <c r="P5" s="39"/>
      <c r="Q5" s="39"/>
      <c r="R5" s="39"/>
      <c r="S5" s="39"/>
      <c r="T5" s="39"/>
      <c r="U5" s="39"/>
    </row>
  </sheetData>
  <mergeCells count="1">
    <mergeCell ref="A1:U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96EFD-6729-4470-BE46-38ACEA4CD601}">
  <sheetPr>
    <tabColor theme="7" tint="0.39997558519241921"/>
  </sheetPr>
  <dimension ref="A1:T71"/>
  <sheetViews>
    <sheetView showGridLines="0" tabSelected="1" workbookViewId="0">
      <selection activeCell="S50" sqref="S50"/>
    </sheetView>
  </sheetViews>
  <sheetFormatPr defaultRowHeight="15" x14ac:dyDescent="0.25"/>
  <cols>
    <col min="3" max="3" width="13.140625" bestFit="1" customWidth="1"/>
    <col min="4" max="4" width="12.140625" bestFit="1" customWidth="1"/>
    <col min="5" max="5" width="11.42578125" bestFit="1" customWidth="1"/>
  </cols>
  <sheetData>
    <row r="1" spans="1:20" x14ac:dyDescent="0.25">
      <c r="A1" s="42" t="s">
        <v>154</v>
      </c>
      <c r="B1" s="42"/>
      <c r="C1" s="42"/>
      <c r="D1" s="42"/>
      <c r="E1" s="42"/>
      <c r="F1" s="42"/>
      <c r="G1" s="42"/>
      <c r="H1" s="42"/>
      <c r="I1" s="42"/>
      <c r="J1" s="42"/>
      <c r="K1" s="42"/>
      <c r="L1" s="42"/>
      <c r="M1" s="42"/>
      <c r="N1" s="42"/>
      <c r="O1" s="42"/>
      <c r="P1" s="42"/>
      <c r="Q1" s="42"/>
      <c r="R1" s="42"/>
      <c r="S1" s="42"/>
      <c r="T1" s="42"/>
    </row>
    <row r="2" spans="1:20" x14ac:dyDescent="0.25">
      <c r="A2" s="42"/>
      <c r="B2" s="42"/>
      <c r="C2" s="42"/>
      <c r="D2" s="42"/>
      <c r="E2" s="42"/>
      <c r="F2" s="42"/>
      <c r="G2" s="42"/>
      <c r="H2" s="42"/>
      <c r="I2" s="42"/>
      <c r="J2" s="42"/>
      <c r="K2" s="42"/>
      <c r="L2" s="42"/>
      <c r="M2" s="42"/>
      <c r="N2" s="42"/>
      <c r="O2" s="42"/>
      <c r="P2" s="42"/>
      <c r="Q2" s="42"/>
      <c r="R2" s="42"/>
      <c r="S2" s="42"/>
      <c r="T2" s="42"/>
    </row>
    <row r="3" spans="1:20" x14ac:dyDescent="0.25">
      <c r="A3" s="42"/>
      <c r="B3" s="42"/>
      <c r="C3" s="42"/>
      <c r="D3" s="42"/>
      <c r="E3" s="42"/>
      <c r="F3" s="42"/>
      <c r="G3" s="42"/>
      <c r="H3" s="42"/>
      <c r="I3" s="42"/>
      <c r="J3" s="42"/>
      <c r="K3" s="42"/>
      <c r="L3" s="42"/>
      <c r="M3" s="42"/>
      <c r="N3" s="42"/>
      <c r="O3" s="42"/>
      <c r="P3" s="42"/>
      <c r="Q3" s="42"/>
      <c r="R3" s="42"/>
      <c r="S3" s="42"/>
      <c r="T3" s="42"/>
    </row>
    <row r="4" spans="1:20" ht="15" customHeight="1" x14ac:dyDescent="0.25">
      <c r="A4" s="43" t="s">
        <v>155</v>
      </c>
      <c r="B4" s="43"/>
      <c r="C4" s="43"/>
      <c r="D4" s="43"/>
      <c r="E4" s="43"/>
      <c r="F4" s="43"/>
      <c r="G4" s="43"/>
      <c r="H4" s="43"/>
      <c r="I4" s="43"/>
      <c r="J4" s="43"/>
      <c r="K4" s="43"/>
      <c r="L4" s="43"/>
      <c r="M4" s="43"/>
      <c r="N4" s="43"/>
      <c r="O4" s="43"/>
      <c r="P4" s="43"/>
    </row>
    <row r="5" spans="1:20" x14ac:dyDescent="0.25">
      <c r="A5" s="43"/>
      <c r="B5" s="43"/>
      <c r="C5" s="43"/>
      <c r="D5" s="43"/>
      <c r="E5" s="43"/>
      <c r="F5" s="43"/>
      <c r="G5" s="43"/>
      <c r="H5" s="43"/>
      <c r="I5" s="43"/>
      <c r="J5" s="43"/>
      <c r="K5" s="43"/>
      <c r="L5" s="43"/>
      <c r="M5" s="43"/>
      <c r="N5" s="43"/>
      <c r="O5" s="43"/>
      <c r="P5" s="43"/>
    </row>
    <row r="27" spans="1:17" x14ac:dyDescent="0.25">
      <c r="A27" s="41" t="s">
        <v>209</v>
      </c>
      <c r="B27" s="41"/>
      <c r="C27" s="41"/>
      <c r="D27" s="41"/>
      <c r="E27" s="41"/>
      <c r="F27" s="41"/>
      <c r="G27" s="41"/>
      <c r="H27" s="41"/>
      <c r="I27" s="41"/>
      <c r="J27" s="41"/>
      <c r="K27" s="41"/>
      <c r="L27" s="41"/>
      <c r="M27" s="41"/>
      <c r="N27" s="41"/>
      <c r="O27" s="41"/>
      <c r="P27" s="41"/>
      <c r="Q27" s="41"/>
    </row>
    <row r="28" spans="1:17" x14ac:dyDescent="0.25">
      <c r="A28" s="41"/>
      <c r="B28" s="41"/>
      <c r="C28" s="41"/>
      <c r="D28" s="41"/>
      <c r="E28" s="41"/>
      <c r="F28" s="41"/>
      <c r="G28" s="41"/>
      <c r="H28" s="41"/>
      <c r="I28" s="41"/>
      <c r="J28" s="41"/>
      <c r="K28" s="41"/>
      <c r="L28" s="41"/>
      <c r="M28" s="41"/>
      <c r="N28" s="41"/>
      <c r="O28" s="41"/>
      <c r="P28" s="41"/>
      <c r="Q28" s="41"/>
    </row>
    <row r="46" spans="1:17" x14ac:dyDescent="0.25">
      <c r="A46" s="40" t="s">
        <v>210</v>
      </c>
      <c r="B46" s="40"/>
      <c r="C46" s="40"/>
      <c r="D46" s="40"/>
      <c r="E46" s="40"/>
      <c r="F46" s="40"/>
      <c r="G46" s="40"/>
      <c r="H46" s="40"/>
      <c r="I46" s="40"/>
      <c r="J46" s="40"/>
      <c r="K46" s="40"/>
      <c r="L46" s="40"/>
      <c r="M46" s="40"/>
      <c r="N46" s="40"/>
      <c r="O46" s="40"/>
      <c r="P46" s="40"/>
      <c r="Q46" s="40"/>
    </row>
    <row r="47" spans="1:17" x14ac:dyDescent="0.25">
      <c r="A47" s="40"/>
      <c r="B47" s="40"/>
      <c r="C47" s="40"/>
      <c r="D47" s="40"/>
      <c r="E47" s="40"/>
      <c r="F47" s="40"/>
      <c r="G47" s="40"/>
      <c r="H47" s="40"/>
      <c r="I47" s="40"/>
      <c r="J47" s="40"/>
      <c r="K47" s="40"/>
      <c r="L47" s="40"/>
      <c r="M47" s="40"/>
      <c r="N47" s="40"/>
      <c r="O47" s="40"/>
      <c r="P47" s="40"/>
      <c r="Q47" s="40"/>
    </row>
    <row r="70" spans="1:17" x14ac:dyDescent="0.25">
      <c r="A70" s="41" t="s">
        <v>212</v>
      </c>
      <c r="B70" s="41"/>
      <c r="C70" s="41"/>
      <c r="D70" s="41"/>
      <c r="E70" s="41"/>
      <c r="F70" s="41"/>
      <c r="G70" s="41"/>
      <c r="H70" s="41"/>
      <c r="I70" s="41"/>
      <c r="J70" s="41"/>
      <c r="K70" s="41"/>
      <c r="L70" s="41"/>
      <c r="M70" s="41"/>
      <c r="N70" s="41"/>
      <c r="O70" s="41"/>
      <c r="P70" s="41"/>
      <c r="Q70" s="41"/>
    </row>
    <row r="71" spans="1:17" x14ac:dyDescent="0.25">
      <c r="A71" s="41"/>
      <c r="B71" s="41"/>
      <c r="C71" s="41"/>
      <c r="D71" s="41"/>
      <c r="E71" s="41"/>
      <c r="F71" s="41"/>
      <c r="G71" s="41"/>
      <c r="H71" s="41"/>
      <c r="I71" s="41"/>
      <c r="J71" s="41"/>
      <c r="K71" s="41"/>
      <c r="L71" s="41"/>
      <c r="M71" s="41"/>
      <c r="N71" s="41"/>
      <c r="O71" s="41"/>
      <c r="P71" s="41"/>
      <c r="Q71" s="41"/>
    </row>
  </sheetData>
  <mergeCells count="5">
    <mergeCell ref="A46:Q47"/>
    <mergeCell ref="A70:Q71"/>
    <mergeCell ref="A1:T3"/>
    <mergeCell ref="A4:P5"/>
    <mergeCell ref="A27:Q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AB111D-C3F8-4F3F-BC54-39BD4ACEA0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FORMATTED DATA</vt:lpstr>
      <vt:lpstr>WHOLE 3 YEAR VIEW</vt:lpstr>
      <vt:lpstr>YEAR 1 VIEW</vt:lpstr>
      <vt:lpstr>YEAR 2 VIEW</vt:lpstr>
      <vt:lpstr>YEAR 3 VIEW</vt:lpstr>
      <vt:lpstr>DATA WITHOUT FORMAT</vt:lpstr>
      <vt:lpstr>worksheet</vt:lpstr>
      <vt:lpstr>pivots</vt:lpstr>
      <vt:lpstr>INCOME DASHBOARD</vt:lpstr>
      <vt:lpstr>EXPENSES DASHBOARD</vt:lpstr>
      <vt:lpstr>QUESTIONS</vt:lpstr>
      <vt:lpstr>item</vt:lpstr>
      <vt:lpstr>year1</vt:lpstr>
      <vt:lpstr>year2</vt:lpstr>
      <vt:lpstr>year3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SUSHMITHA R</dc:creator>
  <cp:lastModifiedBy>SUSHMITHA R</cp:lastModifiedBy>
  <cp:lastPrinted>2022-11-12T09:34:18Z</cp:lastPrinted>
  <dcterms:created xsi:type="dcterms:W3CDTF">2022-11-12T05:34:12Z</dcterms:created>
  <dcterms:modified xsi:type="dcterms:W3CDTF">2022-12-09T12:06:13Z</dcterms:modified>
</cp:coreProperties>
</file>